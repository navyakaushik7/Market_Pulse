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egory" sheetId="2" state="visible" r:id="rId4"/>
    <sheet name="Zone" sheetId="3" state="visible" r:id="rId5"/>
    <sheet name="Time Band" sheetId="4" state="visible" r:id="rId6"/>
    <sheet name="Daily" sheetId="5" state="visible" r:id="rId7"/>
    <sheet name="Alerts" sheetId="6" state="visible" r:id="rId8"/>
    <sheet name="Data" sheetId="7" state="visible" r:id="rId9"/>
    <sheet name="Notes" sheetId="8" state="visible" r:id="rId10"/>
  </sheets>
  <definedNames>
    <definedName function="false" hidden="true" localSheetId="6" name="_xlnm._FilterDatabase" vbProcedure="false">Data!$A$1:$L$1001</definedName>
    <definedName function="false" hidden="false" name="d_assigned" vbProcedure="false">Data!$G$2:$G$5001</definedName>
    <definedName function="false" hidden="false" name="d_band" vbProcedure="false">Data!$L$2:$L$5001</definedName>
    <definedName function="false" hidden="false" name="d_cat" vbProcedure="false">Data!$D$2:$D$5001</definedName>
    <definedName function="false" hidden="false" name="d_date" vbProcedure="false">Data!$B$2:$B$5001</definedName>
    <definedName function="false" hidden="false" name="d_hour" vbProcedure="false">Data!$C$2:$C$5001</definedName>
    <definedName function="false" hidden="false" name="d_id" vbProcedure="false">Data!$A$2:$A$5001</definedName>
    <definedName function="false" hidden="false" name="d_rating" vbProcedure="false">Data!$I$2:$I$5001</definedName>
    <definedName function="false" hidden="false" name="d_sla" vbProcedure="false">Data!$K$2:$K$5001</definedName>
    <definedName function="false" hidden="false" name="d_status" vbProcedure="false">Data!$F$2:$F$5001</definedName>
    <definedName function="false" hidden="false" name="d_tat" vbProcedure="false">Data!$J$2:$J$5001</definedName>
    <definedName function="false" hidden="false" name="d_value" vbProcedure="false">Data!$H$2:$H$5001</definedName>
    <definedName function="false" hidden="false" name="d_zone" vbProcedure="false">Data!$E$2:$E$5001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Assumption: thresholds are illustrative operating targets, not from the source data. Adjust to your SLAs.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Helper column (formula). time_band = bucket of order_hour.</t>
        </r>
      </text>
    </comment>
  </commentList>
</comments>
</file>

<file path=xl/sharedStrings.xml><?xml version="1.0" encoding="utf-8"?>
<sst xmlns="http://schemas.openxmlformats.org/spreadsheetml/2006/main" count="4301" uniqueCount="1133">
  <si>
    <t xml:space="preserve">MarketPulse  |  Service Marketplace Operations Dashboard</t>
  </si>
  <si>
    <t xml:space="preserve">Orders 20 Oct – 27 Oct 2026  ·  source: marketplace_orders export (DBeaver)  ·  all figures are live formulas over the Data sheet</t>
  </si>
  <si>
    <t xml:space="preserve">TOTAL ORDERS</t>
  </si>
  <si>
    <t xml:space="preserve">FULFILLMENT RATE</t>
  </si>
  <si>
    <t xml:space="preserve">CANCELLATION RATE</t>
  </si>
  <si>
    <t xml:space="preserve">NO-PARTNER ORDERS</t>
  </si>
  <si>
    <t xml:space="preserve">AVG TURNAROUND (MIN)</t>
  </si>
  <si>
    <t xml:space="preserve">SLA BREACH RATE</t>
  </si>
  <si>
    <t xml:space="preserve">AVG CUSTOMER RATING</t>
  </si>
  <si>
    <t xml:space="preserve">GMV BOOKED</t>
  </si>
  <si>
    <t xml:space="preserve">REVENUE AT RISK</t>
  </si>
  <si>
    <t xml:space="preserve">CRITICAL ALERTS</t>
  </si>
  <si>
    <t xml:space="preserve">Key findings (snapshot of this export, generated from the SQL results)</t>
  </si>
  <si>
    <t xml:space="preserve">1. Zone East is the problem zone. 259 orders, 16.2% with no partner (other zones 4.8–6.4%) and all 20 SLA breaches in the export (9.3% breach rate vs 0% elsewhere).</t>
  </si>
  <si>
    <t xml:space="preserve">2. It is a night-shift supply gap. Zone East 00–05h: 36.7% unassigned (90 orders) and a 28.6% SLA breach rate. Every breach falls between 02:00 and 04:59 with TAT of 66–95 min.</t>
  </si>
  <si>
    <t xml:space="preserve">3. Night (00–05h) is the busiest window: 38.4% of all orders and the weakest coverage (12.5% unassigned). By category: Home Cleaning 16.1%, Salon Services 13.0%, Plumbing 10.5%, Appliance Repair 10.2%. Plumbing also dips in the evening (12.9% at 17–20h).</t>
  </si>
  <si>
    <t xml:space="preserve">4. Cancellations are a supply symptom: all 56 provider cancellations were on orders that never had a partner. Revenue at risk from cancelled orders: 105,660 (13.6% of orders).</t>
  </si>
  <si>
    <t xml:space="preserve">5. Suggested action: add or incentivise Zone East partners for 02:00–05:00, then re-check this dashboard. Verify first that order_hour is local time (if it is UTC, the 'night' peak is actually early morning in India).</t>
  </si>
  <si>
    <t xml:space="preserve">Category scorecard</t>
  </si>
  <si>
    <t xml:space="preserve">Demand, fulfillment, supply and SLA health per service category</t>
  </si>
  <si>
    <t xml:space="preserve">Service category</t>
  </si>
  <si>
    <t xml:space="preserve">Orders</t>
  </si>
  <si>
    <t xml:space="preserve">Demand share</t>
  </si>
  <si>
    <t xml:space="preserve">Completed</t>
  </si>
  <si>
    <t xml:space="preserve">Fulfillment %</t>
  </si>
  <si>
    <t xml:space="preserve">Cust. cancelled</t>
  </si>
  <si>
    <t xml:space="preserve">Provider cancelled</t>
  </si>
  <si>
    <t xml:space="preserve">Cancellation %</t>
  </si>
  <si>
    <t xml:space="preserve">No-partner orders</t>
  </si>
  <si>
    <t xml:space="preserve">Unassigned %</t>
  </si>
  <si>
    <t xml:space="preserve">Partner availability %</t>
  </si>
  <si>
    <t xml:space="preserve">Avg TAT (min)</t>
  </si>
  <si>
    <t xml:space="preserve">SLA breaches</t>
  </si>
  <si>
    <t xml:space="preserve">SLA breach %</t>
  </si>
  <si>
    <t xml:space="preserve">Avg rating</t>
  </si>
  <si>
    <t xml:space="preserve">GMV booked</t>
  </si>
  <si>
    <t xml:space="preserve">Revenue at risk</t>
  </si>
  <si>
    <t xml:space="preserve">Appliance Repair</t>
  </si>
  <si>
    <t xml:space="preserve">Home Cleaning</t>
  </si>
  <si>
    <t xml:space="preserve">Plumbing</t>
  </si>
  <si>
    <t xml:space="preserve">Salon Services</t>
  </si>
  <si>
    <t xml:space="preserve">Total</t>
  </si>
  <si>
    <t xml:space="preserve">Definitions: Fulfillment = Completed ÷ Orders · Cancellation = (Customer + Provider) ÷ Orders · Unassigned = orders with no partner ÷ Orders · Avg TAT &amp; SLA breach % use COMPLETED orders only (TAT exists only for them) · Revenue at risk = order value of cancelled orders.</t>
  </si>
  <si>
    <t xml:space="preserve">Zone scorecard</t>
  </si>
  <si>
    <t xml:space="preserve">Same KPIs per city zone</t>
  </si>
  <si>
    <t xml:space="preserve">City zone</t>
  </si>
  <si>
    <t xml:space="preserve">Zone East</t>
  </si>
  <si>
    <t xml:space="preserve">Zone North</t>
  </si>
  <si>
    <t xml:space="preserve">Zone South</t>
  </si>
  <si>
    <t xml:space="preserve">Zone West</t>
  </si>
  <si>
    <t xml:space="preserve">Hourly profile &amp; supply-gap heatmaps</t>
  </si>
  <si>
    <t xml:space="preserve">When does demand arrive, and when are there no partners to serve it?</t>
  </si>
  <si>
    <t xml:space="preserve">Hour</t>
  </si>
  <si>
    <t xml:space="preserve">Share of orders</t>
  </si>
  <si>
    <t xml:space="preserve">Cancelled</t>
  </si>
  <si>
    <t xml:space="preserve">Unassigned rate: Category × Time band</t>
  </si>
  <si>
    <t xml:space="preserve">Category</t>
  </si>
  <si>
    <t xml:space="preserve">Night (00-05)</t>
  </si>
  <si>
    <t xml:space="preserve">Morning (06-11)</t>
  </si>
  <si>
    <t xml:space="preserve">Afternoon (12-16)</t>
  </si>
  <si>
    <t xml:space="preserve">Evening (17-20)</t>
  </si>
  <si>
    <t xml:space="preserve">Late (21-23)</t>
  </si>
  <si>
    <t xml:space="preserve">Orders: Category × Time band</t>
  </si>
  <si>
    <t xml:space="preserve">Unassigned rate: Zone × Time band</t>
  </si>
  <si>
    <t xml:space="preserve">Zone</t>
  </si>
  <si>
    <t xml:space="preserve">Orders: Zone × Time band</t>
  </si>
  <si>
    <t xml:space="preserve">SLA breach rate (of completed): Zone × Time band</t>
  </si>
  <si>
    <t xml:space="preserve">Daily demand velocity</t>
  </si>
  <si>
    <t xml:space="preserve">Orders per day by category, day-over-day change and 3-day moving average</t>
  </si>
  <si>
    <t xml:space="preserve">Date</t>
  </si>
  <si>
    <t xml:space="preserve">Total orders</t>
  </si>
  <si>
    <t xml:space="preserve">DoD change</t>
  </si>
  <si>
    <t xml:space="preserve">3-day moving avg</t>
  </si>
  <si>
    <t xml:space="preserve">Note: 20 Oct and 27 Oct have far fewer orders than the other days (likely partial days at the edges of the export window), so their day-over-day swings are not real demand changes.</t>
  </si>
  <si>
    <t xml:space="preserve">Operational alerts</t>
  </si>
  <si>
    <t xml:space="preserve">Severity recalculates when thresholds (yellow cells) or data change</t>
  </si>
  <si>
    <t xml:space="preserve">Alert thresholds (edit)</t>
  </si>
  <si>
    <t xml:space="preserve">Alert count</t>
  </si>
  <si>
    <t xml:space="preserve">Unassigned % – WARNING</t>
  </si>
  <si>
    <t xml:space="preserve">CRITICAL</t>
  </si>
  <si>
    <t xml:space="preserve">Unassigned % – CRITICAL</t>
  </si>
  <si>
    <t xml:space="preserve">WARNING</t>
  </si>
  <si>
    <t xml:space="preserve">SLA breach % – WARNING</t>
  </si>
  <si>
    <t xml:space="preserve">SLA breach % – CRITICAL</t>
  </si>
  <si>
    <t xml:space="preserve">Minimum orders in a cell</t>
  </si>
  <si>
    <t xml:space="preserve">1 · Supply shortage — Category × Time band</t>
  </si>
  <si>
    <t xml:space="preserve">Time band</t>
  </si>
  <si>
    <t xml:space="preserve">Severity</t>
  </si>
  <si>
    <t xml:space="preserve">2 · Partner coverage gap — Zone × Time band (where + when)</t>
  </si>
  <si>
    <t xml:space="preserve">3 · Zone health</t>
  </si>
  <si>
    <t xml:space="preserve">Coverage severity</t>
  </si>
  <si>
    <t xml:space="preserve">SLA breach % (completed)</t>
  </si>
  <si>
    <t xml:space="preserve">SLA severity</t>
  </si>
  <si>
    <t xml:space="preserve">order_id</t>
  </si>
  <si>
    <t xml:space="preserve">order_date</t>
  </si>
  <si>
    <t xml:space="preserve">order_hour</t>
  </si>
  <si>
    <t xml:space="preserve">service_category</t>
  </si>
  <si>
    <t xml:space="preserve">city_zone</t>
  </si>
  <si>
    <t xml:space="preserve">order_status</t>
  </si>
  <si>
    <t xml:space="preserve">partner_assigned</t>
  </si>
  <si>
    <t xml:space="preserve">order_value</t>
  </si>
  <si>
    <t xml:space="preserve">customer_rating</t>
  </si>
  <si>
    <t xml:space="preserve">tat_minutes</t>
  </si>
  <si>
    <t xml:space="preserve">is_sla_breach</t>
  </si>
  <si>
    <t xml:space="preserve">time_band</t>
  </si>
  <si>
    <t xml:space="preserve">ORD_10001</t>
  </si>
  <si>
    <t xml:space="preserve">ORD_10002</t>
  </si>
  <si>
    <t xml:space="preserve">ORD_10003</t>
  </si>
  <si>
    <t xml:space="preserve">ORD_10004</t>
  </si>
  <si>
    <t xml:space="preserve">ORD_10005</t>
  </si>
  <si>
    <t xml:space="preserve">ORD_10006</t>
  </si>
  <si>
    <t xml:space="preserve">ORD_10007</t>
  </si>
  <si>
    <t xml:space="preserve">ORD_10008</t>
  </si>
  <si>
    <t xml:space="preserve">Cancelled_Customer</t>
  </si>
  <si>
    <t xml:space="preserve">ORD_10009</t>
  </si>
  <si>
    <t xml:space="preserve">ORD_10010</t>
  </si>
  <si>
    <t xml:space="preserve">ORD_10011</t>
  </si>
  <si>
    <t xml:space="preserve">ORD_10012</t>
  </si>
  <si>
    <t xml:space="preserve">ORD_10013</t>
  </si>
  <si>
    <t xml:space="preserve">ORD_10014</t>
  </si>
  <si>
    <t xml:space="preserve">ORD_10015</t>
  </si>
  <si>
    <t xml:space="preserve">ORD_10016</t>
  </si>
  <si>
    <t xml:space="preserve">ORD_10017</t>
  </si>
  <si>
    <t xml:space="preserve">ORD_10018</t>
  </si>
  <si>
    <t xml:space="preserve">ORD_10019</t>
  </si>
  <si>
    <t xml:space="preserve">ORD_10020</t>
  </si>
  <si>
    <t xml:space="preserve">ORD_10021</t>
  </si>
  <si>
    <t xml:space="preserve">ORD_10022</t>
  </si>
  <si>
    <t xml:space="preserve">ORD_10023</t>
  </si>
  <si>
    <t xml:space="preserve">Cancelled_Provider</t>
  </si>
  <si>
    <t xml:space="preserve">ORD_10024</t>
  </si>
  <si>
    <t xml:space="preserve">ORD_10025</t>
  </si>
  <si>
    <t xml:space="preserve">ORD_10026</t>
  </si>
  <si>
    <t xml:space="preserve">ORD_10027</t>
  </si>
  <si>
    <t xml:space="preserve">ORD_10028</t>
  </si>
  <si>
    <t xml:space="preserve">ORD_10029</t>
  </si>
  <si>
    <t xml:space="preserve">ORD_10030</t>
  </si>
  <si>
    <t xml:space="preserve">ORD_10031</t>
  </si>
  <si>
    <t xml:space="preserve">ORD_10032</t>
  </si>
  <si>
    <t xml:space="preserve">ORD_10033</t>
  </si>
  <si>
    <t xml:space="preserve">ORD_10034</t>
  </si>
  <si>
    <t xml:space="preserve">ORD_10035</t>
  </si>
  <si>
    <t xml:space="preserve">ORD_10036</t>
  </si>
  <si>
    <t xml:space="preserve">ORD_10037</t>
  </si>
  <si>
    <t xml:space="preserve">ORD_10038</t>
  </si>
  <si>
    <t xml:space="preserve">ORD_10039</t>
  </si>
  <si>
    <t xml:space="preserve">ORD_10040</t>
  </si>
  <si>
    <t xml:space="preserve">ORD_10041</t>
  </si>
  <si>
    <t xml:space="preserve">ORD_10042</t>
  </si>
  <si>
    <t xml:space="preserve">ORD_10043</t>
  </si>
  <si>
    <t xml:space="preserve">ORD_10044</t>
  </si>
  <si>
    <t xml:space="preserve">ORD_10045</t>
  </si>
  <si>
    <t xml:space="preserve">ORD_10046</t>
  </si>
  <si>
    <t xml:space="preserve">ORD_10047</t>
  </si>
  <si>
    <t xml:space="preserve">ORD_10048</t>
  </si>
  <si>
    <t xml:space="preserve">ORD_10049</t>
  </si>
  <si>
    <t xml:space="preserve">ORD_10050</t>
  </si>
  <si>
    <t xml:space="preserve">ORD_10051</t>
  </si>
  <si>
    <t xml:space="preserve">ORD_10052</t>
  </si>
  <si>
    <t xml:space="preserve">ORD_10053</t>
  </si>
  <si>
    <t xml:space="preserve">ORD_10054</t>
  </si>
  <si>
    <t xml:space="preserve">ORD_10055</t>
  </si>
  <si>
    <t xml:space="preserve">ORD_10056</t>
  </si>
  <si>
    <t xml:space="preserve">ORD_10057</t>
  </si>
  <si>
    <t xml:space="preserve">ORD_10058</t>
  </si>
  <si>
    <t xml:space="preserve">ORD_10059</t>
  </si>
  <si>
    <t xml:space="preserve">ORD_10060</t>
  </si>
  <si>
    <t xml:space="preserve">ORD_10061</t>
  </si>
  <si>
    <t xml:space="preserve">ORD_10062</t>
  </si>
  <si>
    <t xml:space="preserve">ORD_10063</t>
  </si>
  <si>
    <t xml:space="preserve">ORD_10064</t>
  </si>
  <si>
    <t xml:space="preserve">ORD_10065</t>
  </si>
  <si>
    <t xml:space="preserve">ORD_10066</t>
  </si>
  <si>
    <t xml:space="preserve">ORD_10067</t>
  </si>
  <si>
    <t xml:space="preserve">ORD_10068</t>
  </si>
  <si>
    <t xml:space="preserve">ORD_10069</t>
  </si>
  <si>
    <t xml:space="preserve">ORD_10070</t>
  </si>
  <si>
    <t xml:space="preserve">ORD_10071</t>
  </si>
  <si>
    <t xml:space="preserve">ORD_10072</t>
  </si>
  <si>
    <t xml:space="preserve">ORD_10073</t>
  </si>
  <si>
    <t xml:space="preserve">ORD_10074</t>
  </si>
  <si>
    <t xml:space="preserve">ORD_10075</t>
  </si>
  <si>
    <t xml:space="preserve">ORD_10076</t>
  </si>
  <si>
    <t xml:space="preserve">ORD_10077</t>
  </si>
  <si>
    <t xml:space="preserve">ORD_10078</t>
  </si>
  <si>
    <t xml:space="preserve">ORD_10079</t>
  </si>
  <si>
    <t xml:space="preserve">ORD_10080</t>
  </si>
  <si>
    <t xml:space="preserve">ORD_10081</t>
  </si>
  <si>
    <t xml:space="preserve">ORD_10082</t>
  </si>
  <si>
    <t xml:space="preserve">ORD_10083</t>
  </si>
  <si>
    <t xml:space="preserve">ORD_10084</t>
  </si>
  <si>
    <t xml:space="preserve">ORD_10085</t>
  </si>
  <si>
    <t xml:space="preserve">ORD_10086</t>
  </si>
  <si>
    <t xml:space="preserve">ORD_10087</t>
  </si>
  <si>
    <t xml:space="preserve">ORD_10088</t>
  </si>
  <si>
    <t xml:space="preserve">ORD_10089</t>
  </si>
  <si>
    <t xml:space="preserve">ORD_10090</t>
  </si>
  <si>
    <t xml:space="preserve">ORD_10091</t>
  </si>
  <si>
    <t xml:space="preserve">ORD_10092</t>
  </si>
  <si>
    <t xml:space="preserve">ORD_10093</t>
  </si>
  <si>
    <t xml:space="preserve">ORD_10094</t>
  </si>
  <si>
    <t xml:space="preserve">ORD_10095</t>
  </si>
  <si>
    <t xml:space="preserve">ORD_10096</t>
  </si>
  <si>
    <t xml:space="preserve">ORD_10097</t>
  </si>
  <si>
    <t xml:space="preserve">ORD_10098</t>
  </si>
  <si>
    <t xml:space="preserve">ORD_10099</t>
  </si>
  <si>
    <t xml:space="preserve">ORD_10100</t>
  </si>
  <si>
    <t xml:space="preserve">ORD_10101</t>
  </si>
  <si>
    <t xml:space="preserve">ORD_10102</t>
  </si>
  <si>
    <t xml:space="preserve">ORD_10103</t>
  </si>
  <si>
    <t xml:space="preserve">ORD_10104</t>
  </si>
  <si>
    <t xml:space="preserve">ORD_10105</t>
  </si>
  <si>
    <t xml:space="preserve">ORD_10106</t>
  </si>
  <si>
    <t xml:space="preserve">ORD_10107</t>
  </si>
  <si>
    <t xml:space="preserve">ORD_10108</t>
  </si>
  <si>
    <t xml:space="preserve">ORD_10109</t>
  </si>
  <si>
    <t xml:space="preserve">ORD_10110</t>
  </si>
  <si>
    <t xml:space="preserve">ORD_10111</t>
  </si>
  <si>
    <t xml:space="preserve">ORD_10112</t>
  </si>
  <si>
    <t xml:space="preserve">ORD_10113</t>
  </si>
  <si>
    <t xml:space="preserve">ORD_10114</t>
  </si>
  <si>
    <t xml:space="preserve">ORD_10115</t>
  </si>
  <si>
    <t xml:space="preserve">ORD_10116</t>
  </si>
  <si>
    <t xml:space="preserve">ORD_10117</t>
  </si>
  <si>
    <t xml:space="preserve">ORD_10118</t>
  </si>
  <si>
    <t xml:space="preserve">ORD_10119</t>
  </si>
  <si>
    <t xml:space="preserve">ORD_10120</t>
  </si>
  <si>
    <t xml:space="preserve">ORD_10121</t>
  </si>
  <si>
    <t xml:space="preserve">ORD_10122</t>
  </si>
  <si>
    <t xml:space="preserve">ORD_10123</t>
  </si>
  <si>
    <t xml:space="preserve">ORD_10124</t>
  </si>
  <si>
    <t xml:space="preserve">ORD_10125</t>
  </si>
  <si>
    <t xml:space="preserve">ORD_10126</t>
  </si>
  <si>
    <t xml:space="preserve">ORD_10127</t>
  </si>
  <si>
    <t xml:space="preserve">ORD_10128</t>
  </si>
  <si>
    <t xml:space="preserve">ORD_10129</t>
  </si>
  <si>
    <t xml:space="preserve">ORD_10130</t>
  </si>
  <si>
    <t xml:space="preserve">ORD_10131</t>
  </si>
  <si>
    <t xml:space="preserve">ORD_10132</t>
  </si>
  <si>
    <t xml:space="preserve">ORD_10133</t>
  </si>
  <si>
    <t xml:space="preserve">ORD_10134</t>
  </si>
  <si>
    <t xml:space="preserve">ORD_10135</t>
  </si>
  <si>
    <t xml:space="preserve">ORD_10136</t>
  </si>
  <si>
    <t xml:space="preserve">ORD_10137</t>
  </si>
  <si>
    <t xml:space="preserve">ORD_10138</t>
  </si>
  <si>
    <t xml:space="preserve">ORD_10139</t>
  </si>
  <si>
    <t xml:space="preserve">ORD_10140</t>
  </si>
  <si>
    <t xml:space="preserve">ORD_10141</t>
  </si>
  <si>
    <t xml:space="preserve">ORD_10142</t>
  </si>
  <si>
    <t xml:space="preserve">ORD_10143</t>
  </si>
  <si>
    <t xml:space="preserve">ORD_10144</t>
  </si>
  <si>
    <t xml:space="preserve">ORD_10145</t>
  </si>
  <si>
    <t xml:space="preserve">ORD_10146</t>
  </si>
  <si>
    <t xml:space="preserve">ORD_10147</t>
  </si>
  <si>
    <t xml:space="preserve">ORD_10148</t>
  </si>
  <si>
    <t xml:space="preserve">ORD_10149</t>
  </si>
  <si>
    <t xml:space="preserve">ORD_10150</t>
  </si>
  <si>
    <t xml:space="preserve">ORD_10151</t>
  </si>
  <si>
    <t xml:space="preserve">ORD_10152</t>
  </si>
  <si>
    <t xml:space="preserve">ORD_10153</t>
  </si>
  <si>
    <t xml:space="preserve">ORD_10154</t>
  </si>
  <si>
    <t xml:space="preserve">ORD_10155</t>
  </si>
  <si>
    <t xml:space="preserve">ORD_10156</t>
  </si>
  <si>
    <t xml:space="preserve">ORD_10157</t>
  </si>
  <si>
    <t xml:space="preserve">ORD_10158</t>
  </si>
  <si>
    <t xml:space="preserve">ORD_10159</t>
  </si>
  <si>
    <t xml:space="preserve">ORD_10160</t>
  </si>
  <si>
    <t xml:space="preserve">ORD_10161</t>
  </si>
  <si>
    <t xml:space="preserve">ORD_10162</t>
  </si>
  <si>
    <t xml:space="preserve">ORD_10163</t>
  </si>
  <si>
    <t xml:space="preserve">ORD_10164</t>
  </si>
  <si>
    <t xml:space="preserve">ORD_10165</t>
  </si>
  <si>
    <t xml:space="preserve">ORD_10166</t>
  </si>
  <si>
    <t xml:space="preserve">ORD_10167</t>
  </si>
  <si>
    <t xml:space="preserve">ORD_10168</t>
  </si>
  <si>
    <t xml:space="preserve">ORD_10169</t>
  </si>
  <si>
    <t xml:space="preserve">ORD_10170</t>
  </si>
  <si>
    <t xml:space="preserve">ORD_10171</t>
  </si>
  <si>
    <t xml:space="preserve">ORD_10172</t>
  </si>
  <si>
    <t xml:space="preserve">ORD_10173</t>
  </si>
  <si>
    <t xml:space="preserve">ORD_10174</t>
  </si>
  <si>
    <t xml:space="preserve">ORD_10175</t>
  </si>
  <si>
    <t xml:space="preserve">ORD_10176</t>
  </si>
  <si>
    <t xml:space="preserve">ORD_10177</t>
  </si>
  <si>
    <t xml:space="preserve">ORD_10178</t>
  </si>
  <si>
    <t xml:space="preserve">ORD_10179</t>
  </si>
  <si>
    <t xml:space="preserve">ORD_10180</t>
  </si>
  <si>
    <t xml:space="preserve">ORD_10181</t>
  </si>
  <si>
    <t xml:space="preserve">ORD_10182</t>
  </si>
  <si>
    <t xml:space="preserve">ORD_10183</t>
  </si>
  <si>
    <t xml:space="preserve">ORD_10184</t>
  </si>
  <si>
    <t xml:space="preserve">ORD_10185</t>
  </si>
  <si>
    <t xml:space="preserve">ORD_10186</t>
  </si>
  <si>
    <t xml:space="preserve">ORD_10187</t>
  </si>
  <si>
    <t xml:space="preserve">ORD_10188</t>
  </si>
  <si>
    <t xml:space="preserve">ORD_10189</t>
  </si>
  <si>
    <t xml:space="preserve">ORD_10190</t>
  </si>
  <si>
    <t xml:space="preserve">ORD_10191</t>
  </si>
  <si>
    <t xml:space="preserve">ORD_10192</t>
  </si>
  <si>
    <t xml:space="preserve">ORD_10193</t>
  </si>
  <si>
    <t xml:space="preserve">ORD_10194</t>
  </si>
  <si>
    <t xml:space="preserve">ORD_10195</t>
  </si>
  <si>
    <t xml:space="preserve">ORD_10196</t>
  </si>
  <si>
    <t xml:space="preserve">ORD_10197</t>
  </si>
  <si>
    <t xml:space="preserve">ORD_10198</t>
  </si>
  <si>
    <t xml:space="preserve">ORD_10199</t>
  </si>
  <si>
    <t xml:space="preserve">ORD_10200</t>
  </si>
  <si>
    <t xml:space="preserve">ORD_10201</t>
  </si>
  <si>
    <t xml:space="preserve">ORD_10202</t>
  </si>
  <si>
    <t xml:space="preserve">ORD_10203</t>
  </si>
  <si>
    <t xml:space="preserve">ORD_10204</t>
  </si>
  <si>
    <t xml:space="preserve">ORD_10205</t>
  </si>
  <si>
    <t xml:space="preserve">ORD_10206</t>
  </si>
  <si>
    <t xml:space="preserve">ORD_10207</t>
  </si>
  <si>
    <t xml:space="preserve">ORD_10208</t>
  </si>
  <si>
    <t xml:space="preserve">ORD_10209</t>
  </si>
  <si>
    <t xml:space="preserve">ORD_10210</t>
  </si>
  <si>
    <t xml:space="preserve">ORD_10211</t>
  </si>
  <si>
    <t xml:space="preserve">ORD_10212</t>
  </si>
  <si>
    <t xml:space="preserve">ORD_10213</t>
  </si>
  <si>
    <t xml:space="preserve">ORD_10214</t>
  </si>
  <si>
    <t xml:space="preserve">ORD_10215</t>
  </si>
  <si>
    <t xml:space="preserve">ORD_10216</t>
  </si>
  <si>
    <t xml:space="preserve">ORD_10217</t>
  </si>
  <si>
    <t xml:space="preserve">ORD_10218</t>
  </si>
  <si>
    <t xml:space="preserve">ORD_10219</t>
  </si>
  <si>
    <t xml:space="preserve">ORD_10220</t>
  </si>
  <si>
    <t xml:space="preserve">ORD_10221</t>
  </si>
  <si>
    <t xml:space="preserve">ORD_10222</t>
  </si>
  <si>
    <t xml:space="preserve">ORD_10223</t>
  </si>
  <si>
    <t xml:space="preserve">ORD_10224</t>
  </si>
  <si>
    <t xml:space="preserve">ORD_10225</t>
  </si>
  <si>
    <t xml:space="preserve">ORD_10226</t>
  </si>
  <si>
    <t xml:space="preserve">ORD_10227</t>
  </si>
  <si>
    <t xml:space="preserve">ORD_10228</t>
  </si>
  <si>
    <t xml:space="preserve">ORD_10229</t>
  </si>
  <si>
    <t xml:space="preserve">ORD_10230</t>
  </si>
  <si>
    <t xml:space="preserve">ORD_10231</t>
  </si>
  <si>
    <t xml:space="preserve">ORD_10232</t>
  </si>
  <si>
    <t xml:space="preserve">ORD_10233</t>
  </si>
  <si>
    <t xml:space="preserve">ORD_10234</t>
  </si>
  <si>
    <t xml:space="preserve">ORD_10235</t>
  </si>
  <si>
    <t xml:space="preserve">ORD_10236</t>
  </si>
  <si>
    <t xml:space="preserve">ORD_10237</t>
  </si>
  <si>
    <t xml:space="preserve">ORD_10238</t>
  </si>
  <si>
    <t xml:space="preserve">ORD_10239</t>
  </si>
  <si>
    <t xml:space="preserve">ORD_10240</t>
  </si>
  <si>
    <t xml:space="preserve">ORD_10241</t>
  </si>
  <si>
    <t xml:space="preserve">ORD_10242</t>
  </si>
  <si>
    <t xml:space="preserve">ORD_10243</t>
  </si>
  <si>
    <t xml:space="preserve">ORD_10244</t>
  </si>
  <si>
    <t xml:space="preserve">ORD_10245</t>
  </si>
  <si>
    <t xml:space="preserve">ORD_10246</t>
  </si>
  <si>
    <t xml:space="preserve">ORD_10247</t>
  </si>
  <si>
    <t xml:space="preserve">ORD_10248</t>
  </si>
  <si>
    <t xml:space="preserve">ORD_10249</t>
  </si>
  <si>
    <t xml:space="preserve">ORD_10250</t>
  </si>
  <si>
    <t xml:space="preserve">ORD_10251</t>
  </si>
  <si>
    <t xml:space="preserve">ORD_10252</t>
  </si>
  <si>
    <t xml:space="preserve">ORD_10253</t>
  </si>
  <si>
    <t xml:space="preserve">ORD_10254</t>
  </si>
  <si>
    <t xml:space="preserve">ORD_10255</t>
  </si>
  <si>
    <t xml:space="preserve">ORD_10256</t>
  </si>
  <si>
    <t xml:space="preserve">ORD_10257</t>
  </si>
  <si>
    <t xml:space="preserve">ORD_10258</t>
  </si>
  <si>
    <t xml:space="preserve">ORD_10259</t>
  </si>
  <si>
    <t xml:space="preserve">ORD_10260</t>
  </si>
  <si>
    <t xml:space="preserve">ORD_10261</t>
  </si>
  <si>
    <t xml:space="preserve">ORD_10262</t>
  </si>
  <si>
    <t xml:space="preserve">ORD_10263</t>
  </si>
  <si>
    <t xml:space="preserve">ORD_10264</t>
  </si>
  <si>
    <t xml:space="preserve">ORD_10265</t>
  </si>
  <si>
    <t xml:space="preserve">ORD_10266</t>
  </si>
  <si>
    <t xml:space="preserve">ORD_10267</t>
  </si>
  <si>
    <t xml:space="preserve">ORD_10268</t>
  </si>
  <si>
    <t xml:space="preserve">ORD_10269</t>
  </si>
  <si>
    <t xml:space="preserve">ORD_10270</t>
  </si>
  <si>
    <t xml:space="preserve">ORD_10271</t>
  </si>
  <si>
    <t xml:space="preserve">ORD_10272</t>
  </si>
  <si>
    <t xml:space="preserve">ORD_10273</t>
  </si>
  <si>
    <t xml:space="preserve">ORD_10274</t>
  </si>
  <si>
    <t xml:space="preserve">ORD_10275</t>
  </si>
  <si>
    <t xml:space="preserve">ORD_10276</t>
  </si>
  <si>
    <t xml:space="preserve">ORD_10277</t>
  </si>
  <si>
    <t xml:space="preserve">ORD_10278</t>
  </si>
  <si>
    <t xml:space="preserve">ORD_10279</t>
  </si>
  <si>
    <t xml:space="preserve">ORD_10280</t>
  </si>
  <si>
    <t xml:space="preserve">ORD_10281</t>
  </si>
  <si>
    <t xml:space="preserve">ORD_10282</t>
  </si>
  <si>
    <t xml:space="preserve">ORD_10283</t>
  </si>
  <si>
    <t xml:space="preserve">ORD_10284</t>
  </si>
  <si>
    <t xml:space="preserve">ORD_10285</t>
  </si>
  <si>
    <t xml:space="preserve">ORD_10286</t>
  </si>
  <si>
    <t xml:space="preserve">ORD_10287</t>
  </si>
  <si>
    <t xml:space="preserve">ORD_10288</t>
  </si>
  <si>
    <t xml:space="preserve">ORD_10289</t>
  </si>
  <si>
    <t xml:space="preserve">ORD_10290</t>
  </si>
  <si>
    <t xml:space="preserve">ORD_10291</t>
  </si>
  <si>
    <t xml:space="preserve">ORD_10292</t>
  </si>
  <si>
    <t xml:space="preserve">ORD_10293</t>
  </si>
  <si>
    <t xml:space="preserve">ORD_10294</t>
  </si>
  <si>
    <t xml:space="preserve">ORD_10295</t>
  </si>
  <si>
    <t xml:space="preserve">ORD_10296</t>
  </si>
  <si>
    <t xml:space="preserve">ORD_10297</t>
  </si>
  <si>
    <t xml:space="preserve">ORD_10298</t>
  </si>
  <si>
    <t xml:space="preserve">ORD_10299</t>
  </si>
  <si>
    <t xml:space="preserve">ORD_10300</t>
  </si>
  <si>
    <t xml:space="preserve">ORD_10301</t>
  </si>
  <si>
    <t xml:space="preserve">ORD_10302</t>
  </si>
  <si>
    <t xml:space="preserve">ORD_10303</t>
  </si>
  <si>
    <t xml:space="preserve">ORD_10304</t>
  </si>
  <si>
    <t xml:space="preserve">ORD_10305</t>
  </si>
  <si>
    <t xml:space="preserve">ORD_10306</t>
  </si>
  <si>
    <t xml:space="preserve">ORD_10307</t>
  </si>
  <si>
    <t xml:space="preserve">ORD_10308</t>
  </si>
  <si>
    <t xml:space="preserve">ORD_10309</t>
  </si>
  <si>
    <t xml:space="preserve">ORD_10310</t>
  </si>
  <si>
    <t xml:space="preserve">ORD_10311</t>
  </si>
  <si>
    <t xml:space="preserve">ORD_10312</t>
  </si>
  <si>
    <t xml:space="preserve">ORD_10313</t>
  </si>
  <si>
    <t xml:space="preserve">ORD_10314</t>
  </si>
  <si>
    <t xml:space="preserve">ORD_10315</t>
  </si>
  <si>
    <t xml:space="preserve">ORD_10316</t>
  </si>
  <si>
    <t xml:space="preserve">ORD_10317</t>
  </si>
  <si>
    <t xml:space="preserve">ORD_10318</t>
  </si>
  <si>
    <t xml:space="preserve">ORD_10319</t>
  </si>
  <si>
    <t xml:space="preserve">ORD_10320</t>
  </si>
  <si>
    <t xml:space="preserve">ORD_10321</t>
  </si>
  <si>
    <t xml:space="preserve">ORD_10322</t>
  </si>
  <si>
    <t xml:space="preserve">ORD_10323</t>
  </si>
  <si>
    <t xml:space="preserve">ORD_10324</t>
  </si>
  <si>
    <t xml:space="preserve">ORD_10325</t>
  </si>
  <si>
    <t xml:space="preserve">ORD_10326</t>
  </si>
  <si>
    <t xml:space="preserve">ORD_10327</t>
  </si>
  <si>
    <t xml:space="preserve">ORD_10328</t>
  </si>
  <si>
    <t xml:space="preserve">ORD_10329</t>
  </si>
  <si>
    <t xml:space="preserve">ORD_10330</t>
  </si>
  <si>
    <t xml:space="preserve">ORD_10331</t>
  </si>
  <si>
    <t xml:space="preserve">ORD_10332</t>
  </si>
  <si>
    <t xml:space="preserve">ORD_10333</t>
  </si>
  <si>
    <t xml:space="preserve">ORD_10334</t>
  </si>
  <si>
    <t xml:space="preserve">ORD_10335</t>
  </si>
  <si>
    <t xml:space="preserve">ORD_10336</t>
  </si>
  <si>
    <t xml:space="preserve">ORD_10337</t>
  </si>
  <si>
    <t xml:space="preserve">ORD_10338</t>
  </si>
  <si>
    <t xml:space="preserve">ORD_10339</t>
  </si>
  <si>
    <t xml:space="preserve">ORD_10340</t>
  </si>
  <si>
    <t xml:space="preserve">ORD_10341</t>
  </si>
  <si>
    <t xml:space="preserve">ORD_10342</t>
  </si>
  <si>
    <t xml:space="preserve">ORD_10343</t>
  </si>
  <si>
    <t xml:space="preserve">ORD_10344</t>
  </si>
  <si>
    <t xml:space="preserve">ORD_10345</t>
  </si>
  <si>
    <t xml:space="preserve">ORD_10346</t>
  </si>
  <si>
    <t xml:space="preserve">ORD_10347</t>
  </si>
  <si>
    <t xml:space="preserve">ORD_10348</t>
  </si>
  <si>
    <t xml:space="preserve">ORD_10349</t>
  </si>
  <si>
    <t xml:space="preserve">ORD_10350</t>
  </si>
  <si>
    <t xml:space="preserve">ORD_10351</t>
  </si>
  <si>
    <t xml:space="preserve">ORD_10352</t>
  </si>
  <si>
    <t xml:space="preserve">ORD_10353</t>
  </si>
  <si>
    <t xml:space="preserve">ORD_10354</t>
  </si>
  <si>
    <t xml:space="preserve">ORD_10355</t>
  </si>
  <si>
    <t xml:space="preserve">ORD_10356</t>
  </si>
  <si>
    <t xml:space="preserve">ORD_10357</t>
  </si>
  <si>
    <t xml:space="preserve">ORD_10358</t>
  </si>
  <si>
    <t xml:space="preserve">ORD_10359</t>
  </si>
  <si>
    <t xml:space="preserve">ORD_10360</t>
  </si>
  <si>
    <t xml:space="preserve">ORD_10361</t>
  </si>
  <si>
    <t xml:space="preserve">ORD_10362</t>
  </si>
  <si>
    <t xml:space="preserve">ORD_10363</t>
  </si>
  <si>
    <t xml:space="preserve">ORD_10364</t>
  </si>
  <si>
    <t xml:space="preserve">ORD_10365</t>
  </si>
  <si>
    <t xml:space="preserve">ORD_10366</t>
  </si>
  <si>
    <t xml:space="preserve">ORD_10367</t>
  </si>
  <si>
    <t xml:space="preserve">ORD_10368</t>
  </si>
  <si>
    <t xml:space="preserve">ORD_10369</t>
  </si>
  <si>
    <t xml:space="preserve">ORD_10370</t>
  </si>
  <si>
    <t xml:space="preserve">ORD_10371</t>
  </si>
  <si>
    <t xml:space="preserve">ORD_10372</t>
  </si>
  <si>
    <t xml:space="preserve">ORD_10373</t>
  </si>
  <si>
    <t xml:space="preserve">ORD_10374</t>
  </si>
  <si>
    <t xml:space="preserve">ORD_10375</t>
  </si>
  <si>
    <t xml:space="preserve">ORD_10376</t>
  </si>
  <si>
    <t xml:space="preserve">ORD_10377</t>
  </si>
  <si>
    <t xml:space="preserve">ORD_10378</t>
  </si>
  <si>
    <t xml:space="preserve">ORD_10379</t>
  </si>
  <si>
    <t xml:space="preserve">ORD_10380</t>
  </si>
  <si>
    <t xml:space="preserve">ORD_10381</t>
  </si>
  <si>
    <t xml:space="preserve">ORD_10382</t>
  </si>
  <si>
    <t xml:space="preserve">ORD_10383</t>
  </si>
  <si>
    <t xml:space="preserve">ORD_10384</t>
  </si>
  <si>
    <t xml:space="preserve">ORD_10385</t>
  </si>
  <si>
    <t xml:space="preserve">ORD_10386</t>
  </si>
  <si>
    <t xml:space="preserve">ORD_10387</t>
  </si>
  <si>
    <t xml:space="preserve">ORD_10388</t>
  </si>
  <si>
    <t xml:space="preserve">ORD_10389</t>
  </si>
  <si>
    <t xml:space="preserve">ORD_10390</t>
  </si>
  <si>
    <t xml:space="preserve">ORD_10391</t>
  </si>
  <si>
    <t xml:space="preserve">ORD_10392</t>
  </si>
  <si>
    <t xml:space="preserve">ORD_10393</t>
  </si>
  <si>
    <t xml:space="preserve">ORD_10394</t>
  </si>
  <si>
    <t xml:space="preserve">ORD_10395</t>
  </si>
  <si>
    <t xml:space="preserve">ORD_10396</t>
  </si>
  <si>
    <t xml:space="preserve">ORD_10397</t>
  </si>
  <si>
    <t xml:space="preserve">ORD_10398</t>
  </si>
  <si>
    <t xml:space="preserve">ORD_10399</t>
  </si>
  <si>
    <t xml:space="preserve">ORD_10400</t>
  </si>
  <si>
    <t xml:space="preserve">ORD_10401</t>
  </si>
  <si>
    <t xml:space="preserve">ORD_10402</t>
  </si>
  <si>
    <t xml:space="preserve">ORD_10403</t>
  </si>
  <si>
    <t xml:space="preserve">ORD_10404</t>
  </si>
  <si>
    <t xml:space="preserve">ORD_10405</t>
  </si>
  <si>
    <t xml:space="preserve">ORD_10406</t>
  </si>
  <si>
    <t xml:space="preserve">ORD_10407</t>
  </si>
  <si>
    <t xml:space="preserve">ORD_10408</t>
  </si>
  <si>
    <t xml:space="preserve">ORD_10409</t>
  </si>
  <si>
    <t xml:space="preserve">ORD_10410</t>
  </si>
  <si>
    <t xml:space="preserve">ORD_10411</t>
  </si>
  <si>
    <t xml:space="preserve">ORD_10412</t>
  </si>
  <si>
    <t xml:space="preserve">ORD_10413</t>
  </si>
  <si>
    <t xml:space="preserve">ORD_10414</t>
  </si>
  <si>
    <t xml:space="preserve">ORD_10415</t>
  </si>
  <si>
    <t xml:space="preserve">ORD_10416</t>
  </si>
  <si>
    <t xml:space="preserve">ORD_10417</t>
  </si>
  <si>
    <t xml:space="preserve">ORD_10418</t>
  </si>
  <si>
    <t xml:space="preserve">ORD_10419</t>
  </si>
  <si>
    <t xml:space="preserve">ORD_10420</t>
  </si>
  <si>
    <t xml:space="preserve">ORD_10421</t>
  </si>
  <si>
    <t xml:space="preserve">ORD_10422</t>
  </si>
  <si>
    <t xml:space="preserve">ORD_10423</t>
  </si>
  <si>
    <t xml:space="preserve">ORD_10424</t>
  </si>
  <si>
    <t xml:space="preserve">ORD_10425</t>
  </si>
  <si>
    <t xml:space="preserve">ORD_10426</t>
  </si>
  <si>
    <t xml:space="preserve">ORD_10427</t>
  </si>
  <si>
    <t xml:space="preserve">ORD_10428</t>
  </si>
  <si>
    <t xml:space="preserve">ORD_10429</t>
  </si>
  <si>
    <t xml:space="preserve">ORD_10430</t>
  </si>
  <si>
    <t xml:space="preserve">ORD_10431</t>
  </si>
  <si>
    <t xml:space="preserve">ORD_10432</t>
  </si>
  <si>
    <t xml:space="preserve">ORD_10433</t>
  </si>
  <si>
    <t xml:space="preserve">ORD_10434</t>
  </si>
  <si>
    <t xml:space="preserve">ORD_10435</t>
  </si>
  <si>
    <t xml:space="preserve">ORD_10436</t>
  </si>
  <si>
    <t xml:space="preserve">ORD_10437</t>
  </si>
  <si>
    <t xml:space="preserve">ORD_10438</t>
  </si>
  <si>
    <t xml:space="preserve">ORD_10439</t>
  </si>
  <si>
    <t xml:space="preserve">ORD_10440</t>
  </si>
  <si>
    <t xml:space="preserve">ORD_10441</t>
  </si>
  <si>
    <t xml:space="preserve">ORD_10442</t>
  </si>
  <si>
    <t xml:space="preserve">ORD_10443</t>
  </si>
  <si>
    <t xml:space="preserve">ORD_10444</t>
  </si>
  <si>
    <t xml:space="preserve">ORD_10445</t>
  </si>
  <si>
    <t xml:space="preserve">ORD_10446</t>
  </si>
  <si>
    <t xml:space="preserve">ORD_10447</t>
  </si>
  <si>
    <t xml:space="preserve">ORD_10448</t>
  </si>
  <si>
    <t xml:space="preserve">ORD_10449</t>
  </si>
  <si>
    <t xml:space="preserve">ORD_10450</t>
  </si>
  <si>
    <t xml:space="preserve">ORD_10451</t>
  </si>
  <si>
    <t xml:space="preserve">ORD_10452</t>
  </si>
  <si>
    <t xml:space="preserve">ORD_10453</t>
  </si>
  <si>
    <t xml:space="preserve">ORD_10454</t>
  </si>
  <si>
    <t xml:space="preserve">ORD_10455</t>
  </si>
  <si>
    <t xml:space="preserve">ORD_10456</t>
  </si>
  <si>
    <t xml:space="preserve">ORD_10457</t>
  </si>
  <si>
    <t xml:space="preserve">ORD_10458</t>
  </si>
  <si>
    <t xml:space="preserve">ORD_10459</t>
  </si>
  <si>
    <t xml:space="preserve">ORD_10460</t>
  </si>
  <si>
    <t xml:space="preserve">ORD_10461</t>
  </si>
  <si>
    <t xml:space="preserve">ORD_10462</t>
  </si>
  <si>
    <t xml:space="preserve">ORD_10463</t>
  </si>
  <si>
    <t xml:space="preserve">ORD_10464</t>
  </si>
  <si>
    <t xml:space="preserve">ORD_10465</t>
  </si>
  <si>
    <t xml:space="preserve">ORD_10466</t>
  </si>
  <si>
    <t xml:space="preserve">ORD_10467</t>
  </si>
  <si>
    <t xml:space="preserve">ORD_10468</t>
  </si>
  <si>
    <t xml:space="preserve">ORD_10469</t>
  </si>
  <si>
    <t xml:space="preserve">ORD_10470</t>
  </si>
  <si>
    <t xml:space="preserve">ORD_10471</t>
  </si>
  <si>
    <t xml:space="preserve">ORD_10472</t>
  </si>
  <si>
    <t xml:space="preserve">ORD_10473</t>
  </si>
  <si>
    <t xml:space="preserve">ORD_10474</t>
  </si>
  <si>
    <t xml:space="preserve">ORD_10475</t>
  </si>
  <si>
    <t xml:space="preserve">ORD_10476</t>
  </si>
  <si>
    <t xml:space="preserve">ORD_10477</t>
  </si>
  <si>
    <t xml:space="preserve">ORD_10478</t>
  </si>
  <si>
    <t xml:space="preserve">ORD_10479</t>
  </si>
  <si>
    <t xml:space="preserve">ORD_10480</t>
  </si>
  <si>
    <t xml:space="preserve">ORD_10481</t>
  </si>
  <si>
    <t xml:space="preserve">ORD_10482</t>
  </si>
  <si>
    <t xml:space="preserve">ORD_10483</t>
  </si>
  <si>
    <t xml:space="preserve">ORD_10484</t>
  </si>
  <si>
    <t xml:space="preserve">ORD_10485</t>
  </si>
  <si>
    <t xml:space="preserve">ORD_10486</t>
  </si>
  <si>
    <t xml:space="preserve">ORD_10487</t>
  </si>
  <si>
    <t xml:space="preserve">ORD_10488</t>
  </si>
  <si>
    <t xml:space="preserve">ORD_10489</t>
  </si>
  <si>
    <t xml:space="preserve">ORD_10490</t>
  </si>
  <si>
    <t xml:space="preserve">ORD_10491</t>
  </si>
  <si>
    <t xml:space="preserve">ORD_10492</t>
  </si>
  <si>
    <t xml:space="preserve">ORD_10493</t>
  </si>
  <si>
    <t xml:space="preserve">ORD_10494</t>
  </si>
  <si>
    <t xml:space="preserve">ORD_10495</t>
  </si>
  <si>
    <t xml:space="preserve">ORD_10496</t>
  </si>
  <si>
    <t xml:space="preserve">ORD_10497</t>
  </si>
  <si>
    <t xml:space="preserve">ORD_10498</t>
  </si>
  <si>
    <t xml:space="preserve">ORD_10499</t>
  </si>
  <si>
    <t xml:space="preserve">ORD_10500</t>
  </si>
  <si>
    <t xml:space="preserve">ORD_10501</t>
  </si>
  <si>
    <t xml:space="preserve">ORD_10502</t>
  </si>
  <si>
    <t xml:space="preserve">ORD_10503</t>
  </si>
  <si>
    <t xml:space="preserve">ORD_10504</t>
  </si>
  <si>
    <t xml:space="preserve">ORD_10505</t>
  </si>
  <si>
    <t xml:space="preserve">ORD_10506</t>
  </si>
  <si>
    <t xml:space="preserve">ORD_10507</t>
  </si>
  <si>
    <t xml:space="preserve">ORD_10508</t>
  </si>
  <si>
    <t xml:space="preserve">ORD_10509</t>
  </si>
  <si>
    <t xml:space="preserve">ORD_10510</t>
  </si>
  <si>
    <t xml:space="preserve">ORD_10511</t>
  </si>
  <si>
    <t xml:space="preserve">ORD_10512</t>
  </si>
  <si>
    <t xml:space="preserve">ORD_10513</t>
  </si>
  <si>
    <t xml:space="preserve">ORD_10514</t>
  </si>
  <si>
    <t xml:space="preserve">ORD_10515</t>
  </si>
  <si>
    <t xml:space="preserve">ORD_10516</t>
  </si>
  <si>
    <t xml:space="preserve">ORD_10517</t>
  </si>
  <si>
    <t xml:space="preserve">ORD_10518</t>
  </si>
  <si>
    <t xml:space="preserve">ORD_10519</t>
  </si>
  <si>
    <t xml:space="preserve">ORD_10520</t>
  </si>
  <si>
    <t xml:space="preserve">ORD_10521</t>
  </si>
  <si>
    <t xml:space="preserve">ORD_10522</t>
  </si>
  <si>
    <t xml:space="preserve">ORD_10523</t>
  </si>
  <si>
    <t xml:space="preserve">ORD_10524</t>
  </si>
  <si>
    <t xml:space="preserve">ORD_10525</t>
  </si>
  <si>
    <t xml:space="preserve">ORD_10526</t>
  </si>
  <si>
    <t xml:space="preserve">ORD_10527</t>
  </si>
  <si>
    <t xml:space="preserve">ORD_10528</t>
  </si>
  <si>
    <t xml:space="preserve">ORD_10529</t>
  </si>
  <si>
    <t xml:space="preserve">ORD_10530</t>
  </si>
  <si>
    <t xml:space="preserve">ORD_10531</t>
  </si>
  <si>
    <t xml:space="preserve">ORD_10532</t>
  </si>
  <si>
    <t xml:space="preserve">ORD_10533</t>
  </si>
  <si>
    <t xml:space="preserve">ORD_10534</t>
  </si>
  <si>
    <t xml:space="preserve">ORD_10535</t>
  </si>
  <si>
    <t xml:space="preserve">ORD_10536</t>
  </si>
  <si>
    <t xml:space="preserve">ORD_10537</t>
  </si>
  <si>
    <t xml:space="preserve">ORD_10538</t>
  </si>
  <si>
    <t xml:space="preserve">ORD_10539</t>
  </si>
  <si>
    <t xml:space="preserve">ORD_10540</t>
  </si>
  <si>
    <t xml:space="preserve">ORD_10541</t>
  </si>
  <si>
    <t xml:space="preserve">ORD_10542</t>
  </si>
  <si>
    <t xml:space="preserve">ORD_10543</t>
  </si>
  <si>
    <t xml:space="preserve">ORD_10544</t>
  </si>
  <si>
    <t xml:space="preserve">ORD_10545</t>
  </si>
  <si>
    <t xml:space="preserve">ORD_10546</t>
  </si>
  <si>
    <t xml:space="preserve">ORD_10547</t>
  </si>
  <si>
    <t xml:space="preserve">ORD_10548</t>
  </si>
  <si>
    <t xml:space="preserve">ORD_10549</t>
  </si>
  <si>
    <t xml:space="preserve">ORD_10550</t>
  </si>
  <si>
    <t xml:space="preserve">ORD_10551</t>
  </si>
  <si>
    <t xml:space="preserve">ORD_10552</t>
  </si>
  <si>
    <t xml:space="preserve">ORD_10553</t>
  </si>
  <si>
    <t xml:space="preserve">ORD_10554</t>
  </si>
  <si>
    <t xml:space="preserve">ORD_10555</t>
  </si>
  <si>
    <t xml:space="preserve">ORD_10556</t>
  </si>
  <si>
    <t xml:space="preserve">ORD_10557</t>
  </si>
  <si>
    <t xml:space="preserve">ORD_10558</t>
  </si>
  <si>
    <t xml:space="preserve">ORD_10559</t>
  </si>
  <si>
    <t xml:space="preserve">ORD_10560</t>
  </si>
  <si>
    <t xml:space="preserve">ORD_10561</t>
  </si>
  <si>
    <t xml:space="preserve">ORD_10562</t>
  </si>
  <si>
    <t xml:space="preserve">ORD_10563</t>
  </si>
  <si>
    <t xml:space="preserve">ORD_10564</t>
  </si>
  <si>
    <t xml:space="preserve">ORD_10565</t>
  </si>
  <si>
    <t xml:space="preserve">ORD_10566</t>
  </si>
  <si>
    <t xml:space="preserve">ORD_10567</t>
  </si>
  <si>
    <t xml:space="preserve">ORD_10568</t>
  </si>
  <si>
    <t xml:space="preserve">ORD_10569</t>
  </si>
  <si>
    <t xml:space="preserve">ORD_10570</t>
  </si>
  <si>
    <t xml:space="preserve">ORD_10571</t>
  </si>
  <si>
    <t xml:space="preserve">ORD_10572</t>
  </si>
  <si>
    <t xml:space="preserve">ORD_10573</t>
  </si>
  <si>
    <t xml:space="preserve">ORD_10574</t>
  </si>
  <si>
    <t xml:space="preserve">ORD_10575</t>
  </si>
  <si>
    <t xml:space="preserve">ORD_10576</t>
  </si>
  <si>
    <t xml:space="preserve">ORD_10577</t>
  </si>
  <si>
    <t xml:space="preserve">ORD_10578</t>
  </si>
  <si>
    <t xml:space="preserve">ORD_10579</t>
  </si>
  <si>
    <t xml:space="preserve">ORD_10580</t>
  </si>
  <si>
    <t xml:space="preserve">ORD_10581</t>
  </si>
  <si>
    <t xml:space="preserve">ORD_10582</t>
  </si>
  <si>
    <t xml:space="preserve">ORD_10583</t>
  </si>
  <si>
    <t xml:space="preserve">ORD_10584</t>
  </si>
  <si>
    <t xml:space="preserve">ORD_10585</t>
  </si>
  <si>
    <t xml:space="preserve">ORD_10586</t>
  </si>
  <si>
    <t xml:space="preserve">ORD_10587</t>
  </si>
  <si>
    <t xml:space="preserve">ORD_10588</t>
  </si>
  <si>
    <t xml:space="preserve">ORD_10589</t>
  </si>
  <si>
    <t xml:space="preserve">ORD_10590</t>
  </si>
  <si>
    <t xml:space="preserve">ORD_10591</t>
  </si>
  <si>
    <t xml:space="preserve">ORD_10592</t>
  </si>
  <si>
    <t xml:space="preserve">ORD_10593</t>
  </si>
  <si>
    <t xml:space="preserve">ORD_10594</t>
  </si>
  <si>
    <t xml:space="preserve">ORD_10595</t>
  </si>
  <si>
    <t xml:space="preserve">ORD_10596</t>
  </si>
  <si>
    <t xml:space="preserve">ORD_10597</t>
  </si>
  <si>
    <t xml:space="preserve">ORD_10598</t>
  </si>
  <si>
    <t xml:space="preserve">ORD_10599</t>
  </si>
  <si>
    <t xml:space="preserve">ORD_10600</t>
  </si>
  <si>
    <t xml:space="preserve">ORD_10601</t>
  </si>
  <si>
    <t xml:space="preserve">ORD_10602</t>
  </si>
  <si>
    <t xml:space="preserve">ORD_10603</t>
  </si>
  <si>
    <t xml:space="preserve">ORD_10604</t>
  </si>
  <si>
    <t xml:space="preserve">ORD_10605</t>
  </si>
  <si>
    <t xml:space="preserve">ORD_10606</t>
  </si>
  <si>
    <t xml:space="preserve">ORD_10607</t>
  </si>
  <si>
    <t xml:space="preserve">ORD_10608</t>
  </si>
  <si>
    <t xml:space="preserve">ORD_10609</t>
  </si>
  <si>
    <t xml:space="preserve">ORD_10610</t>
  </si>
  <si>
    <t xml:space="preserve">ORD_10611</t>
  </si>
  <si>
    <t xml:space="preserve">ORD_10612</t>
  </si>
  <si>
    <t xml:space="preserve">ORD_10613</t>
  </si>
  <si>
    <t xml:space="preserve">ORD_10614</t>
  </si>
  <si>
    <t xml:space="preserve">ORD_10615</t>
  </si>
  <si>
    <t xml:space="preserve">ORD_10616</t>
  </si>
  <si>
    <t xml:space="preserve">ORD_10617</t>
  </si>
  <si>
    <t xml:space="preserve">ORD_10618</t>
  </si>
  <si>
    <t xml:space="preserve">ORD_10619</t>
  </si>
  <si>
    <t xml:space="preserve">ORD_10620</t>
  </si>
  <si>
    <t xml:space="preserve">ORD_10621</t>
  </si>
  <si>
    <t xml:space="preserve">ORD_10622</t>
  </si>
  <si>
    <t xml:space="preserve">ORD_10623</t>
  </si>
  <si>
    <t xml:space="preserve">ORD_10624</t>
  </si>
  <si>
    <t xml:space="preserve">ORD_10625</t>
  </si>
  <si>
    <t xml:space="preserve">ORD_10626</t>
  </si>
  <si>
    <t xml:space="preserve">ORD_10627</t>
  </si>
  <si>
    <t xml:space="preserve">ORD_10628</t>
  </si>
  <si>
    <t xml:space="preserve">ORD_10629</t>
  </si>
  <si>
    <t xml:space="preserve">ORD_10630</t>
  </si>
  <si>
    <t xml:space="preserve">ORD_10631</t>
  </si>
  <si>
    <t xml:space="preserve">ORD_10632</t>
  </si>
  <si>
    <t xml:space="preserve">ORD_10633</t>
  </si>
  <si>
    <t xml:space="preserve">ORD_10634</t>
  </si>
  <si>
    <t xml:space="preserve">ORD_10635</t>
  </si>
  <si>
    <t xml:space="preserve">ORD_10636</t>
  </si>
  <si>
    <t xml:space="preserve">ORD_10637</t>
  </si>
  <si>
    <t xml:space="preserve">ORD_10638</t>
  </si>
  <si>
    <t xml:space="preserve">ORD_10639</t>
  </si>
  <si>
    <t xml:space="preserve">ORD_10640</t>
  </si>
  <si>
    <t xml:space="preserve">ORD_10641</t>
  </si>
  <si>
    <t xml:space="preserve">ORD_10642</t>
  </si>
  <si>
    <t xml:space="preserve">ORD_10643</t>
  </si>
  <si>
    <t xml:space="preserve">ORD_10644</t>
  </si>
  <si>
    <t xml:space="preserve">ORD_10645</t>
  </si>
  <si>
    <t xml:space="preserve">ORD_10646</t>
  </si>
  <si>
    <t xml:space="preserve">ORD_10647</t>
  </si>
  <si>
    <t xml:space="preserve">ORD_10648</t>
  </si>
  <si>
    <t xml:space="preserve">ORD_10649</t>
  </si>
  <si>
    <t xml:space="preserve">ORD_10650</t>
  </si>
  <si>
    <t xml:space="preserve">ORD_10651</t>
  </si>
  <si>
    <t xml:space="preserve">ORD_10652</t>
  </si>
  <si>
    <t xml:space="preserve">ORD_10653</t>
  </si>
  <si>
    <t xml:space="preserve">ORD_10654</t>
  </si>
  <si>
    <t xml:space="preserve">ORD_10655</t>
  </si>
  <si>
    <t xml:space="preserve">ORD_10656</t>
  </si>
  <si>
    <t xml:space="preserve">ORD_10657</t>
  </si>
  <si>
    <t xml:space="preserve">ORD_10658</t>
  </si>
  <si>
    <t xml:space="preserve">ORD_10659</t>
  </si>
  <si>
    <t xml:space="preserve">ORD_10660</t>
  </si>
  <si>
    <t xml:space="preserve">ORD_10661</t>
  </si>
  <si>
    <t xml:space="preserve">ORD_10662</t>
  </si>
  <si>
    <t xml:space="preserve">ORD_10663</t>
  </si>
  <si>
    <t xml:space="preserve">ORD_10664</t>
  </si>
  <si>
    <t xml:space="preserve">ORD_10665</t>
  </si>
  <si>
    <t xml:space="preserve">ORD_10666</t>
  </si>
  <si>
    <t xml:space="preserve">ORD_10667</t>
  </si>
  <si>
    <t xml:space="preserve">ORD_10668</t>
  </si>
  <si>
    <t xml:space="preserve">ORD_10669</t>
  </si>
  <si>
    <t xml:space="preserve">ORD_10670</t>
  </si>
  <si>
    <t xml:space="preserve">ORD_10671</t>
  </si>
  <si>
    <t xml:space="preserve">ORD_10672</t>
  </si>
  <si>
    <t xml:space="preserve">ORD_10673</t>
  </si>
  <si>
    <t xml:space="preserve">ORD_10674</t>
  </si>
  <si>
    <t xml:space="preserve">ORD_10675</t>
  </si>
  <si>
    <t xml:space="preserve">ORD_10676</t>
  </si>
  <si>
    <t xml:space="preserve">ORD_10677</t>
  </si>
  <si>
    <t xml:space="preserve">ORD_10678</t>
  </si>
  <si>
    <t xml:space="preserve">ORD_10679</t>
  </si>
  <si>
    <t xml:space="preserve">ORD_10680</t>
  </si>
  <si>
    <t xml:space="preserve">ORD_10681</t>
  </si>
  <si>
    <t xml:space="preserve">ORD_10682</t>
  </si>
  <si>
    <t xml:space="preserve">ORD_10683</t>
  </si>
  <si>
    <t xml:space="preserve">ORD_10684</t>
  </si>
  <si>
    <t xml:space="preserve">ORD_10685</t>
  </si>
  <si>
    <t xml:space="preserve">ORD_10686</t>
  </si>
  <si>
    <t xml:space="preserve">ORD_10687</t>
  </si>
  <si>
    <t xml:space="preserve">ORD_10688</t>
  </si>
  <si>
    <t xml:space="preserve">ORD_10689</t>
  </si>
  <si>
    <t xml:space="preserve">ORD_10690</t>
  </si>
  <si>
    <t xml:space="preserve">ORD_10691</t>
  </si>
  <si>
    <t xml:space="preserve">ORD_10692</t>
  </si>
  <si>
    <t xml:space="preserve">ORD_10693</t>
  </si>
  <si>
    <t xml:space="preserve">ORD_10694</t>
  </si>
  <si>
    <t xml:space="preserve">ORD_10695</t>
  </si>
  <si>
    <t xml:space="preserve">ORD_10696</t>
  </si>
  <si>
    <t xml:space="preserve">ORD_10697</t>
  </si>
  <si>
    <t xml:space="preserve">ORD_10698</t>
  </si>
  <si>
    <t xml:space="preserve">ORD_10699</t>
  </si>
  <si>
    <t xml:space="preserve">ORD_10700</t>
  </si>
  <si>
    <t xml:space="preserve">ORD_10701</t>
  </si>
  <si>
    <t xml:space="preserve">ORD_10702</t>
  </si>
  <si>
    <t xml:space="preserve">ORD_10703</t>
  </si>
  <si>
    <t xml:space="preserve">ORD_10704</t>
  </si>
  <si>
    <t xml:space="preserve">ORD_10705</t>
  </si>
  <si>
    <t xml:space="preserve">ORD_10706</t>
  </si>
  <si>
    <t xml:space="preserve">ORD_10707</t>
  </si>
  <si>
    <t xml:space="preserve">ORD_10708</t>
  </si>
  <si>
    <t xml:space="preserve">ORD_10709</t>
  </si>
  <si>
    <t xml:space="preserve">ORD_10710</t>
  </si>
  <si>
    <t xml:space="preserve">ORD_10711</t>
  </si>
  <si>
    <t xml:space="preserve">ORD_10712</t>
  </si>
  <si>
    <t xml:space="preserve">ORD_10713</t>
  </si>
  <si>
    <t xml:space="preserve">ORD_10714</t>
  </si>
  <si>
    <t xml:space="preserve">ORD_10715</t>
  </si>
  <si>
    <t xml:space="preserve">ORD_10716</t>
  </si>
  <si>
    <t xml:space="preserve">ORD_10717</t>
  </si>
  <si>
    <t xml:space="preserve">ORD_10718</t>
  </si>
  <si>
    <t xml:space="preserve">ORD_10719</t>
  </si>
  <si>
    <t xml:space="preserve">ORD_10720</t>
  </si>
  <si>
    <t xml:space="preserve">ORD_10721</t>
  </si>
  <si>
    <t xml:space="preserve">ORD_10722</t>
  </si>
  <si>
    <t xml:space="preserve">ORD_10723</t>
  </si>
  <si>
    <t xml:space="preserve">ORD_10724</t>
  </si>
  <si>
    <t xml:space="preserve">ORD_10725</t>
  </si>
  <si>
    <t xml:space="preserve">ORD_10726</t>
  </si>
  <si>
    <t xml:space="preserve">ORD_10727</t>
  </si>
  <si>
    <t xml:space="preserve">ORD_10728</t>
  </si>
  <si>
    <t xml:space="preserve">ORD_10729</t>
  </si>
  <si>
    <t xml:space="preserve">ORD_10730</t>
  </si>
  <si>
    <t xml:space="preserve">ORD_10731</t>
  </si>
  <si>
    <t xml:space="preserve">ORD_10732</t>
  </si>
  <si>
    <t xml:space="preserve">ORD_10733</t>
  </si>
  <si>
    <t xml:space="preserve">ORD_10734</t>
  </si>
  <si>
    <t xml:space="preserve">ORD_10735</t>
  </si>
  <si>
    <t xml:space="preserve">ORD_10736</t>
  </si>
  <si>
    <t xml:space="preserve">ORD_10737</t>
  </si>
  <si>
    <t xml:space="preserve">ORD_10738</t>
  </si>
  <si>
    <t xml:space="preserve">ORD_10739</t>
  </si>
  <si>
    <t xml:space="preserve">ORD_10740</t>
  </si>
  <si>
    <t xml:space="preserve">ORD_10741</t>
  </si>
  <si>
    <t xml:space="preserve">ORD_10742</t>
  </si>
  <si>
    <t xml:space="preserve">ORD_10743</t>
  </si>
  <si>
    <t xml:space="preserve">ORD_10744</t>
  </si>
  <si>
    <t xml:space="preserve">ORD_10745</t>
  </si>
  <si>
    <t xml:space="preserve">ORD_10746</t>
  </si>
  <si>
    <t xml:space="preserve">ORD_10747</t>
  </si>
  <si>
    <t xml:space="preserve">ORD_10748</t>
  </si>
  <si>
    <t xml:space="preserve">ORD_10749</t>
  </si>
  <si>
    <t xml:space="preserve">ORD_10750</t>
  </si>
  <si>
    <t xml:space="preserve">ORD_10751</t>
  </si>
  <si>
    <t xml:space="preserve">ORD_10752</t>
  </si>
  <si>
    <t xml:space="preserve">ORD_10753</t>
  </si>
  <si>
    <t xml:space="preserve">ORD_10754</t>
  </si>
  <si>
    <t xml:space="preserve">ORD_10755</t>
  </si>
  <si>
    <t xml:space="preserve">ORD_10756</t>
  </si>
  <si>
    <t xml:space="preserve">ORD_10757</t>
  </si>
  <si>
    <t xml:space="preserve">ORD_10758</t>
  </si>
  <si>
    <t xml:space="preserve">ORD_10759</t>
  </si>
  <si>
    <t xml:space="preserve">ORD_10760</t>
  </si>
  <si>
    <t xml:space="preserve">ORD_10761</t>
  </si>
  <si>
    <t xml:space="preserve">ORD_10762</t>
  </si>
  <si>
    <t xml:space="preserve">ORD_10763</t>
  </si>
  <si>
    <t xml:space="preserve">ORD_10764</t>
  </si>
  <si>
    <t xml:space="preserve">ORD_10765</t>
  </si>
  <si>
    <t xml:space="preserve">ORD_10766</t>
  </si>
  <si>
    <t xml:space="preserve">ORD_10767</t>
  </si>
  <si>
    <t xml:space="preserve">ORD_10768</t>
  </si>
  <si>
    <t xml:space="preserve">ORD_10769</t>
  </si>
  <si>
    <t xml:space="preserve">ORD_10770</t>
  </si>
  <si>
    <t xml:space="preserve">ORD_10771</t>
  </si>
  <si>
    <t xml:space="preserve">ORD_10772</t>
  </si>
  <si>
    <t xml:space="preserve">ORD_10773</t>
  </si>
  <si>
    <t xml:space="preserve">ORD_10774</t>
  </si>
  <si>
    <t xml:space="preserve">ORD_10775</t>
  </si>
  <si>
    <t xml:space="preserve">ORD_10776</t>
  </si>
  <si>
    <t xml:space="preserve">ORD_10777</t>
  </si>
  <si>
    <t xml:space="preserve">ORD_10778</t>
  </si>
  <si>
    <t xml:space="preserve">ORD_10779</t>
  </si>
  <si>
    <t xml:space="preserve">ORD_10780</t>
  </si>
  <si>
    <t xml:space="preserve">ORD_10781</t>
  </si>
  <si>
    <t xml:space="preserve">ORD_10782</t>
  </si>
  <si>
    <t xml:space="preserve">ORD_10783</t>
  </si>
  <si>
    <t xml:space="preserve">ORD_10784</t>
  </si>
  <si>
    <t xml:space="preserve">ORD_10785</t>
  </si>
  <si>
    <t xml:space="preserve">ORD_10786</t>
  </si>
  <si>
    <t xml:space="preserve">ORD_10787</t>
  </si>
  <si>
    <t xml:space="preserve">ORD_10788</t>
  </si>
  <si>
    <t xml:space="preserve">ORD_10789</t>
  </si>
  <si>
    <t xml:space="preserve">ORD_10790</t>
  </si>
  <si>
    <t xml:space="preserve">ORD_10791</t>
  </si>
  <si>
    <t xml:space="preserve">ORD_10792</t>
  </si>
  <si>
    <t xml:space="preserve">ORD_10793</t>
  </si>
  <si>
    <t xml:space="preserve">ORD_10794</t>
  </si>
  <si>
    <t xml:space="preserve">ORD_10795</t>
  </si>
  <si>
    <t xml:space="preserve">ORD_10796</t>
  </si>
  <si>
    <t xml:space="preserve">ORD_10797</t>
  </si>
  <si>
    <t xml:space="preserve">ORD_10798</t>
  </si>
  <si>
    <t xml:space="preserve">ORD_10799</t>
  </si>
  <si>
    <t xml:space="preserve">ORD_10800</t>
  </si>
  <si>
    <t xml:space="preserve">ORD_10801</t>
  </si>
  <si>
    <t xml:space="preserve">ORD_10802</t>
  </si>
  <si>
    <t xml:space="preserve">ORD_10803</t>
  </si>
  <si>
    <t xml:space="preserve">ORD_10804</t>
  </si>
  <si>
    <t xml:space="preserve">ORD_10805</t>
  </si>
  <si>
    <t xml:space="preserve">ORD_10806</t>
  </si>
  <si>
    <t xml:space="preserve">ORD_10807</t>
  </si>
  <si>
    <t xml:space="preserve">ORD_10808</t>
  </si>
  <si>
    <t xml:space="preserve">ORD_10809</t>
  </si>
  <si>
    <t xml:space="preserve">ORD_10810</t>
  </si>
  <si>
    <t xml:space="preserve">ORD_10811</t>
  </si>
  <si>
    <t xml:space="preserve">ORD_10812</t>
  </si>
  <si>
    <t xml:space="preserve">ORD_10813</t>
  </si>
  <si>
    <t xml:space="preserve">ORD_10814</t>
  </si>
  <si>
    <t xml:space="preserve">ORD_10815</t>
  </si>
  <si>
    <t xml:space="preserve">ORD_10816</t>
  </si>
  <si>
    <t xml:space="preserve">ORD_10817</t>
  </si>
  <si>
    <t xml:space="preserve">ORD_10818</t>
  </si>
  <si>
    <t xml:space="preserve">ORD_10819</t>
  </si>
  <si>
    <t xml:space="preserve">ORD_10820</t>
  </si>
  <si>
    <t xml:space="preserve">ORD_10821</t>
  </si>
  <si>
    <t xml:space="preserve">ORD_10822</t>
  </si>
  <si>
    <t xml:space="preserve">ORD_10823</t>
  </si>
  <si>
    <t xml:space="preserve">ORD_10824</t>
  </si>
  <si>
    <t xml:space="preserve">ORD_10825</t>
  </si>
  <si>
    <t xml:space="preserve">ORD_10826</t>
  </si>
  <si>
    <t xml:space="preserve">ORD_10827</t>
  </si>
  <si>
    <t xml:space="preserve">ORD_10828</t>
  </si>
  <si>
    <t xml:space="preserve">ORD_10829</t>
  </si>
  <si>
    <t xml:space="preserve">ORD_10830</t>
  </si>
  <si>
    <t xml:space="preserve">ORD_10831</t>
  </si>
  <si>
    <t xml:space="preserve">ORD_10832</t>
  </si>
  <si>
    <t xml:space="preserve">ORD_10833</t>
  </si>
  <si>
    <t xml:space="preserve">ORD_10834</t>
  </si>
  <si>
    <t xml:space="preserve">ORD_10835</t>
  </si>
  <si>
    <t xml:space="preserve">ORD_10836</t>
  </si>
  <si>
    <t xml:space="preserve">ORD_10837</t>
  </si>
  <si>
    <t xml:space="preserve">ORD_10838</t>
  </si>
  <si>
    <t xml:space="preserve">ORD_10839</t>
  </si>
  <si>
    <t xml:space="preserve">ORD_10840</t>
  </si>
  <si>
    <t xml:space="preserve">ORD_10841</t>
  </si>
  <si>
    <t xml:space="preserve">ORD_10842</t>
  </si>
  <si>
    <t xml:space="preserve">ORD_10843</t>
  </si>
  <si>
    <t xml:space="preserve">ORD_10844</t>
  </si>
  <si>
    <t xml:space="preserve">ORD_10845</t>
  </si>
  <si>
    <t xml:space="preserve">ORD_10846</t>
  </si>
  <si>
    <t xml:space="preserve">ORD_10847</t>
  </si>
  <si>
    <t xml:space="preserve">ORD_10848</t>
  </si>
  <si>
    <t xml:space="preserve">ORD_10849</t>
  </si>
  <si>
    <t xml:space="preserve">ORD_10850</t>
  </si>
  <si>
    <t xml:space="preserve">ORD_10851</t>
  </si>
  <si>
    <t xml:space="preserve">ORD_10852</t>
  </si>
  <si>
    <t xml:space="preserve">ORD_10853</t>
  </si>
  <si>
    <t xml:space="preserve">ORD_10854</t>
  </si>
  <si>
    <t xml:space="preserve">ORD_10855</t>
  </si>
  <si>
    <t xml:space="preserve">ORD_10856</t>
  </si>
  <si>
    <t xml:space="preserve">ORD_10857</t>
  </si>
  <si>
    <t xml:space="preserve">ORD_10858</t>
  </si>
  <si>
    <t xml:space="preserve">ORD_10859</t>
  </si>
  <si>
    <t xml:space="preserve">ORD_10860</t>
  </si>
  <si>
    <t xml:space="preserve">ORD_10861</t>
  </si>
  <si>
    <t xml:space="preserve">ORD_10862</t>
  </si>
  <si>
    <t xml:space="preserve">ORD_10863</t>
  </si>
  <si>
    <t xml:space="preserve">ORD_10864</t>
  </si>
  <si>
    <t xml:space="preserve">ORD_10865</t>
  </si>
  <si>
    <t xml:space="preserve">ORD_10866</t>
  </si>
  <si>
    <t xml:space="preserve">ORD_10867</t>
  </si>
  <si>
    <t xml:space="preserve">ORD_10868</t>
  </si>
  <si>
    <t xml:space="preserve">ORD_10869</t>
  </si>
  <si>
    <t xml:space="preserve">ORD_10870</t>
  </si>
  <si>
    <t xml:space="preserve">ORD_10871</t>
  </si>
  <si>
    <t xml:space="preserve">ORD_10872</t>
  </si>
  <si>
    <t xml:space="preserve">ORD_10873</t>
  </si>
  <si>
    <t xml:space="preserve">ORD_10874</t>
  </si>
  <si>
    <t xml:space="preserve">ORD_10875</t>
  </si>
  <si>
    <t xml:space="preserve">ORD_10876</t>
  </si>
  <si>
    <t xml:space="preserve">ORD_10877</t>
  </si>
  <si>
    <t xml:space="preserve">ORD_10878</t>
  </si>
  <si>
    <t xml:space="preserve">ORD_10879</t>
  </si>
  <si>
    <t xml:space="preserve">ORD_10880</t>
  </si>
  <si>
    <t xml:space="preserve">ORD_10881</t>
  </si>
  <si>
    <t xml:space="preserve">ORD_10882</t>
  </si>
  <si>
    <t xml:space="preserve">ORD_10883</t>
  </si>
  <si>
    <t xml:space="preserve">ORD_10884</t>
  </si>
  <si>
    <t xml:space="preserve">ORD_10885</t>
  </si>
  <si>
    <t xml:space="preserve">ORD_10886</t>
  </si>
  <si>
    <t xml:space="preserve">ORD_10887</t>
  </si>
  <si>
    <t xml:space="preserve">ORD_10888</t>
  </si>
  <si>
    <t xml:space="preserve">ORD_10889</t>
  </si>
  <si>
    <t xml:space="preserve">ORD_10890</t>
  </si>
  <si>
    <t xml:space="preserve">ORD_10891</t>
  </si>
  <si>
    <t xml:space="preserve">ORD_10892</t>
  </si>
  <si>
    <t xml:space="preserve">ORD_10893</t>
  </si>
  <si>
    <t xml:space="preserve">ORD_10894</t>
  </si>
  <si>
    <t xml:space="preserve">ORD_10895</t>
  </si>
  <si>
    <t xml:space="preserve">ORD_10896</t>
  </si>
  <si>
    <t xml:space="preserve">ORD_10897</t>
  </si>
  <si>
    <t xml:space="preserve">ORD_10898</t>
  </si>
  <si>
    <t xml:space="preserve">ORD_10899</t>
  </si>
  <si>
    <t xml:space="preserve">ORD_10900</t>
  </si>
  <si>
    <t xml:space="preserve">ORD_10901</t>
  </si>
  <si>
    <t xml:space="preserve">ORD_10902</t>
  </si>
  <si>
    <t xml:space="preserve">ORD_10903</t>
  </si>
  <si>
    <t xml:space="preserve">ORD_10904</t>
  </si>
  <si>
    <t xml:space="preserve">ORD_10905</t>
  </si>
  <si>
    <t xml:space="preserve">ORD_10906</t>
  </si>
  <si>
    <t xml:space="preserve">ORD_10907</t>
  </si>
  <si>
    <t xml:space="preserve">ORD_10908</t>
  </si>
  <si>
    <t xml:space="preserve">ORD_10909</t>
  </si>
  <si>
    <t xml:space="preserve">ORD_10910</t>
  </si>
  <si>
    <t xml:space="preserve">ORD_10911</t>
  </si>
  <si>
    <t xml:space="preserve">ORD_10912</t>
  </si>
  <si>
    <t xml:space="preserve">ORD_10913</t>
  </si>
  <si>
    <t xml:space="preserve">ORD_10914</t>
  </si>
  <si>
    <t xml:space="preserve">ORD_10915</t>
  </si>
  <si>
    <t xml:space="preserve">ORD_10916</t>
  </si>
  <si>
    <t xml:space="preserve">ORD_10917</t>
  </si>
  <si>
    <t xml:space="preserve">ORD_10918</t>
  </si>
  <si>
    <t xml:space="preserve">ORD_10919</t>
  </si>
  <si>
    <t xml:space="preserve">ORD_10920</t>
  </si>
  <si>
    <t xml:space="preserve">ORD_10921</t>
  </si>
  <si>
    <t xml:space="preserve">ORD_10922</t>
  </si>
  <si>
    <t xml:space="preserve">ORD_10923</t>
  </si>
  <si>
    <t xml:space="preserve">ORD_10924</t>
  </si>
  <si>
    <t xml:space="preserve">ORD_10925</t>
  </si>
  <si>
    <t xml:space="preserve">ORD_10926</t>
  </si>
  <si>
    <t xml:space="preserve">ORD_10927</t>
  </si>
  <si>
    <t xml:space="preserve">ORD_10928</t>
  </si>
  <si>
    <t xml:space="preserve">ORD_10929</t>
  </si>
  <si>
    <t xml:space="preserve">ORD_10930</t>
  </si>
  <si>
    <t xml:space="preserve">ORD_10931</t>
  </si>
  <si>
    <t xml:space="preserve">ORD_10932</t>
  </si>
  <si>
    <t xml:space="preserve">ORD_10933</t>
  </si>
  <si>
    <t xml:space="preserve">ORD_10934</t>
  </si>
  <si>
    <t xml:space="preserve">ORD_10935</t>
  </si>
  <si>
    <t xml:space="preserve">ORD_10936</t>
  </si>
  <si>
    <t xml:space="preserve">ORD_10937</t>
  </si>
  <si>
    <t xml:space="preserve">ORD_10938</t>
  </si>
  <si>
    <t xml:space="preserve">ORD_10939</t>
  </si>
  <si>
    <t xml:space="preserve">ORD_10940</t>
  </si>
  <si>
    <t xml:space="preserve">ORD_10941</t>
  </si>
  <si>
    <t xml:space="preserve">ORD_10942</t>
  </si>
  <si>
    <t xml:space="preserve">ORD_10943</t>
  </si>
  <si>
    <t xml:space="preserve">ORD_10944</t>
  </si>
  <si>
    <t xml:space="preserve">ORD_10945</t>
  </si>
  <si>
    <t xml:space="preserve">ORD_10946</t>
  </si>
  <si>
    <t xml:space="preserve">ORD_10947</t>
  </si>
  <si>
    <t xml:space="preserve">ORD_10948</t>
  </si>
  <si>
    <t xml:space="preserve">ORD_10949</t>
  </si>
  <si>
    <t xml:space="preserve">ORD_10950</t>
  </si>
  <si>
    <t xml:space="preserve">ORD_10951</t>
  </si>
  <si>
    <t xml:space="preserve">ORD_10952</t>
  </si>
  <si>
    <t xml:space="preserve">ORD_10953</t>
  </si>
  <si>
    <t xml:space="preserve">ORD_10954</t>
  </si>
  <si>
    <t xml:space="preserve">ORD_10955</t>
  </si>
  <si>
    <t xml:space="preserve">ORD_10956</t>
  </si>
  <si>
    <t xml:space="preserve">ORD_10957</t>
  </si>
  <si>
    <t xml:space="preserve">ORD_10958</t>
  </si>
  <si>
    <t xml:space="preserve">ORD_10959</t>
  </si>
  <si>
    <t xml:space="preserve">ORD_10960</t>
  </si>
  <si>
    <t xml:space="preserve">ORD_10961</t>
  </si>
  <si>
    <t xml:space="preserve">ORD_10962</t>
  </si>
  <si>
    <t xml:space="preserve">ORD_10963</t>
  </si>
  <si>
    <t xml:space="preserve">ORD_10964</t>
  </si>
  <si>
    <t xml:space="preserve">ORD_10965</t>
  </si>
  <si>
    <t xml:space="preserve">ORD_10966</t>
  </si>
  <si>
    <t xml:space="preserve">ORD_10967</t>
  </si>
  <si>
    <t xml:space="preserve">ORD_10968</t>
  </si>
  <si>
    <t xml:space="preserve">ORD_10969</t>
  </si>
  <si>
    <t xml:space="preserve">ORD_10970</t>
  </si>
  <si>
    <t xml:space="preserve">ORD_10971</t>
  </si>
  <si>
    <t xml:space="preserve">ORD_10972</t>
  </si>
  <si>
    <t xml:space="preserve">ORD_10973</t>
  </si>
  <si>
    <t xml:space="preserve">ORD_10974</t>
  </si>
  <si>
    <t xml:space="preserve">ORD_10975</t>
  </si>
  <si>
    <t xml:space="preserve">ORD_10976</t>
  </si>
  <si>
    <t xml:space="preserve">ORD_10977</t>
  </si>
  <si>
    <t xml:space="preserve">ORD_10978</t>
  </si>
  <si>
    <t xml:space="preserve">ORD_10979</t>
  </si>
  <si>
    <t xml:space="preserve">ORD_10980</t>
  </si>
  <si>
    <t xml:space="preserve">ORD_10981</t>
  </si>
  <si>
    <t xml:space="preserve">ORD_10982</t>
  </si>
  <si>
    <t xml:space="preserve">ORD_10983</t>
  </si>
  <si>
    <t xml:space="preserve">ORD_10984</t>
  </si>
  <si>
    <t xml:space="preserve">ORD_10985</t>
  </si>
  <si>
    <t xml:space="preserve">ORD_10986</t>
  </si>
  <si>
    <t xml:space="preserve">ORD_10987</t>
  </si>
  <si>
    <t xml:space="preserve">ORD_10988</t>
  </si>
  <si>
    <t xml:space="preserve">ORD_10989</t>
  </si>
  <si>
    <t xml:space="preserve">ORD_10990</t>
  </si>
  <si>
    <t xml:space="preserve">ORD_10991</t>
  </si>
  <si>
    <t xml:space="preserve">ORD_10992</t>
  </si>
  <si>
    <t xml:space="preserve">ORD_10993</t>
  </si>
  <si>
    <t xml:space="preserve">ORD_10994</t>
  </si>
  <si>
    <t xml:space="preserve">ORD_10995</t>
  </si>
  <si>
    <t xml:space="preserve">ORD_10996</t>
  </si>
  <si>
    <t xml:space="preserve">ORD_10997</t>
  </si>
  <si>
    <t xml:space="preserve">ORD_10998</t>
  </si>
  <si>
    <t xml:space="preserve">ORD_10999</t>
  </si>
  <si>
    <t xml:space="preserve">ORD_11000</t>
  </si>
  <si>
    <t xml:space="preserve">Notes, definitions and assumptions</t>
  </si>
  <si>
    <t xml:space="preserve">Source</t>
  </si>
  <si>
    <t xml:space="preserve">marketplace_orders_202610300200.csv – 1,000 orders, 20 Oct 2026 to 27 Oct 2026, 4 categories × 4 zones. Exported from DBeaver (table marketplace_orders).</t>
  </si>
  <si>
    <t xml:space="preserve">How to refresh</t>
  </si>
  <si>
    <t xml:space="preserve">Paste a new export into Data!A:K (same 11 columns, header in row 1, up to 5,000 rows). Every sheet recalculates. If new dates appear, add rows to the Daily sheet (copy the last row down). Column L (time_band) is a formula – leave it.</t>
  </si>
  <si>
    <t xml:space="preserve">Fulfillment rate</t>
  </si>
  <si>
    <t xml:space="preserve">Completed ÷ all orders.</t>
  </si>
  <si>
    <t xml:space="preserve">Cancellation rate</t>
  </si>
  <si>
    <t xml:space="preserve">(Cancelled_Customer + Cancelled_Provider) ÷ all orders.</t>
  </si>
  <si>
    <t xml:space="preserve">Unassigned % / vendor availability</t>
  </si>
  <si>
    <t xml:space="preserve">Orders with partner_assigned = FALSE ÷ orders. Partner availability = 1 − Unassigned %. The data has no partner IDs, so availability is measured from assignment outcomes, not from partner headcount.</t>
  </si>
  <si>
    <t xml:space="preserve">Avg TAT / SLA breach %</t>
  </si>
  <si>
    <t xml:space="preserve">TAT exists only for Completed orders, so both use completed orders as the denominator. is_sla_breach is taken as supplied (all breaches have TAT ≥ 66 min; no order under 60 min is flagged); the SLA limit itself is not in the data.</t>
  </si>
  <si>
    <t xml:space="preserve">Sum of order_value for cancelled orders (currency as in source; not specified).</t>
  </si>
  <si>
    <t xml:space="preserve">Time bands</t>
  </si>
  <si>
    <t xml:space="preserve">Night 00–05 · Morning 06–11 · Afternoon 12–16 · Evening 17–20 · Late 21–23 (hour of order_hour).</t>
  </si>
  <si>
    <t xml:space="preserve">Alert thresholds</t>
  </si>
  <si>
    <t xml:space="preserve">ASSUMPTION: 10%/15% unassigned and 3%/5% SLA breach are illustrative targets (Alerts!B4:B8, editable). Cells under the minimum order count show LOW VOLUME.</t>
  </si>
  <si>
    <t xml:space="preserve">Data-quality flag</t>
  </si>
  <si>
    <t xml:space="preserve">21 orders are Completed with partner_assigned = FALSE (all in Zone East, avg TAT ≈ 65 min). Likely a partner was found late and the flag was not updated – worth confirming with the data owner.</t>
  </si>
  <si>
    <t xml:space="preserve">Partial days</t>
  </si>
  <si>
    <t xml:space="preserve">First and last dates in the export have far fewer orders than the rest; treat their day-over-day changes with caution.</t>
  </si>
  <si>
    <t xml:space="preserve">Time zone</t>
  </si>
  <si>
    <t xml:space="preserve">order_hour has no stated time zone. The night-time demand peak is unusual for home services – confirm whether it is UTC.</t>
  </si>
  <si>
    <t xml:space="preserve">Findings text</t>
  </si>
  <si>
    <t xml:space="preserve">The 'Key findings' block on Dashboard is a static snapshot written from this export; KPI tiles, tables, charts and alert severities are live.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</si>
</sst>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%"/>
    <numFmt numFmtId="167" formatCode="0.0"/>
    <numFmt numFmtId="168" formatCode="0.00"/>
    <numFmt numFmtId="169" formatCode="0"/>
    <numFmt numFmtId="170" formatCode="0%"/>
    <numFmt numFmtId="171" formatCode="00"/>
    <numFmt numFmtId="172" formatCode="ddd\ dd\-mmm"/>
    <numFmt numFmtId="173" formatCode="\+0.0%;\-0.0%;0.0%"/>
    <numFmt numFmtId="174" formatCode="yyyy\-mm\-dd"/>
    <numFmt numFmtId="17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B7F8C"/>
        <bgColor rgb="FF008080"/>
      </patternFill>
    </fill>
    <fill>
      <patternFill patternType="solid">
        <fgColor rgb="FFEAF1F8"/>
        <bgColor rgb="FFFFFFFF"/>
      </patternFill>
    </fill>
    <fill>
      <patternFill patternType="solid">
        <fgColor rgb="FFFFFFFF"/>
        <bgColor rgb="FFEAF1F8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FFFFFF"/>
      </font>
      <fill>
        <patternFill>
          <bgColor rgb="FFF8696B"/>
        </patternFill>
      </fill>
    </dxf>
    <dxf>
      <fill>
        <patternFill>
          <bgColor rgb="FFFFD966"/>
        </patternFill>
      </fill>
    </dxf>
    <dxf>
      <fill>
        <patternFill>
          <bgColor rgb="FFC6E0B4"/>
        </patternFill>
      </fill>
    </dxf>
    <dxf>
      <font>
        <name val="Arial"/>
        <charset val="1"/>
        <family val="0"/>
        <i val="1"/>
        <color rgb="FF7F7F7F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F8C"/>
      <rgbColor rgb="FFBFBFBF"/>
      <rgbColor rgb="FF7F7F7F"/>
      <rgbColor rgb="FF5B9BD5"/>
      <rgbColor rgb="FF993366"/>
      <rgbColor rgb="FFFFFFCC"/>
      <rgbColor rgb="FFEAF1F8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Demand by service category (orders)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Category!B4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1b7f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Category!$A$5:$A$8</c:f>
              <c:strCache>
                <c:ptCount val="4"/>
                <c:pt idx="0">
                  <c:v>Appliance Repair</c:v>
                </c:pt>
                <c:pt idx="1">
                  <c:v>Home Cleaning</c:v>
                </c:pt>
                <c:pt idx="2">
                  <c:v>Plumbing</c:v>
                </c:pt>
                <c:pt idx="3">
                  <c:v>Salon Services</c:v>
                </c:pt>
              </c:strCache>
            </c:strRef>
          </c:cat>
          <c:val>
            <c:numRef>
              <c:f>Category!$B$5:$B$8</c:f>
              <c:numCache>
                <c:formatCode>#,##0</c:formatCode>
                <c:ptCount val="4"/>
                <c:pt idx="0">
                  <c:v>226</c:v>
                </c:pt>
                <c:pt idx="1">
                  <c:v>255</c:v>
                </c:pt>
                <c:pt idx="2">
                  <c:v>259</c:v>
                </c:pt>
                <c:pt idx="3">
                  <c:v>260</c:v>
                </c:pt>
              </c:numCache>
            </c:numRef>
          </c:val>
        </c:ser>
        <c:gapWidth val="150"/>
        <c:overlap val="0"/>
        <c:axId val="41147894"/>
        <c:axId val="95361743"/>
      </c:barChart>
      <c:catAx>
        <c:axId val="411478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61743"/>
        <c:crosses val="autoZero"/>
        <c:auto val="1"/>
        <c:lblAlgn val="ctr"/>
        <c:lblOffset val="100"/>
        <c:noMultiLvlLbl val="0"/>
      </c:catAx>
      <c:valAx>
        <c:axId val="9536174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478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Zone health: unassigned % vs SLA breach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Zone!J4</c:f>
              <c:strCache>
                <c:ptCount val="1"/>
                <c:pt idx="0">
                  <c:v>Unassigned %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Zone!$A$5:$A$8</c:f>
              <c:strCache>
                <c:ptCount val="4"/>
                <c:pt idx="0">
                  <c:v>Zone East</c:v>
                </c:pt>
                <c:pt idx="1">
                  <c:v>Zone North</c:v>
                </c:pt>
                <c:pt idx="2">
                  <c:v>Zone South</c:v>
                </c:pt>
                <c:pt idx="3">
                  <c:v>Zone West</c:v>
                </c:pt>
              </c:strCache>
            </c:strRef>
          </c:cat>
          <c:val>
            <c:numRef>
              <c:f>Zone!$J$5:$J$8</c:f>
              <c:numCache>
                <c:formatCode>0.0%</c:formatCode>
                <c:ptCount val="4"/>
                <c:pt idx="0">
                  <c:v>0.162162162162162</c:v>
                </c:pt>
                <c:pt idx="1">
                  <c:v>0.064</c:v>
                </c:pt>
                <c:pt idx="2">
                  <c:v>0.0476190476190476</c:v>
                </c:pt>
                <c:pt idx="3">
                  <c:v>0.0538461538461539</c:v>
                </c:pt>
              </c:numCache>
            </c:numRef>
          </c:val>
        </c:ser>
        <c:ser>
          <c:idx val="1"/>
          <c:order val="1"/>
          <c:tx>
            <c:strRef>
              <c:f>Zone!N4</c:f>
              <c:strCache>
                <c:ptCount val="1"/>
                <c:pt idx="0">
                  <c:v>SLA breach %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Zone!$A$5:$A$8</c:f>
              <c:strCache>
                <c:ptCount val="4"/>
                <c:pt idx="0">
                  <c:v>Zone East</c:v>
                </c:pt>
                <c:pt idx="1">
                  <c:v>Zone North</c:v>
                </c:pt>
                <c:pt idx="2">
                  <c:v>Zone South</c:v>
                </c:pt>
                <c:pt idx="3">
                  <c:v>Zone West</c:v>
                </c:pt>
              </c:strCache>
            </c:strRef>
          </c:cat>
          <c:val>
            <c:numRef>
              <c:f>Zone!$N$5:$N$8</c:f>
              <c:numCache>
                <c:formatCode>0.0%</c:formatCode>
                <c:ptCount val="4"/>
                <c:pt idx="0">
                  <c:v>0.0930232558139535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39596546"/>
        <c:axId val="20466953"/>
      </c:barChart>
      <c:catAx>
        <c:axId val="395965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66953"/>
        <c:crosses val="autoZero"/>
        <c:auto val="1"/>
        <c:lblAlgn val="ctr"/>
        <c:lblOffset val="100"/>
        <c:noMultiLvlLbl val="0"/>
      </c:catAx>
      <c:valAx>
        <c:axId val="2046695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965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order volume (edge days are partial)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Daily!F4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1f3864"/>
            </a:solidFill>
            <a:ln w="284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Daily!$A$5:$A$12</c:f>
              <c:strCache>
                <c:ptCount val="8"/>
                <c:pt idx="0">
                  <c:v>Tue 20-Oct</c:v>
                </c:pt>
                <c:pt idx="1">
                  <c:v>Wed 21-Oct</c:v>
                </c:pt>
                <c:pt idx="2">
                  <c:v>Thu 22-Oct</c:v>
                </c:pt>
                <c:pt idx="3">
                  <c:v>Fri 23-Oct</c:v>
                </c:pt>
                <c:pt idx="4">
                  <c:v>Sat 24-Oct</c:v>
                </c:pt>
                <c:pt idx="5">
                  <c:v>Sun 25-Oct</c:v>
                </c:pt>
                <c:pt idx="6">
                  <c:v>Mon 26-Oct</c:v>
                </c:pt>
                <c:pt idx="7">
                  <c:v>Tue 27-Oct</c:v>
                </c:pt>
              </c:strCache>
            </c:strRef>
          </c:cat>
          <c:val>
            <c:numRef>
              <c:f>Daily!$F$5:$F$12</c:f>
              <c:numCache>
                <c:formatCode>#,##0</c:formatCode>
                <c:ptCount val="8"/>
                <c:pt idx="0">
                  <c:v>78</c:v>
                </c:pt>
                <c:pt idx="1">
                  <c:v>144</c:v>
                </c:pt>
                <c:pt idx="2">
                  <c:v>133</c:v>
                </c:pt>
                <c:pt idx="3">
                  <c:v>143</c:v>
                </c:pt>
                <c:pt idx="4">
                  <c:v>142</c:v>
                </c:pt>
                <c:pt idx="5">
                  <c:v>154</c:v>
                </c:pt>
                <c:pt idx="6">
                  <c:v>141</c:v>
                </c:pt>
                <c:pt idx="7">
                  <c:v>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Daily!H4</c:f>
              <c:strCache>
                <c:ptCount val="1"/>
                <c:pt idx="0">
                  <c:v>3-day moving avg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Daily!$A$5:$A$12</c:f>
              <c:strCache>
                <c:ptCount val="8"/>
                <c:pt idx="0">
                  <c:v>Tue 20-Oct</c:v>
                </c:pt>
                <c:pt idx="1">
                  <c:v>Wed 21-Oct</c:v>
                </c:pt>
                <c:pt idx="2">
                  <c:v>Thu 22-Oct</c:v>
                </c:pt>
                <c:pt idx="3">
                  <c:v>Fri 23-Oct</c:v>
                </c:pt>
                <c:pt idx="4">
                  <c:v>Sat 24-Oct</c:v>
                </c:pt>
                <c:pt idx="5">
                  <c:v>Sun 25-Oct</c:v>
                </c:pt>
                <c:pt idx="6">
                  <c:v>Mon 26-Oct</c:v>
                </c:pt>
                <c:pt idx="7">
                  <c:v>Tue 27-Oct</c:v>
                </c:pt>
              </c:strCache>
            </c:strRef>
          </c:cat>
          <c:val>
            <c:numRef>
              <c:f>Daily!$H$5:$H$12</c:f>
              <c:numCache>
                <c:formatCode>0.0</c:formatCode>
                <c:ptCount val="8"/>
                <c:pt idx="0">
                  <c:v>78</c:v>
                </c:pt>
                <c:pt idx="1">
                  <c:v>111</c:v>
                </c:pt>
                <c:pt idx="2">
                  <c:v>118.333333333333</c:v>
                </c:pt>
                <c:pt idx="3">
                  <c:v>140</c:v>
                </c:pt>
                <c:pt idx="4">
                  <c:v>139.333333333333</c:v>
                </c:pt>
                <c:pt idx="5">
                  <c:v>146.333333333333</c:v>
                </c:pt>
                <c:pt idx="6">
                  <c:v>145.666666666667</c:v>
                </c:pt>
                <c:pt idx="7">
                  <c:v>120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875440"/>
        <c:axId val="75801396"/>
      </c:lineChart>
      <c:catAx>
        <c:axId val="64875440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01396"/>
        <c:crosses val="autoZero"/>
        <c:auto val="1"/>
        <c:lblAlgn val="ctr"/>
        <c:lblOffset val="100"/>
        <c:noMultiLvlLbl val="0"/>
      </c:catAx>
      <c:valAx>
        <c:axId val="7580139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754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'Time Band'!B4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'Time Band'!$A$5:$A$28</c:f>
              <c:strCache>
                <c:ptCount val="24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'Time Band'!$B$5:$B$28</c:f>
              <c:numCache>
                <c:formatCode>#,##0</c:formatCode>
                <c:ptCount val="24"/>
                <c:pt idx="0">
                  <c:v>79</c:v>
                </c:pt>
                <c:pt idx="1">
                  <c:v>102</c:v>
                </c:pt>
                <c:pt idx="2">
                  <c:v>91</c:v>
                </c:pt>
                <c:pt idx="3">
                  <c:v>70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3</c:v>
                </c:pt>
                <c:pt idx="8">
                  <c:v>12</c:v>
                </c:pt>
                <c:pt idx="9">
                  <c:v>6</c:v>
                </c:pt>
                <c:pt idx="10">
                  <c:v>4</c:v>
                </c:pt>
                <c:pt idx="11">
                  <c:v>15</c:v>
                </c:pt>
                <c:pt idx="12">
                  <c:v>13</c:v>
                </c:pt>
                <c:pt idx="13">
                  <c:v>17</c:v>
                </c:pt>
                <c:pt idx="14">
                  <c:v>26</c:v>
                </c:pt>
                <c:pt idx="15">
                  <c:v>39</c:v>
                </c:pt>
                <c:pt idx="16">
                  <c:v>69</c:v>
                </c:pt>
                <c:pt idx="17">
                  <c:v>83</c:v>
                </c:pt>
                <c:pt idx="18">
                  <c:v>63</c:v>
                </c:pt>
                <c:pt idx="19">
                  <c:v>52</c:v>
                </c:pt>
                <c:pt idx="20">
                  <c:v>39</c:v>
                </c:pt>
                <c:pt idx="21">
                  <c:v>54</c:v>
                </c:pt>
                <c:pt idx="22">
                  <c:v>49</c:v>
                </c:pt>
                <c:pt idx="23">
                  <c:v>47</c:v>
                </c:pt>
              </c:numCache>
            </c:numRef>
          </c:val>
        </c:ser>
        <c:gapWidth val="40"/>
        <c:overlap val="0"/>
        <c:axId val="52948332"/>
        <c:axId val="78914799"/>
      </c:barChart>
      <c:catAx>
        <c:axId val="52948332"/>
        <c:scaling>
          <c:orientation val="minMax"/>
        </c:scaling>
        <c:delete val="0"/>
        <c:axPos val="b"/>
        <c:numFmt formatCode="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14799"/>
        <c:crosses val="autoZero"/>
        <c:auto val="1"/>
        <c:lblAlgn val="ctr"/>
        <c:lblOffset val="100"/>
        <c:noMultiLvlLbl val="0"/>
      </c:catAx>
      <c:valAx>
        <c:axId val="78914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483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5</xdr:col>
      <xdr:colOff>798480</xdr:colOff>
      <xdr:row>23</xdr:row>
      <xdr:rowOff>43200</xdr:rowOff>
    </xdr:to>
    <xdr:graphicFrame>
      <xdr:nvGraphicFramePr>
        <xdr:cNvPr id="0" name="Chart 1"/>
        <xdr:cNvGraphicFramePr/>
      </xdr:nvGraphicFramePr>
      <xdr:xfrm>
        <a:off x="141120" y="2324160"/>
        <a:ext cx="4463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0</xdr:rowOff>
    </xdr:from>
    <xdr:to>
      <xdr:col>10</xdr:col>
      <xdr:colOff>798480</xdr:colOff>
      <xdr:row>23</xdr:row>
      <xdr:rowOff>43200</xdr:rowOff>
    </xdr:to>
    <xdr:graphicFrame>
      <xdr:nvGraphicFramePr>
        <xdr:cNvPr id="1" name="Chart 2"/>
        <xdr:cNvGraphicFramePr/>
      </xdr:nvGraphicFramePr>
      <xdr:xfrm>
        <a:off x="4722480" y="2324160"/>
        <a:ext cx="4463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5</xdr:col>
      <xdr:colOff>798480</xdr:colOff>
      <xdr:row>38</xdr:row>
      <xdr:rowOff>42840</xdr:rowOff>
    </xdr:to>
    <xdr:graphicFrame>
      <xdr:nvGraphicFramePr>
        <xdr:cNvPr id="2" name="Chart 3"/>
        <xdr:cNvGraphicFramePr/>
      </xdr:nvGraphicFramePr>
      <xdr:xfrm>
        <a:off x="141120" y="5181480"/>
        <a:ext cx="4463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25</xdr:row>
      <xdr:rowOff>0</xdr:rowOff>
    </xdr:from>
    <xdr:to>
      <xdr:col>10</xdr:col>
      <xdr:colOff>798480</xdr:colOff>
      <xdr:row>38</xdr:row>
      <xdr:rowOff>42840</xdr:rowOff>
    </xdr:to>
    <xdr:graphicFrame>
      <xdr:nvGraphicFramePr>
        <xdr:cNvPr id="3" name="Chart 4"/>
        <xdr:cNvGraphicFramePr/>
      </xdr:nvGraphicFramePr>
      <xdr:xfrm>
        <a:off x="4722480" y="5181480"/>
        <a:ext cx="4463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K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1" min="2" style="0" width="13"/>
    <col collapsed="false" customWidth="true" hidden="false" outlineLevel="0" max="12" min="12" style="0" width="2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15" hidden="false" customHeight="false" outlineLevel="0" collapsed="false">
      <c r="B4" s="3" t="s">
        <v>2</v>
      </c>
      <c r="C4" s="3"/>
      <c r="D4" s="3" t="s">
        <v>3</v>
      </c>
      <c r="E4" s="3"/>
      <c r="F4" s="3" t="s">
        <v>4</v>
      </c>
      <c r="G4" s="3"/>
      <c r="H4" s="3" t="s">
        <v>5</v>
      </c>
      <c r="I4" s="3"/>
      <c r="J4" s="3" t="s">
        <v>6</v>
      </c>
      <c r="K4" s="3"/>
    </row>
    <row r="5" customFormat="false" ht="33.75" hidden="false" customHeight="true" outlineLevel="0" collapsed="false">
      <c r="B5" s="4" t="n">
        <f aca="false">Category!B9</f>
        <v>1000</v>
      </c>
      <c r="C5" s="4"/>
      <c r="D5" s="5" t="n">
        <f aca="false">Category!E9</f>
        <v>0.864</v>
      </c>
      <c r="E5" s="5"/>
      <c r="F5" s="5" t="n">
        <f aca="false">Category!H9</f>
        <v>0.136</v>
      </c>
      <c r="G5" s="5"/>
      <c r="H5" s="5" t="n">
        <f aca="false">Category!J9</f>
        <v>0.083</v>
      </c>
      <c r="I5" s="5"/>
      <c r="J5" s="6" t="n">
        <f aca="false">Category!L9</f>
        <v>38.7951388888889</v>
      </c>
      <c r="K5" s="6"/>
    </row>
    <row r="6" customFormat="false" ht="7.5" hidden="false" customHeight="true" outlineLevel="0" collapsed="false"/>
    <row r="7" customFormat="false" ht="15" hidden="false" customHeight="false" outlineLevel="0" collapsed="false">
      <c r="B7" s="3" t="s">
        <v>7</v>
      </c>
      <c r="C7" s="3"/>
      <c r="D7" s="3" t="s">
        <v>8</v>
      </c>
      <c r="E7" s="3"/>
      <c r="F7" s="3" t="s">
        <v>9</v>
      </c>
      <c r="G7" s="3"/>
      <c r="H7" s="3" t="s">
        <v>10</v>
      </c>
      <c r="I7" s="3"/>
      <c r="J7" s="3" t="s">
        <v>11</v>
      </c>
      <c r="K7" s="3"/>
    </row>
    <row r="8" customFormat="false" ht="33.75" hidden="false" customHeight="true" outlineLevel="0" collapsed="false">
      <c r="B8" s="5" t="n">
        <f aca="false">Category!N9</f>
        <v>0.0231481481481481</v>
      </c>
      <c r="C8" s="5"/>
      <c r="D8" s="7" t="n">
        <f aca="false">Category!O9</f>
        <v>4.22222222222222</v>
      </c>
      <c r="E8" s="7"/>
      <c r="F8" s="4" t="n">
        <f aca="false">Category!P9</f>
        <v>802398.17</v>
      </c>
      <c r="G8" s="4"/>
      <c r="H8" s="4" t="n">
        <f aca="false">Category!Q9</f>
        <v>105659.57</v>
      </c>
      <c r="I8" s="4"/>
      <c r="J8" s="8" t="n">
        <f aca="false">Alerts!E4</f>
        <v>4</v>
      </c>
      <c r="K8" s="8"/>
    </row>
    <row r="9" customFormat="false" ht="7.5" hidden="false" customHeight="true" outlineLevel="0" collapsed="false"/>
    <row r="41" customFormat="false" ht="15" hidden="false" customHeight="false" outlineLevel="0" collapsed="false">
      <c r="B41" s="9" t="s">
        <v>12</v>
      </c>
      <c r="C41" s="9"/>
      <c r="D41" s="9"/>
      <c r="E41" s="9"/>
      <c r="F41" s="9"/>
      <c r="G41" s="9"/>
      <c r="H41" s="9"/>
      <c r="I41" s="9"/>
      <c r="J41" s="9"/>
      <c r="K41" s="9"/>
    </row>
    <row r="42" customFormat="false" ht="43.5" hidden="false" customHeight="true" outlineLevel="0" collapsed="false">
      <c r="B42" s="10" t="s">
        <v>13</v>
      </c>
      <c r="C42" s="10"/>
      <c r="D42" s="10"/>
      <c r="E42" s="10"/>
      <c r="F42" s="10"/>
      <c r="G42" s="10"/>
      <c r="H42" s="10"/>
      <c r="I42" s="10"/>
      <c r="J42" s="10"/>
      <c r="K42" s="10"/>
    </row>
    <row r="43" customFormat="false" ht="43.5" hidden="false" customHeight="true" outlineLevel="0" collapsed="false">
      <c r="B43" s="10" t="s">
        <v>14</v>
      </c>
      <c r="C43" s="10"/>
      <c r="D43" s="10"/>
      <c r="E43" s="10"/>
      <c r="F43" s="10"/>
      <c r="G43" s="10"/>
      <c r="H43" s="10"/>
      <c r="I43" s="10"/>
      <c r="J43" s="10"/>
      <c r="K43" s="10"/>
    </row>
    <row r="44" customFormat="false" ht="43.5" hidden="false" customHeight="true" outlineLevel="0" collapsed="false">
      <c r="B44" s="10" t="s">
        <v>15</v>
      </c>
      <c r="C44" s="10"/>
      <c r="D44" s="10"/>
      <c r="E44" s="10"/>
      <c r="F44" s="10"/>
      <c r="G44" s="10"/>
      <c r="H44" s="10"/>
      <c r="I44" s="10"/>
      <c r="J44" s="10"/>
      <c r="K44" s="10"/>
    </row>
    <row r="45" customFormat="false" ht="43.5" hidden="false" customHeight="true" outlineLevel="0" collapsed="false">
      <c r="B45" s="10" t="s">
        <v>16</v>
      </c>
      <c r="C45" s="10"/>
      <c r="D45" s="10"/>
      <c r="E45" s="10"/>
      <c r="F45" s="10"/>
      <c r="G45" s="10"/>
      <c r="H45" s="10"/>
      <c r="I45" s="10"/>
      <c r="J45" s="10"/>
      <c r="K45" s="10"/>
    </row>
    <row r="46" customFormat="false" ht="43.5" hidden="false" customHeight="true" outlineLevel="0" collapsed="false">
      <c r="B46" s="10" t="s">
        <v>17</v>
      </c>
      <c r="C46" s="10"/>
      <c r="D46" s="10"/>
      <c r="E46" s="10"/>
      <c r="F46" s="10"/>
      <c r="G46" s="10"/>
      <c r="H46" s="10"/>
      <c r="I46" s="10"/>
      <c r="J46" s="10"/>
      <c r="K46" s="10"/>
    </row>
  </sheetData>
  <mergeCells count="28">
    <mergeCell ref="B1:K1"/>
    <mergeCell ref="B2:K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41:K41"/>
    <mergeCell ref="B42:K42"/>
    <mergeCell ref="B43:K43"/>
    <mergeCell ref="B44:K44"/>
    <mergeCell ref="B45:K45"/>
    <mergeCell ref="B46:K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7" min="2" style="0" width="13"/>
  </cols>
  <sheetData>
    <row r="1" customFormat="false" ht="17.35" hidden="false" customHeight="false" outlineLevel="0" collapsed="false">
      <c r="A1" s="11" t="s">
        <v>18</v>
      </c>
    </row>
    <row r="2" customFormat="false" ht="15" hidden="false" customHeight="false" outlineLevel="0" collapsed="false">
      <c r="A2" s="12" t="s">
        <v>19</v>
      </c>
    </row>
    <row r="4" customFormat="false" ht="31.5" hidden="false" customHeight="true" outlineLevel="0" collapsed="false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</row>
    <row r="5" customFormat="false" ht="15" hidden="false" customHeight="false" outlineLevel="0" collapsed="false">
      <c r="A5" s="14" t="s">
        <v>37</v>
      </c>
      <c r="B5" s="15" t="n">
        <f aca="false">COUNTIFS(d_cat,$A5)</f>
        <v>226</v>
      </c>
      <c r="C5" s="16" t="n">
        <f aca="false">B5/B$9</f>
        <v>0.226</v>
      </c>
      <c r="D5" s="15" t="n">
        <f aca="false">COUNTIFS(d_cat,$A5,d_status,"Completed")</f>
        <v>193</v>
      </c>
      <c r="E5" s="16" t="n">
        <f aca="false">IFERROR(D5/B5,0)</f>
        <v>0.853982300884956</v>
      </c>
      <c r="F5" s="15" t="n">
        <f aca="false">COUNTIFS(d_cat,$A5,d_status,"Cancelled_Customer")</f>
        <v>18</v>
      </c>
      <c r="G5" s="15" t="n">
        <f aca="false">COUNTIFS(d_cat,$A5,d_status,"Cancelled_Provider")</f>
        <v>15</v>
      </c>
      <c r="H5" s="16" t="n">
        <f aca="false">IFERROR((F5+G5)/B5,0)</f>
        <v>0.146017699115044</v>
      </c>
      <c r="I5" s="15" t="n">
        <f aca="false">COUNTIFS(d_cat,$A5,d_assigned,FALSE())</f>
        <v>19</v>
      </c>
      <c r="J5" s="16" t="n">
        <f aca="false">IFERROR(I5/B5,0)</f>
        <v>0.084070796460177</v>
      </c>
      <c r="K5" s="16" t="n">
        <f aca="false">1-J5</f>
        <v>0.915929203539823</v>
      </c>
      <c r="L5" s="17" t="n">
        <f aca="false">IFERROR(AVERAGEIFS(d_tat,d_cat,$A5),0)</f>
        <v>40.0259067357513</v>
      </c>
      <c r="M5" s="15" t="n">
        <f aca="false">SUMIFS(d_sla,d_cat,$A5)</f>
        <v>5</v>
      </c>
      <c r="N5" s="16" t="n">
        <f aca="false">IFERROR(M5/D5,0)</f>
        <v>0.0259067357512953</v>
      </c>
      <c r="O5" s="18" t="n">
        <f aca="false">IFERROR(AVERAGEIFS(d_rating,d_cat,$A5),0)</f>
        <v>4.24352331606218</v>
      </c>
      <c r="P5" s="15" t="n">
        <f aca="false">SUMIFS(d_value,d_cat,$A5)</f>
        <v>145556.4</v>
      </c>
      <c r="Q5" s="15" t="n">
        <f aca="false">SUMIFS(d_value,d_cat,$A5,d_status,"Cancelled*")</f>
        <v>21485.21</v>
      </c>
    </row>
    <row r="6" customFormat="false" ht="15" hidden="false" customHeight="false" outlineLevel="0" collapsed="false">
      <c r="A6" s="14" t="s">
        <v>38</v>
      </c>
      <c r="B6" s="15" t="n">
        <f aca="false">COUNTIFS(d_cat,$A6)</f>
        <v>255</v>
      </c>
      <c r="C6" s="16" t="n">
        <f aca="false">B6/B$9</f>
        <v>0.255</v>
      </c>
      <c r="D6" s="15" t="n">
        <f aca="false">COUNTIFS(d_cat,$A6,d_status,"Completed")</f>
        <v>224</v>
      </c>
      <c r="E6" s="16" t="n">
        <f aca="false">IFERROR(D6/B6,0)</f>
        <v>0.87843137254902</v>
      </c>
      <c r="F6" s="15" t="n">
        <f aca="false">COUNTIFS(d_cat,$A6,d_status,"Cancelled_Customer")</f>
        <v>18</v>
      </c>
      <c r="G6" s="15" t="n">
        <f aca="false">COUNTIFS(d_cat,$A6,d_status,"Cancelled_Provider")</f>
        <v>13</v>
      </c>
      <c r="H6" s="16" t="n">
        <f aca="false">IFERROR((F6+G6)/B6,0)</f>
        <v>0.12156862745098</v>
      </c>
      <c r="I6" s="15" t="n">
        <f aca="false">COUNTIFS(d_cat,$A6,d_assigned,FALSE())</f>
        <v>23</v>
      </c>
      <c r="J6" s="16" t="n">
        <f aca="false">IFERROR(I6/B6,0)</f>
        <v>0.0901960784313726</v>
      </c>
      <c r="K6" s="16" t="n">
        <f aca="false">1-J6</f>
        <v>0.909803921568627</v>
      </c>
      <c r="L6" s="17" t="n">
        <f aca="false">IFERROR(AVERAGEIFS(d_tat,d_cat,$A6),0)</f>
        <v>38.3616071428571</v>
      </c>
      <c r="M6" s="15" t="n">
        <f aca="false">SUMIFS(d_sla,d_cat,$A6)</f>
        <v>5</v>
      </c>
      <c r="N6" s="16" t="n">
        <f aca="false">IFERROR(M6/D6,0)</f>
        <v>0.0223214285714286</v>
      </c>
      <c r="O6" s="18" t="n">
        <f aca="false">IFERROR(AVERAGEIFS(d_rating,d_cat,$A6),0)</f>
        <v>4.19642857142857</v>
      </c>
      <c r="P6" s="15" t="n">
        <f aca="false">SUMIFS(d_value,d_cat,$A6)</f>
        <v>292986.26</v>
      </c>
      <c r="Q6" s="15" t="n">
        <f aca="false">SUMIFS(d_value,d_cat,$A6,d_status,"Cancelled*")</f>
        <v>35406.24</v>
      </c>
    </row>
    <row r="7" customFormat="false" ht="15" hidden="false" customHeight="false" outlineLevel="0" collapsed="false">
      <c r="A7" s="14" t="s">
        <v>39</v>
      </c>
      <c r="B7" s="15" t="n">
        <f aca="false">COUNTIFS(d_cat,$A7)</f>
        <v>259</v>
      </c>
      <c r="C7" s="16" t="n">
        <f aca="false">B7/B$9</f>
        <v>0.259</v>
      </c>
      <c r="D7" s="15" t="n">
        <f aca="false">COUNTIFS(d_cat,$A7,d_status,"Completed")</f>
        <v>220</v>
      </c>
      <c r="E7" s="16" t="n">
        <f aca="false">IFERROR(D7/B7,0)</f>
        <v>0.849420849420849</v>
      </c>
      <c r="F7" s="15" t="n">
        <f aca="false">COUNTIFS(d_cat,$A7,d_status,"Cancelled_Customer")</f>
        <v>24</v>
      </c>
      <c r="G7" s="15" t="n">
        <f aca="false">COUNTIFS(d_cat,$A7,d_status,"Cancelled_Provider")</f>
        <v>15</v>
      </c>
      <c r="H7" s="16" t="n">
        <f aca="false">IFERROR((F7+G7)/B7,0)</f>
        <v>0.150579150579151</v>
      </c>
      <c r="I7" s="15" t="n">
        <f aca="false">COUNTIFS(d_cat,$A7,d_assigned,FALSE())</f>
        <v>21</v>
      </c>
      <c r="J7" s="16" t="n">
        <f aca="false">IFERROR(I7/B7,0)</f>
        <v>0.0810810810810811</v>
      </c>
      <c r="K7" s="16" t="n">
        <f aca="false">1-J7</f>
        <v>0.918918918918919</v>
      </c>
      <c r="L7" s="17" t="n">
        <f aca="false">IFERROR(AVERAGEIFS(d_tat,d_cat,$A7),0)</f>
        <v>37.7454545454545</v>
      </c>
      <c r="M7" s="15" t="n">
        <f aca="false">SUMIFS(d_sla,d_cat,$A7)</f>
        <v>5</v>
      </c>
      <c r="N7" s="16" t="n">
        <f aca="false">IFERROR(M7/D7,0)</f>
        <v>0.0227272727272727</v>
      </c>
      <c r="O7" s="18" t="n">
        <f aca="false">IFERROR(AVERAGEIFS(d_rating,d_cat,$A7),0)</f>
        <v>4.17727272727273</v>
      </c>
      <c r="P7" s="15" t="n">
        <f aca="false">SUMIFS(d_value,d_cat,$A7)</f>
        <v>130667.37</v>
      </c>
      <c r="Q7" s="15" t="n">
        <f aca="false">SUMIFS(d_value,d_cat,$A7,d_status,"Cancelled*")</f>
        <v>19678.16</v>
      </c>
    </row>
    <row r="8" customFormat="false" ht="15" hidden="false" customHeight="false" outlineLevel="0" collapsed="false">
      <c r="A8" s="14" t="s">
        <v>40</v>
      </c>
      <c r="B8" s="15" t="n">
        <f aca="false">COUNTIFS(d_cat,$A8)</f>
        <v>260</v>
      </c>
      <c r="C8" s="16" t="n">
        <f aca="false">B8/B$9</f>
        <v>0.26</v>
      </c>
      <c r="D8" s="15" t="n">
        <f aca="false">COUNTIFS(d_cat,$A8,d_status,"Completed")</f>
        <v>227</v>
      </c>
      <c r="E8" s="16" t="n">
        <f aca="false">IFERROR(D8/B8,0)</f>
        <v>0.873076923076923</v>
      </c>
      <c r="F8" s="15" t="n">
        <f aca="false">COUNTIFS(d_cat,$A8,d_status,"Cancelled_Customer")</f>
        <v>20</v>
      </c>
      <c r="G8" s="15" t="n">
        <f aca="false">COUNTIFS(d_cat,$A8,d_status,"Cancelled_Provider")</f>
        <v>13</v>
      </c>
      <c r="H8" s="16" t="n">
        <f aca="false">IFERROR((F8+G8)/B8,0)</f>
        <v>0.126923076923077</v>
      </c>
      <c r="I8" s="15" t="n">
        <f aca="false">COUNTIFS(d_cat,$A8,d_assigned,FALSE())</f>
        <v>20</v>
      </c>
      <c r="J8" s="16" t="n">
        <f aca="false">IFERROR(I8/B8,0)</f>
        <v>0.0769230769230769</v>
      </c>
      <c r="K8" s="16" t="n">
        <f aca="false">1-J8</f>
        <v>0.923076923076923</v>
      </c>
      <c r="L8" s="17" t="n">
        <f aca="false">IFERROR(AVERAGEIFS(d_tat,d_cat,$A8),0)</f>
        <v>39.1938325991189</v>
      </c>
      <c r="M8" s="15" t="n">
        <f aca="false">SUMIFS(d_sla,d_cat,$A8)</f>
        <v>5</v>
      </c>
      <c r="N8" s="16" t="n">
        <f aca="false">IFERROR(M8/D8,0)</f>
        <v>0.0220264317180617</v>
      </c>
      <c r="O8" s="18" t="n">
        <f aca="false">IFERROR(AVERAGEIFS(d_rating,d_cat,$A8),0)</f>
        <v>4.27312775330397</v>
      </c>
      <c r="P8" s="15" t="n">
        <f aca="false">SUMIFS(d_value,d_cat,$A8)</f>
        <v>233188.14</v>
      </c>
      <c r="Q8" s="15" t="n">
        <f aca="false">SUMIFS(d_value,d_cat,$A8,d_status,"Cancelled*")</f>
        <v>29089.96</v>
      </c>
    </row>
    <row r="9" customFormat="false" ht="15" hidden="false" customHeight="false" outlineLevel="0" collapsed="false">
      <c r="A9" s="19" t="s">
        <v>41</v>
      </c>
      <c r="B9" s="20" t="n">
        <f aca="false">SUM(B5:B8)</f>
        <v>1000</v>
      </c>
      <c r="C9" s="21" t="n">
        <f aca="false">SUM(C5:C8)</f>
        <v>1</v>
      </c>
      <c r="D9" s="20" t="n">
        <f aca="false">SUM(D5:D8)</f>
        <v>864</v>
      </c>
      <c r="E9" s="21" t="n">
        <f aca="false">IFERROR(D9/B9,0)</f>
        <v>0.864</v>
      </c>
      <c r="F9" s="20" t="n">
        <f aca="false">SUM(F5:F8)</f>
        <v>80</v>
      </c>
      <c r="G9" s="20" t="n">
        <f aca="false">SUM(G5:G8)</f>
        <v>56</v>
      </c>
      <c r="H9" s="21" t="n">
        <f aca="false">IFERROR((F9+G9)/B9,0)</f>
        <v>0.136</v>
      </c>
      <c r="I9" s="20" t="n">
        <f aca="false">SUM(I5:I8)</f>
        <v>83</v>
      </c>
      <c r="J9" s="21" t="n">
        <f aca="false">IFERROR(I9/B9,0)</f>
        <v>0.083</v>
      </c>
      <c r="K9" s="21" t="n">
        <f aca="false">1-J9</f>
        <v>0.917</v>
      </c>
      <c r="L9" s="22" t="n">
        <f aca="false">AVERAGE(d_tat)</f>
        <v>38.7951388888889</v>
      </c>
      <c r="M9" s="20" t="n">
        <f aca="false">SUM(M5:M8)</f>
        <v>20</v>
      </c>
      <c r="N9" s="21" t="n">
        <f aca="false">IFERROR(M9/D9,0)</f>
        <v>0.0231481481481481</v>
      </c>
      <c r="O9" s="23" t="n">
        <f aca="false">AVERAGE(d_rating)</f>
        <v>4.22222222222222</v>
      </c>
      <c r="P9" s="20" t="n">
        <f aca="false">SUM(P5:P8)</f>
        <v>802398.17</v>
      </c>
      <c r="Q9" s="20" t="n">
        <f aca="false">SUM(Q5:Q8)</f>
        <v>105659.57</v>
      </c>
    </row>
    <row r="11" customFormat="false" ht="15" hidden="false" customHeight="false" outlineLevel="0" collapsed="false">
      <c r="A11" s="12" t="s">
        <v>42</v>
      </c>
    </row>
  </sheetData>
  <conditionalFormatting sqref="N5:N8">
    <cfRule type="colorScale" priority="2">
      <colorScale>
        <cfvo type="min" val="0"/>
        <cfvo type="max" val="0"/>
        <color rgb="FFFFFFFF"/>
        <color rgb="FFF8696B"/>
      </colorScale>
    </cfRule>
  </conditionalFormatting>
  <conditionalFormatting sqref="J5:J8">
    <cfRule type="colorScale" priority="3">
      <colorScale>
        <cfvo type="min" val="0"/>
        <cfvo type="max" val="0"/>
        <color rgb="FFFFFFFF"/>
        <color rgb="FFF8696B"/>
      </colorScale>
    </cfRule>
  </conditionalFormatting>
  <conditionalFormatting sqref="E5:E8">
    <cfRule type="colorScale" priority="4">
      <colorScale>
        <cfvo type="min" val="0"/>
        <cfvo type="max" val="0"/>
        <color rgb="FFF8696B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7" min="2" style="0" width="13"/>
  </cols>
  <sheetData>
    <row r="1" customFormat="false" ht="17.35" hidden="false" customHeight="false" outlineLevel="0" collapsed="false">
      <c r="A1" s="11" t="s">
        <v>43</v>
      </c>
    </row>
    <row r="2" customFormat="false" ht="15" hidden="false" customHeight="false" outlineLevel="0" collapsed="false">
      <c r="A2" s="12" t="s">
        <v>44</v>
      </c>
    </row>
    <row r="4" customFormat="false" ht="31.5" hidden="false" customHeight="true" outlineLevel="0" collapsed="false">
      <c r="A4" s="13" t="s">
        <v>45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</row>
    <row r="5" customFormat="false" ht="15" hidden="false" customHeight="false" outlineLevel="0" collapsed="false">
      <c r="A5" s="14" t="s">
        <v>46</v>
      </c>
      <c r="B5" s="15" t="n">
        <f aca="false">COUNTIFS(d_zone,$A5)</f>
        <v>259</v>
      </c>
      <c r="C5" s="16" t="n">
        <f aca="false">B5/B$9</f>
        <v>0.259</v>
      </c>
      <c r="D5" s="15" t="n">
        <f aca="false">COUNTIFS(d_zone,$A5,d_status,"Completed")</f>
        <v>215</v>
      </c>
      <c r="E5" s="16" t="n">
        <f aca="false">IFERROR(D5/B5,0)</f>
        <v>0.83011583011583</v>
      </c>
      <c r="F5" s="15" t="n">
        <f aca="false">COUNTIFS(d_zone,$A5,d_status,"Cancelled_Customer")</f>
        <v>29</v>
      </c>
      <c r="G5" s="15" t="n">
        <f aca="false">COUNTIFS(d_zone,$A5,d_status,"Cancelled_Provider")</f>
        <v>15</v>
      </c>
      <c r="H5" s="16" t="n">
        <f aca="false">IFERROR((F5+G5)/B5,0)</f>
        <v>0.16988416988417</v>
      </c>
      <c r="I5" s="15" t="n">
        <f aca="false">COUNTIFS(d_zone,$A5,d_assigned,FALSE())</f>
        <v>42</v>
      </c>
      <c r="J5" s="16" t="n">
        <f aca="false">IFERROR(I5/B5,0)</f>
        <v>0.162162162162162</v>
      </c>
      <c r="K5" s="16" t="n">
        <f aca="false">1-J5</f>
        <v>0.837837837837838</v>
      </c>
      <c r="L5" s="17" t="n">
        <f aca="false">IFERROR(AVERAGEIFS(d_tat,d_zone,$A5),0)</f>
        <v>41.9674418604651</v>
      </c>
      <c r="M5" s="15" t="n">
        <f aca="false">SUMIFS(d_sla,d_zone,$A5)</f>
        <v>20</v>
      </c>
      <c r="N5" s="16" t="n">
        <f aca="false">IFERROR(M5/D5,0)</f>
        <v>0.0930232558139535</v>
      </c>
      <c r="O5" s="18" t="n">
        <f aca="false">IFERROR(AVERAGEIFS(d_rating,d_zone,$A5),0)</f>
        <v>4.12093023255814</v>
      </c>
      <c r="P5" s="15" t="n">
        <f aca="false">SUMIFS(d_value,d_zone,$A5)</f>
        <v>207003.26</v>
      </c>
      <c r="Q5" s="15" t="n">
        <f aca="false">SUMIFS(d_value,d_zone,$A5,d_status,"Cancelled*")</f>
        <v>32904.61</v>
      </c>
    </row>
    <row r="6" customFormat="false" ht="15" hidden="false" customHeight="false" outlineLevel="0" collapsed="false">
      <c r="A6" s="14" t="s">
        <v>47</v>
      </c>
      <c r="B6" s="15" t="n">
        <f aca="false">COUNTIFS(d_zone,$A6)</f>
        <v>250</v>
      </c>
      <c r="C6" s="16" t="n">
        <f aca="false">B6/B$9</f>
        <v>0.25</v>
      </c>
      <c r="D6" s="15" t="n">
        <f aca="false">COUNTIFS(d_zone,$A6,d_status,"Completed")</f>
        <v>223</v>
      </c>
      <c r="E6" s="16" t="n">
        <f aca="false">IFERROR(D6/B6,0)</f>
        <v>0.892</v>
      </c>
      <c r="F6" s="15" t="n">
        <f aca="false">COUNTIFS(d_zone,$A6,d_status,"Cancelled_Customer")</f>
        <v>11</v>
      </c>
      <c r="G6" s="15" t="n">
        <f aca="false">COUNTIFS(d_zone,$A6,d_status,"Cancelled_Provider")</f>
        <v>16</v>
      </c>
      <c r="H6" s="16" t="n">
        <f aca="false">IFERROR((F6+G6)/B6,0)</f>
        <v>0.108</v>
      </c>
      <c r="I6" s="15" t="n">
        <f aca="false">COUNTIFS(d_zone,$A6,d_assigned,FALSE())</f>
        <v>16</v>
      </c>
      <c r="J6" s="16" t="n">
        <f aca="false">IFERROR(I6/B6,0)</f>
        <v>0.064</v>
      </c>
      <c r="K6" s="16" t="n">
        <f aca="false">1-J6</f>
        <v>0.936</v>
      </c>
      <c r="L6" s="17" t="n">
        <f aca="false">IFERROR(AVERAGEIFS(d_tat,d_zone,$A6),0)</f>
        <v>38.5874439461883</v>
      </c>
      <c r="M6" s="15" t="n">
        <f aca="false">SUMIFS(d_sla,d_zone,$A6)</f>
        <v>0</v>
      </c>
      <c r="N6" s="16" t="n">
        <f aca="false">IFERROR(M6/D6,0)</f>
        <v>0</v>
      </c>
      <c r="O6" s="18" t="n">
        <f aca="false">IFERROR(AVERAGEIFS(d_rating,d_zone,$A6),0)</f>
        <v>4.20627802690583</v>
      </c>
      <c r="P6" s="15" t="n">
        <f aca="false">SUMIFS(d_value,d_zone,$A6)</f>
        <v>197403.34</v>
      </c>
      <c r="Q6" s="15" t="n">
        <f aca="false">SUMIFS(d_value,d_zone,$A6,d_status,"Cancelled*")</f>
        <v>19680.71</v>
      </c>
    </row>
    <row r="7" customFormat="false" ht="15" hidden="false" customHeight="false" outlineLevel="0" collapsed="false">
      <c r="A7" s="14" t="s">
        <v>48</v>
      </c>
      <c r="B7" s="15" t="n">
        <f aca="false">COUNTIFS(d_zone,$A7)</f>
        <v>231</v>
      </c>
      <c r="C7" s="16" t="n">
        <f aca="false">B7/B$9</f>
        <v>0.231</v>
      </c>
      <c r="D7" s="15" t="n">
        <f aca="false">COUNTIFS(d_zone,$A7,d_status,"Completed")</f>
        <v>198</v>
      </c>
      <c r="E7" s="16" t="n">
        <f aca="false">IFERROR(D7/B7,0)</f>
        <v>0.857142857142857</v>
      </c>
      <c r="F7" s="15" t="n">
        <f aca="false">COUNTIFS(d_zone,$A7,d_status,"Cancelled_Customer")</f>
        <v>22</v>
      </c>
      <c r="G7" s="15" t="n">
        <f aca="false">COUNTIFS(d_zone,$A7,d_status,"Cancelled_Provider")</f>
        <v>11</v>
      </c>
      <c r="H7" s="16" t="n">
        <f aca="false">IFERROR((F7+G7)/B7,0)</f>
        <v>0.142857142857143</v>
      </c>
      <c r="I7" s="15" t="n">
        <f aca="false">COUNTIFS(d_zone,$A7,d_assigned,FALSE())</f>
        <v>11</v>
      </c>
      <c r="J7" s="16" t="n">
        <f aca="false">IFERROR(I7/B7,0)</f>
        <v>0.0476190476190476</v>
      </c>
      <c r="K7" s="16" t="n">
        <f aca="false">1-J7</f>
        <v>0.952380952380952</v>
      </c>
      <c r="L7" s="17" t="n">
        <f aca="false">IFERROR(AVERAGEIFS(d_tat,d_zone,$A7),0)</f>
        <v>36.969696969697</v>
      </c>
      <c r="M7" s="15" t="n">
        <f aca="false">SUMIFS(d_sla,d_zone,$A7)</f>
        <v>0</v>
      </c>
      <c r="N7" s="16" t="n">
        <f aca="false">IFERROR(M7/D7,0)</f>
        <v>0</v>
      </c>
      <c r="O7" s="18" t="n">
        <f aca="false">IFERROR(AVERAGEIFS(d_rating,d_zone,$A7),0)</f>
        <v>4.27272727272727</v>
      </c>
      <c r="P7" s="15" t="n">
        <f aca="false">SUMIFS(d_value,d_zone,$A7)</f>
        <v>183470.81</v>
      </c>
      <c r="Q7" s="15" t="n">
        <f aca="false">SUMIFS(d_value,d_zone,$A7,d_status,"Cancelled*")</f>
        <v>26025.91</v>
      </c>
    </row>
    <row r="8" customFormat="false" ht="15" hidden="false" customHeight="false" outlineLevel="0" collapsed="false">
      <c r="A8" s="14" t="s">
        <v>49</v>
      </c>
      <c r="B8" s="15" t="n">
        <f aca="false">COUNTIFS(d_zone,$A8)</f>
        <v>260</v>
      </c>
      <c r="C8" s="16" t="n">
        <f aca="false">B8/B$9</f>
        <v>0.26</v>
      </c>
      <c r="D8" s="15" t="n">
        <f aca="false">COUNTIFS(d_zone,$A8,d_status,"Completed")</f>
        <v>228</v>
      </c>
      <c r="E8" s="16" t="n">
        <f aca="false">IFERROR(D8/B8,0)</f>
        <v>0.876923076923077</v>
      </c>
      <c r="F8" s="15" t="n">
        <f aca="false">COUNTIFS(d_zone,$A8,d_status,"Cancelled_Customer")</f>
        <v>18</v>
      </c>
      <c r="G8" s="15" t="n">
        <f aca="false">COUNTIFS(d_zone,$A8,d_status,"Cancelled_Provider")</f>
        <v>14</v>
      </c>
      <c r="H8" s="16" t="n">
        <f aca="false">IFERROR((F8+G8)/B8,0)</f>
        <v>0.123076923076923</v>
      </c>
      <c r="I8" s="15" t="n">
        <f aca="false">COUNTIFS(d_zone,$A8,d_assigned,FALSE())</f>
        <v>14</v>
      </c>
      <c r="J8" s="16" t="n">
        <f aca="false">IFERROR(I8/B8,0)</f>
        <v>0.0538461538461539</v>
      </c>
      <c r="K8" s="16" t="n">
        <f aca="false">1-J8</f>
        <v>0.946153846153846</v>
      </c>
      <c r="L8" s="17" t="n">
        <f aca="false">IFERROR(AVERAGEIFS(d_tat,d_zone,$A8),0)</f>
        <v>37.5921052631579</v>
      </c>
      <c r="M8" s="15" t="n">
        <f aca="false">SUMIFS(d_sla,d_zone,$A8)</f>
        <v>0</v>
      </c>
      <c r="N8" s="16" t="n">
        <f aca="false">IFERROR(M8/D8,0)</f>
        <v>0</v>
      </c>
      <c r="O8" s="18" t="n">
        <f aca="false">IFERROR(AVERAGEIFS(d_rating,d_zone,$A8),0)</f>
        <v>4.28947368421053</v>
      </c>
      <c r="P8" s="15" t="n">
        <f aca="false">SUMIFS(d_value,d_zone,$A8)</f>
        <v>214520.76</v>
      </c>
      <c r="Q8" s="15" t="n">
        <f aca="false">SUMIFS(d_value,d_zone,$A8,d_status,"Cancelled*")</f>
        <v>27048.34</v>
      </c>
    </row>
    <row r="9" customFormat="false" ht="15" hidden="false" customHeight="false" outlineLevel="0" collapsed="false">
      <c r="A9" s="19" t="s">
        <v>41</v>
      </c>
      <c r="B9" s="20" t="n">
        <f aca="false">SUM(B5:B8)</f>
        <v>1000</v>
      </c>
      <c r="C9" s="21" t="n">
        <f aca="false">SUM(C5:C8)</f>
        <v>1</v>
      </c>
      <c r="D9" s="20" t="n">
        <f aca="false">SUM(D5:D8)</f>
        <v>864</v>
      </c>
      <c r="E9" s="21" t="n">
        <f aca="false">IFERROR(D9/B9,0)</f>
        <v>0.864</v>
      </c>
      <c r="F9" s="20" t="n">
        <f aca="false">SUM(F5:F8)</f>
        <v>80</v>
      </c>
      <c r="G9" s="20" t="n">
        <f aca="false">SUM(G5:G8)</f>
        <v>56</v>
      </c>
      <c r="H9" s="21" t="n">
        <f aca="false">IFERROR((F9+G9)/B9,0)</f>
        <v>0.136</v>
      </c>
      <c r="I9" s="20" t="n">
        <f aca="false">SUM(I5:I8)</f>
        <v>83</v>
      </c>
      <c r="J9" s="21" t="n">
        <f aca="false">IFERROR(I9/B9,0)</f>
        <v>0.083</v>
      </c>
      <c r="K9" s="21" t="n">
        <f aca="false">1-J9</f>
        <v>0.917</v>
      </c>
      <c r="L9" s="22" t="n">
        <f aca="false">AVERAGE(d_tat)</f>
        <v>38.7951388888889</v>
      </c>
      <c r="M9" s="20" t="n">
        <f aca="false">SUM(M5:M8)</f>
        <v>20</v>
      </c>
      <c r="N9" s="21" t="n">
        <f aca="false">IFERROR(M9/D9,0)</f>
        <v>0.0231481481481481</v>
      </c>
      <c r="O9" s="23" t="n">
        <f aca="false">AVERAGE(d_rating)</f>
        <v>4.22222222222222</v>
      </c>
      <c r="P9" s="20" t="n">
        <f aca="false">SUM(P5:P8)</f>
        <v>802398.17</v>
      </c>
      <c r="Q9" s="20" t="n">
        <f aca="false">SUM(Q5:Q8)</f>
        <v>105659.57</v>
      </c>
    </row>
    <row r="11" customFormat="false" ht="15" hidden="false" customHeight="false" outlineLevel="0" collapsed="false">
      <c r="A11" s="12" t="s">
        <v>42</v>
      </c>
    </row>
  </sheetData>
  <conditionalFormatting sqref="N5:N8">
    <cfRule type="colorScale" priority="2">
      <colorScale>
        <cfvo type="min" val="0"/>
        <cfvo type="max" val="0"/>
        <color rgb="FFFFFFFF"/>
        <color rgb="FFF8696B"/>
      </colorScale>
    </cfRule>
  </conditionalFormatting>
  <conditionalFormatting sqref="J5:J8">
    <cfRule type="colorScale" priority="3">
      <colorScale>
        <cfvo type="min" val="0"/>
        <cfvo type="max" val="0"/>
        <color rgb="FFFFFFFF"/>
        <color rgb="FFF8696B"/>
      </colorScale>
    </cfRule>
  </conditionalFormatting>
  <conditionalFormatting sqref="E5:E8">
    <cfRule type="colorScale" priority="4">
      <colorScale>
        <cfvo type="min" val="0"/>
        <cfvo type="max" val="0"/>
        <color rgb="FFF8696B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3"/>
    <col collapsed="false" customWidth="true" hidden="false" outlineLevel="0" max="10" min="10" style="0" width="3"/>
    <col collapsed="false" customWidth="true" hidden="false" outlineLevel="0" max="11" min="11" style="0" width="18"/>
    <col collapsed="false" customWidth="true" hidden="false" outlineLevel="0" max="16" min="12" style="0" width="17"/>
  </cols>
  <sheetData>
    <row r="1" customFormat="false" ht="17.35" hidden="false" customHeight="false" outlineLevel="0" collapsed="false">
      <c r="A1" s="11" t="s">
        <v>50</v>
      </c>
    </row>
    <row r="2" customFormat="false" ht="15" hidden="false" customHeight="false" outlineLevel="0" collapsed="false">
      <c r="A2" s="12" t="s">
        <v>51</v>
      </c>
    </row>
    <row r="4" customFormat="false" ht="31.5" hidden="false" customHeight="true" outlineLevel="0" collapsed="false">
      <c r="A4" s="13" t="s">
        <v>52</v>
      </c>
      <c r="B4" s="13" t="s">
        <v>21</v>
      </c>
      <c r="C4" s="13" t="s">
        <v>53</v>
      </c>
      <c r="D4" s="13" t="s">
        <v>28</v>
      </c>
      <c r="E4" s="13" t="s">
        <v>29</v>
      </c>
      <c r="F4" s="13" t="s">
        <v>54</v>
      </c>
      <c r="G4" s="13" t="s">
        <v>27</v>
      </c>
      <c r="H4" s="13" t="s">
        <v>31</v>
      </c>
      <c r="K4" s="24" t="s">
        <v>55</v>
      </c>
    </row>
    <row r="5" customFormat="false" ht="31.5" hidden="false" customHeight="true" outlineLevel="0" collapsed="false">
      <c r="A5" s="25" t="n">
        <v>0</v>
      </c>
      <c r="B5" s="15" t="n">
        <f aca="false">COUNTIFS(d_hour,$A5)</f>
        <v>79</v>
      </c>
      <c r="C5" s="16" t="n">
        <f aca="false">B5/SUM(B$5:B$28)</f>
        <v>0.079</v>
      </c>
      <c r="D5" s="15" t="n">
        <f aca="false">COUNTIFS(d_hour,$A5,d_assigned,FALSE())</f>
        <v>3</v>
      </c>
      <c r="E5" s="16" t="n">
        <f aca="false">IFERROR(D5/B5,0)</f>
        <v>0.0379746835443038</v>
      </c>
      <c r="F5" s="15" t="n">
        <f aca="false">COUNTIFS(d_hour,$A5,d_status,"Cancelled*")</f>
        <v>10</v>
      </c>
      <c r="G5" s="16" t="n">
        <f aca="false">IFERROR(F5/B5,0)</f>
        <v>0.126582278481013</v>
      </c>
      <c r="H5" s="17" t="n">
        <f aca="false">IFERROR(AVERAGEIFS(d_tat,d_hour,$A5),0)</f>
        <v>38.1159420289855</v>
      </c>
      <c r="K5" s="13" t="s">
        <v>56</v>
      </c>
      <c r="L5" s="13" t="s">
        <v>57</v>
      </c>
      <c r="M5" s="13" t="s">
        <v>58</v>
      </c>
      <c r="N5" s="13" t="s">
        <v>59</v>
      </c>
      <c r="O5" s="13" t="s">
        <v>60</v>
      </c>
      <c r="P5" s="13" t="s">
        <v>61</v>
      </c>
    </row>
    <row r="6" customFormat="false" ht="15" hidden="false" customHeight="false" outlineLevel="0" collapsed="false">
      <c r="A6" s="25" t="n">
        <v>1</v>
      </c>
      <c r="B6" s="15" t="n">
        <f aca="false">COUNTIFS(d_hour,$A6)</f>
        <v>102</v>
      </c>
      <c r="C6" s="16" t="n">
        <f aca="false">B6/SUM(B$5:B$28)</f>
        <v>0.102</v>
      </c>
      <c r="D6" s="15" t="n">
        <f aca="false">COUNTIFS(d_hour,$A6,d_assigned,FALSE())</f>
        <v>6</v>
      </c>
      <c r="E6" s="16" t="n">
        <f aca="false">IFERROR(D6/B6,0)</f>
        <v>0.0588235294117647</v>
      </c>
      <c r="F6" s="15" t="n">
        <f aca="false">COUNTIFS(d_hour,$A6,d_status,"Cancelled*")</f>
        <v>12</v>
      </c>
      <c r="G6" s="16" t="n">
        <f aca="false">IFERROR(F6/B6,0)</f>
        <v>0.117647058823529</v>
      </c>
      <c r="H6" s="17" t="n">
        <f aca="false">IFERROR(AVERAGEIFS(d_tat,d_hour,$A6),0)</f>
        <v>37.1222222222222</v>
      </c>
      <c r="K6" s="26" t="s">
        <v>37</v>
      </c>
      <c r="L6" s="27" t="n">
        <f aca="false">IFERROR(COUNTIFS(d_cat,$K6,d_band,L$5,d_assigned,FALSE())/COUNTIFS(d_cat,$K6,d_band,L$5),0)</f>
        <v>0.102272727272727</v>
      </c>
      <c r="M6" s="27" t="n">
        <f aca="false">IFERROR(COUNTIFS(d_cat,$K6,d_band,M$5,d_assigned,FALSE())/COUNTIFS(d_cat,$K6,d_band,M$5),0)</f>
        <v>0.0714285714285714</v>
      </c>
      <c r="N6" s="27" t="n">
        <f aca="false">IFERROR(COUNTIFS(d_cat,$K6,d_band,N$5,d_assigned,FALSE())/COUNTIFS(d_cat,$K6,d_band,N$5),0)</f>
        <v>0.0888888888888889</v>
      </c>
      <c r="O6" s="27" t="n">
        <f aca="false">IFERROR(COUNTIFS(d_cat,$K6,d_band,O$5,d_assigned,FALSE())/COUNTIFS(d_cat,$K6,d_band,O$5),0)</f>
        <v>0.0566037735849057</v>
      </c>
      <c r="P6" s="27" t="n">
        <f aca="false">IFERROR(COUNTIFS(d_cat,$K6,d_band,P$5,d_assigned,FALSE())/COUNTIFS(d_cat,$K6,d_band,P$5),0)</f>
        <v>0.0769230769230769</v>
      </c>
    </row>
    <row r="7" customFormat="false" ht="15" hidden="false" customHeight="false" outlineLevel="0" collapsed="false">
      <c r="A7" s="25" t="n">
        <v>2</v>
      </c>
      <c r="B7" s="15" t="n">
        <f aca="false">COUNTIFS(d_hour,$A7)</f>
        <v>91</v>
      </c>
      <c r="C7" s="16" t="n">
        <f aca="false">B7/SUM(B$5:B$28)</f>
        <v>0.091</v>
      </c>
      <c r="D7" s="15" t="n">
        <f aca="false">COUNTIFS(d_hour,$A7,d_assigned,FALSE())</f>
        <v>19</v>
      </c>
      <c r="E7" s="16" t="n">
        <f aca="false">IFERROR(D7/B7,0)</f>
        <v>0.208791208791209</v>
      </c>
      <c r="F7" s="15" t="n">
        <f aca="false">COUNTIFS(d_hour,$A7,d_status,"Cancelled*")</f>
        <v>18</v>
      </c>
      <c r="G7" s="16" t="n">
        <f aca="false">IFERROR(F7/B7,0)</f>
        <v>0.197802197802198</v>
      </c>
      <c r="H7" s="17" t="n">
        <f aca="false">IFERROR(AVERAGEIFS(d_tat,d_hour,$A7),0)</f>
        <v>44.1369863013699</v>
      </c>
      <c r="K7" s="26" t="s">
        <v>38</v>
      </c>
      <c r="L7" s="27" t="n">
        <f aca="false">IFERROR(COUNTIFS(d_cat,$K7,d_band,L$5,d_assigned,FALSE())/COUNTIFS(d_cat,$K7,d_band,L$5),0)</f>
        <v>0.161290322580645</v>
      </c>
      <c r="M7" s="27" t="n">
        <f aca="false">IFERROR(COUNTIFS(d_cat,$K7,d_band,M$5,d_assigned,FALSE())/COUNTIFS(d_cat,$K7,d_band,M$5),0)</f>
        <v>0.117647058823529</v>
      </c>
      <c r="N7" s="27" t="n">
        <f aca="false">IFERROR(COUNTIFS(d_cat,$K7,d_band,N$5,d_assigned,FALSE())/COUNTIFS(d_cat,$K7,d_band,N$5),0)</f>
        <v>0.0227272727272727</v>
      </c>
      <c r="O7" s="27" t="n">
        <f aca="false">IFERROR(COUNTIFS(d_cat,$K7,d_band,O$5,d_assigned,FALSE())/COUNTIFS(d_cat,$K7,d_band,O$5),0)</f>
        <v>0.0545454545454545</v>
      </c>
      <c r="P7" s="27" t="n">
        <f aca="false">IFERROR(COUNTIFS(d_cat,$K7,d_band,P$5,d_assigned,FALSE())/COUNTIFS(d_cat,$K7,d_band,P$5),0)</f>
        <v>0.0434782608695652</v>
      </c>
    </row>
    <row r="8" customFormat="false" ht="15" hidden="false" customHeight="false" outlineLevel="0" collapsed="false">
      <c r="A8" s="25" t="n">
        <v>3</v>
      </c>
      <c r="B8" s="15" t="n">
        <f aca="false">COUNTIFS(d_hour,$A8)</f>
        <v>70</v>
      </c>
      <c r="C8" s="16" t="n">
        <f aca="false">B8/SUM(B$5:B$28)</f>
        <v>0.07</v>
      </c>
      <c r="D8" s="15" t="n">
        <f aca="false">COUNTIFS(d_hour,$A8,d_assigned,FALSE())</f>
        <v>10</v>
      </c>
      <c r="E8" s="16" t="n">
        <f aca="false">IFERROR(D8/B8,0)</f>
        <v>0.142857142857143</v>
      </c>
      <c r="F8" s="15" t="n">
        <f aca="false">COUNTIFS(d_hour,$A8,d_status,"Cancelled*")</f>
        <v>12</v>
      </c>
      <c r="G8" s="16" t="n">
        <f aca="false">IFERROR(F8/B8,0)</f>
        <v>0.171428571428571</v>
      </c>
      <c r="H8" s="17" t="n">
        <f aca="false">IFERROR(AVERAGEIFS(d_tat,d_hour,$A8),0)</f>
        <v>43.7586206896552</v>
      </c>
      <c r="K8" s="26" t="s">
        <v>39</v>
      </c>
      <c r="L8" s="27" t="n">
        <f aca="false">IFERROR(COUNTIFS(d_cat,$K8,d_band,L$5,d_assigned,FALSE())/COUNTIFS(d_cat,$K8,d_band,L$5),0)</f>
        <v>0.105263157894737</v>
      </c>
      <c r="M8" s="27" t="n">
        <f aca="false">IFERROR(COUNTIFS(d_cat,$K8,d_band,M$5,d_assigned,FALSE())/COUNTIFS(d_cat,$K8,d_band,M$5),0)</f>
        <v>0</v>
      </c>
      <c r="N8" s="27" t="n">
        <f aca="false">IFERROR(COUNTIFS(d_cat,$K8,d_band,N$5,d_assigned,FALSE())/COUNTIFS(d_cat,$K8,d_band,N$5),0)</f>
        <v>0.0238095238095238</v>
      </c>
      <c r="O8" s="27" t="n">
        <f aca="false">IFERROR(COUNTIFS(d_cat,$K8,d_band,O$5,d_assigned,FALSE())/COUNTIFS(d_cat,$K8,d_band,O$5),0)</f>
        <v>0.128571428571429</v>
      </c>
      <c r="P8" s="27" t="n">
        <f aca="false">IFERROR(COUNTIFS(d_cat,$K8,d_band,P$5,d_assigned,FALSE())/COUNTIFS(d_cat,$K8,d_band,P$5),0)</f>
        <v>0.0294117647058824</v>
      </c>
    </row>
    <row r="9" customFormat="false" ht="15" hidden="false" customHeight="false" outlineLevel="0" collapsed="false">
      <c r="A9" s="25" t="n">
        <v>4</v>
      </c>
      <c r="B9" s="15" t="n">
        <f aca="false">COUNTIFS(d_hour,$A9)</f>
        <v>30</v>
      </c>
      <c r="C9" s="16" t="n">
        <f aca="false">B9/SUM(B$5:B$28)</f>
        <v>0.03</v>
      </c>
      <c r="D9" s="15" t="n">
        <f aca="false">COUNTIFS(d_hour,$A9,d_assigned,FALSE())</f>
        <v>7</v>
      </c>
      <c r="E9" s="16" t="n">
        <f aca="false">IFERROR(D9/B9,0)</f>
        <v>0.233333333333333</v>
      </c>
      <c r="F9" s="15" t="n">
        <f aca="false">COUNTIFS(d_hour,$A9,d_status,"Cancelled*")</f>
        <v>7</v>
      </c>
      <c r="G9" s="16" t="n">
        <f aca="false">IFERROR(F9/B9,0)</f>
        <v>0.233333333333333</v>
      </c>
      <c r="H9" s="17" t="n">
        <f aca="false">IFERROR(AVERAGEIFS(d_tat,d_hour,$A9),0)</f>
        <v>45.7391304347826</v>
      </c>
      <c r="K9" s="26" t="s">
        <v>40</v>
      </c>
      <c r="L9" s="27" t="n">
        <f aca="false">IFERROR(COUNTIFS(d_cat,$K9,d_band,L$5,d_assigned,FALSE())/COUNTIFS(d_cat,$K9,d_band,L$5),0)</f>
        <v>0.12962962962963</v>
      </c>
      <c r="M9" s="27" t="n">
        <f aca="false">IFERROR(COUNTIFS(d_cat,$K9,d_band,M$5,d_assigned,FALSE())/COUNTIFS(d_cat,$K9,d_band,M$5),0)</f>
        <v>0.125</v>
      </c>
      <c r="N9" s="27" t="n">
        <f aca="false">IFERROR(COUNTIFS(d_cat,$K9,d_band,N$5,d_assigned,FALSE())/COUNTIFS(d_cat,$K9,d_band,N$5),0)</f>
        <v>0.0303030303030303</v>
      </c>
      <c r="O9" s="27" t="n">
        <f aca="false">IFERROR(COUNTIFS(d_cat,$K9,d_band,O$5,d_assigned,FALSE())/COUNTIFS(d_cat,$K9,d_band,O$5),0)</f>
        <v>0.0338983050847458</v>
      </c>
      <c r="P9" s="27" t="n">
        <f aca="false">IFERROR(COUNTIFS(d_cat,$K9,d_band,P$5,d_assigned,FALSE())/COUNTIFS(d_cat,$K9,d_band,P$5),0)</f>
        <v>0.0227272727272727</v>
      </c>
    </row>
    <row r="10" customFormat="false" ht="15" hidden="false" customHeight="false" outlineLevel="0" collapsed="false">
      <c r="A10" s="25" t="n">
        <v>5</v>
      </c>
      <c r="B10" s="15" t="n">
        <f aca="false">COUNTIFS(d_hour,$A10)</f>
        <v>12</v>
      </c>
      <c r="C10" s="16" t="n">
        <f aca="false">B10/SUM(B$5:B$28)</f>
        <v>0.012</v>
      </c>
      <c r="D10" s="15" t="n">
        <f aca="false">COUNTIFS(d_hour,$A10,d_assigned,FALSE())</f>
        <v>3</v>
      </c>
      <c r="E10" s="16" t="n">
        <f aca="false">IFERROR(D10/B10,0)</f>
        <v>0.25</v>
      </c>
      <c r="F10" s="15" t="n">
        <f aca="false">COUNTIFS(d_hour,$A10,d_status,"Cancelled*")</f>
        <v>2</v>
      </c>
      <c r="G10" s="16" t="n">
        <f aca="false">IFERROR(F10/B10,0)</f>
        <v>0.166666666666667</v>
      </c>
      <c r="H10" s="17" t="n">
        <f aca="false">IFERROR(AVERAGEIFS(d_tat,d_hour,$A10),0)</f>
        <v>42.1</v>
      </c>
    </row>
    <row r="11" customFormat="false" ht="15" hidden="false" customHeight="false" outlineLevel="0" collapsed="false">
      <c r="A11" s="25" t="n">
        <v>6</v>
      </c>
      <c r="B11" s="15" t="n">
        <f aca="false">COUNTIFS(d_hour,$A11)</f>
        <v>25</v>
      </c>
      <c r="C11" s="16" t="n">
        <f aca="false">B11/SUM(B$5:B$28)</f>
        <v>0.025</v>
      </c>
      <c r="D11" s="15" t="n">
        <f aca="false">COUNTIFS(d_hour,$A11,d_assigned,FALSE())</f>
        <v>3</v>
      </c>
      <c r="E11" s="16" t="n">
        <f aca="false">IFERROR(D11/B11,0)</f>
        <v>0.12</v>
      </c>
      <c r="F11" s="15" t="n">
        <f aca="false">COUNTIFS(d_hour,$A11,d_status,"Cancelled*")</f>
        <v>5</v>
      </c>
      <c r="G11" s="16" t="n">
        <f aca="false">IFERROR(F11/B11,0)</f>
        <v>0.2</v>
      </c>
      <c r="H11" s="17" t="n">
        <f aca="false">IFERROR(AVERAGEIFS(d_tat,d_hour,$A11),0)</f>
        <v>35.95</v>
      </c>
    </row>
    <row r="12" customFormat="false" ht="15" hidden="false" customHeight="false" outlineLevel="0" collapsed="false">
      <c r="A12" s="25" t="n">
        <v>7</v>
      </c>
      <c r="B12" s="15" t="n">
        <f aca="false">COUNTIFS(d_hour,$A12)</f>
        <v>3</v>
      </c>
      <c r="C12" s="16" t="n">
        <f aca="false">B12/SUM(B$5:B$28)</f>
        <v>0.003</v>
      </c>
      <c r="D12" s="15" t="n">
        <f aca="false">COUNTIFS(d_hour,$A12,d_assigned,FALSE())</f>
        <v>0</v>
      </c>
      <c r="E12" s="16" t="n">
        <f aca="false">IFERROR(D12/B12,0)</f>
        <v>0</v>
      </c>
      <c r="F12" s="15" t="n">
        <f aca="false">COUNTIFS(d_hour,$A12,d_status,"Cancelled*")</f>
        <v>1</v>
      </c>
      <c r="G12" s="16" t="n">
        <f aca="false">IFERROR(F12/B12,0)</f>
        <v>0.333333333333333</v>
      </c>
      <c r="H12" s="17" t="n">
        <f aca="false">IFERROR(AVERAGEIFS(d_tat,d_hour,$A12),0)</f>
        <v>27.5</v>
      </c>
      <c r="K12" s="24" t="s">
        <v>62</v>
      </c>
    </row>
    <row r="13" customFormat="false" ht="31.5" hidden="false" customHeight="true" outlineLevel="0" collapsed="false">
      <c r="A13" s="25" t="n">
        <v>8</v>
      </c>
      <c r="B13" s="15" t="n">
        <f aca="false">COUNTIFS(d_hour,$A13)</f>
        <v>12</v>
      </c>
      <c r="C13" s="16" t="n">
        <f aca="false">B13/SUM(B$5:B$28)</f>
        <v>0.012</v>
      </c>
      <c r="D13" s="15" t="n">
        <f aca="false">COUNTIFS(d_hour,$A13,d_assigned,FALSE())</f>
        <v>1</v>
      </c>
      <c r="E13" s="16" t="n">
        <f aca="false">IFERROR(D13/B13,0)</f>
        <v>0.0833333333333333</v>
      </c>
      <c r="F13" s="15" t="n">
        <f aca="false">COUNTIFS(d_hour,$A13,d_status,"Cancelled*")</f>
        <v>1</v>
      </c>
      <c r="G13" s="16" t="n">
        <f aca="false">IFERROR(F13/B13,0)</f>
        <v>0.0833333333333333</v>
      </c>
      <c r="H13" s="17" t="n">
        <f aca="false">IFERROR(AVERAGEIFS(d_tat,d_hour,$A13),0)</f>
        <v>35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</row>
    <row r="14" customFormat="false" ht="15" hidden="false" customHeight="false" outlineLevel="0" collapsed="false">
      <c r="A14" s="25" t="n">
        <v>9</v>
      </c>
      <c r="B14" s="15" t="n">
        <f aca="false">COUNTIFS(d_hour,$A14)</f>
        <v>6</v>
      </c>
      <c r="C14" s="16" t="n">
        <f aca="false">B14/SUM(B$5:B$28)</f>
        <v>0.006</v>
      </c>
      <c r="D14" s="15" t="n">
        <f aca="false">COUNTIFS(d_hour,$A14,d_assigned,FALSE())</f>
        <v>0</v>
      </c>
      <c r="E14" s="16" t="n">
        <f aca="false">IFERROR(D14/B14,0)</f>
        <v>0</v>
      </c>
      <c r="F14" s="15" t="n">
        <f aca="false">COUNTIFS(d_hour,$A14,d_status,"Cancelled*")</f>
        <v>0</v>
      </c>
      <c r="G14" s="16" t="n">
        <f aca="false">IFERROR(F14/B14,0)</f>
        <v>0</v>
      </c>
      <c r="H14" s="17" t="n">
        <f aca="false">IFERROR(AVERAGEIFS(d_tat,d_hour,$A14),0)</f>
        <v>43</v>
      </c>
      <c r="K14" s="26" t="s">
        <v>37</v>
      </c>
      <c r="L14" s="28" t="n">
        <f aca="false">COUNTIFS(d_cat,$K14,d_band,L$13)</f>
        <v>88</v>
      </c>
      <c r="M14" s="28" t="n">
        <f aca="false">COUNTIFS(d_cat,$K14,d_band,M$13)</f>
        <v>14</v>
      </c>
      <c r="N14" s="28" t="n">
        <f aca="false">COUNTIFS(d_cat,$K14,d_band,N$13)</f>
        <v>45</v>
      </c>
      <c r="O14" s="28" t="n">
        <f aca="false">COUNTIFS(d_cat,$K14,d_band,O$13)</f>
        <v>53</v>
      </c>
      <c r="P14" s="28" t="n">
        <f aca="false">COUNTIFS(d_cat,$K14,d_band,P$13)</f>
        <v>26</v>
      </c>
    </row>
    <row r="15" customFormat="false" ht="15" hidden="false" customHeight="false" outlineLevel="0" collapsed="false">
      <c r="A15" s="25" t="n">
        <v>10</v>
      </c>
      <c r="B15" s="15" t="n">
        <f aca="false">COUNTIFS(d_hour,$A15)</f>
        <v>4</v>
      </c>
      <c r="C15" s="16" t="n">
        <f aca="false">B15/SUM(B$5:B$28)</f>
        <v>0.004</v>
      </c>
      <c r="D15" s="15" t="n">
        <f aca="false">COUNTIFS(d_hour,$A15,d_assigned,FALSE())</f>
        <v>1</v>
      </c>
      <c r="E15" s="16" t="n">
        <f aca="false">IFERROR(D15/B15,0)</f>
        <v>0.25</v>
      </c>
      <c r="F15" s="15" t="n">
        <f aca="false">COUNTIFS(d_hour,$A15,d_status,"Cancelled*")</f>
        <v>2</v>
      </c>
      <c r="G15" s="16" t="n">
        <f aca="false">IFERROR(F15/B15,0)</f>
        <v>0.5</v>
      </c>
      <c r="H15" s="17" t="n">
        <f aca="false">IFERROR(AVERAGEIFS(d_tat,d_hour,$A15),0)</f>
        <v>38</v>
      </c>
      <c r="K15" s="26" t="s">
        <v>38</v>
      </c>
      <c r="L15" s="28" t="n">
        <f aca="false">COUNTIFS(d_cat,$K15,d_band,L$13)</f>
        <v>93</v>
      </c>
      <c r="M15" s="28" t="n">
        <f aca="false">COUNTIFS(d_cat,$K15,d_band,M$13)</f>
        <v>17</v>
      </c>
      <c r="N15" s="28" t="n">
        <f aca="false">COUNTIFS(d_cat,$K15,d_band,N$13)</f>
        <v>44</v>
      </c>
      <c r="O15" s="28" t="n">
        <f aca="false">COUNTIFS(d_cat,$K15,d_band,O$13)</f>
        <v>55</v>
      </c>
      <c r="P15" s="28" t="n">
        <f aca="false">COUNTIFS(d_cat,$K15,d_band,P$13)</f>
        <v>46</v>
      </c>
    </row>
    <row r="16" customFormat="false" ht="15" hidden="false" customHeight="false" outlineLevel="0" collapsed="false">
      <c r="A16" s="25" t="n">
        <v>11</v>
      </c>
      <c r="B16" s="15" t="n">
        <f aca="false">COUNTIFS(d_hour,$A16)</f>
        <v>15</v>
      </c>
      <c r="C16" s="16" t="n">
        <f aca="false">B16/SUM(B$5:B$28)</f>
        <v>0.015</v>
      </c>
      <c r="D16" s="15" t="n">
        <f aca="false">COUNTIFS(d_hour,$A16,d_assigned,FALSE())</f>
        <v>0</v>
      </c>
      <c r="E16" s="16" t="n">
        <f aca="false">IFERROR(D16/B16,0)</f>
        <v>0</v>
      </c>
      <c r="F16" s="15" t="n">
        <f aca="false">COUNTIFS(d_hour,$A16,d_status,"Cancelled*")</f>
        <v>0</v>
      </c>
      <c r="G16" s="16" t="n">
        <f aca="false">IFERROR(F16/B16,0)</f>
        <v>0</v>
      </c>
      <c r="H16" s="17" t="n">
        <f aca="false">IFERROR(AVERAGEIFS(d_tat,d_hour,$A16),0)</f>
        <v>38.8</v>
      </c>
      <c r="K16" s="26" t="s">
        <v>39</v>
      </c>
      <c r="L16" s="28" t="n">
        <f aca="false">COUNTIFS(d_cat,$K16,d_band,L$13)</f>
        <v>95</v>
      </c>
      <c r="M16" s="28" t="n">
        <f aca="false">COUNTIFS(d_cat,$K16,d_band,M$13)</f>
        <v>18</v>
      </c>
      <c r="N16" s="28" t="n">
        <f aca="false">COUNTIFS(d_cat,$K16,d_band,N$13)</f>
        <v>42</v>
      </c>
      <c r="O16" s="28" t="n">
        <f aca="false">COUNTIFS(d_cat,$K16,d_band,O$13)</f>
        <v>70</v>
      </c>
      <c r="P16" s="28" t="n">
        <f aca="false">COUNTIFS(d_cat,$K16,d_band,P$13)</f>
        <v>34</v>
      </c>
    </row>
    <row r="17" customFormat="false" ht="15" hidden="false" customHeight="false" outlineLevel="0" collapsed="false">
      <c r="A17" s="25" t="n">
        <v>12</v>
      </c>
      <c r="B17" s="15" t="n">
        <f aca="false">COUNTIFS(d_hour,$A17)</f>
        <v>13</v>
      </c>
      <c r="C17" s="16" t="n">
        <f aca="false">B17/SUM(B$5:B$28)</f>
        <v>0.013</v>
      </c>
      <c r="D17" s="15" t="n">
        <f aca="false">COUNTIFS(d_hour,$A17,d_assigned,FALSE())</f>
        <v>1</v>
      </c>
      <c r="E17" s="16" t="n">
        <f aca="false">IFERROR(D17/B17,0)</f>
        <v>0.0769230769230769</v>
      </c>
      <c r="F17" s="15" t="n">
        <f aca="false">COUNTIFS(d_hour,$A17,d_status,"Cancelled*")</f>
        <v>1</v>
      </c>
      <c r="G17" s="16" t="n">
        <f aca="false">IFERROR(F17/B17,0)</f>
        <v>0.0769230769230769</v>
      </c>
      <c r="H17" s="17" t="n">
        <f aca="false">IFERROR(AVERAGEIFS(d_tat,d_hour,$A17),0)</f>
        <v>40.6666666666667</v>
      </c>
      <c r="K17" s="26" t="s">
        <v>40</v>
      </c>
      <c r="L17" s="28" t="n">
        <f aca="false">COUNTIFS(d_cat,$K17,d_band,L$13)</f>
        <v>108</v>
      </c>
      <c r="M17" s="28" t="n">
        <f aca="false">COUNTIFS(d_cat,$K17,d_band,M$13)</f>
        <v>16</v>
      </c>
      <c r="N17" s="28" t="n">
        <f aca="false">COUNTIFS(d_cat,$K17,d_band,N$13)</f>
        <v>33</v>
      </c>
      <c r="O17" s="28" t="n">
        <f aca="false">COUNTIFS(d_cat,$K17,d_band,O$13)</f>
        <v>59</v>
      </c>
      <c r="P17" s="28" t="n">
        <f aca="false">COUNTIFS(d_cat,$K17,d_band,P$13)</f>
        <v>44</v>
      </c>
    </row>
    <row r="18" customFormat="false" ht="15" hidden="false" customHeight="false" outlineLevel="0" collapsed="false">
      <c r="A18" s="25" t="n">
        <v>13</v>
      </c>
      <c r="B18" s="15" t="n">
        <f aca="false">COUNTIFS(d_hour,$A18)</f>
        <v>17</v>
      </c>
      <c r="C18" s="16" t="n">
        <f aca="false">B18/SUM(B$5:B$28)</f>
        <v>0.017</v>
      </c>
      <c r="D18" s="15" t="n">
        <f aca="false">COUNTIFS(d_hour,$A18,d_assigned,FALSE())</f>
        <v>0</v>
      </c>
      <c r="E18" s="16" t="n">
        <f aca="false">IFERROR(D18/B18,0)</f>
        <v>0</v>
      </c>
      <c r="F18" s="15" t="n">
        <f aca="false">COUNTIFS(d_hour,$A18,d_status,"Cancelled*")</f>
        <v>2</v>
      </c>
      <c r="G18" s="16" t="n">
        <f aca="false">IFERROR(F18/B18,0)</f>
        <v>0.117647058823529</v>
      </c>
      <c r="H18" s="17" t="n">
        <f aca="false">IFERROR(AVERAGEIFS(d_tat,d_hour,$A18),0)</f>
        <v>33.3333333333333</v>
      </c>
    </row>
    <row r="19" customFormat="false" ht="15" hidden="false" customHeight="false" outlineLevel="0" collapsed="false">
      <c r="A19" s="25" t="n">
        <v>14</v>
      </c>
      <c r="B19" s="15" t="n">
        <f aca="false">COUNTIFS(d_hour,$A19)</f>
        <v>26</v>
      </c>
      <c r="C19" s="16" t="n">
        <f aca="false">B19/SUM(B$5:B$28)</f>
        <v>0.026</v>
      </c>
      <c r="D19" s="15" t="n">
        <f aca="false">COUNTIFS(d_hour,$A19,d_assigned,FALSE())</f>
        <v>1</v>
      </c>
      <c r="E19" s="16" t="n">
        <f aca="false">IFERROR(D19/B19,0)</f>
        <v>0.0384615384615385</v>
      </c>
      <c r="F19" s="15" t="n">
        <f aca="false">COUNTIFS(d_hour,$A19,d_status,"Cancelled*")</f>
        <v>3</v>
      </c>
      <c r="G19" s="16" t="n">
        <f aca="false">IFERROR(F19/B19,0)</f>
        <v>0.115384615384615</v>
      </c>
      <c r="H19" s="17" t="n">
        <f aca="false">IFERROR(AVERAGEIFS(d_tat,d_hour,$A19),0)</f>
        <v>41.3913043478261</v>
      </c>
    </row>
    <row r="20" customFormat="false" ht="15" hidden="false" customHeight="false" outlineLevel="0" collapsed="false">
      <c r="A20" s="25" t="n">
        <v>15</v>
      </c>
      <c r="B20" s="15" t="n">
        <f aca="false">COUNTIFS(d_hour,$A20)</f>
        <v>39</v>
      </c>
      <c r="C20" s="16" t="n">
        <f aca="false">B20/SUM(B$5:B$28)</f>
        <v>0.039</v>
      </c>
      <c r="D20" s="15" t="n">
        <f aca="false">COUNTIFS(d_hour,$A20,d_assigned,FALSE())</f>
        <v>3</v>
      </c>
      <c r="E20" s="16" t="n">
        <f aca="false">IFERROR(D20/B20,0)</f>
        <v>0.0769230769230769</v>
      </c>
      <c r="F20" s="15" t="n">
        <f aca="false">COUNTIFS(d_hour,$A20,d_status,"Cancelled*")</f>
        <v>4</v>
      </c>
      <c r="G20" s="16" t="n">
        <f aca="false">IFERROR(F20/B20,0)</f>
        <v>0.102564102564103</v>
      </c>
      <c r="H20" s="17" t="n">
        <f aca="false">IFERROR(AVERAGEIFS(d_tat,d_hour,$A20),0)</f>
        <v>35.9428571428571</v>
      </c>
      <c r="K20" s="24" t="s">
        <v>63</v>
      </c>
    </row>
    <row r="21" customFormat="false" ht="31.5" hidden="false" customHeight="true" outlineLevel="0" collapsed="false">
      <c r="A21" s="25" t="n">
        <v>16</v>
      </c>
      <c r="B21" s="15" t="n">
        <f aca="false">COUNTIFS(d_hour,$A21)</f>
        <v>69</v>
      </c>
      <c r="C21" s="16" t="n">
        <f aca="false">B21/SUM(B$5:B$28)</f>
        <v>0.069</v>
      </c>
      <c r="D21" s="15" t="n">
        <f aca="false">COUNTIFS(d_hour,$A21,d_assigned,FALSE())</f>
        <v>2</v>
      </c>
      <c r="E21" s="16" t="n">
        <f aca="false">IFERROR(D21/B21,0)</f>
        <v>0.0289855072463768</v>
      </c>
      <c r="F21" s="15" t="n">
        <f aca="false">COUNTIFS(d_hour,$A21,d_status,"Cancelled*")</f>
        <v>9</v>
      </c>
      <c r="G21" s="16" t="n">
        <f aca="false">IFERROR(F21/B21,0)</f>
        <v>0.130434782608696</v>
      </c>
      <c r="H21" s="17" t="n">
        <f aca="false">IFERROR(AVERAGEIFS(d_tat,d_hour,$A21),0)</f>
        <v>37.4166666666667</v>
      </c>
      <c r="K21" s="13" t="s">
        <v>64</v>
      </c>
      <c r="L21" s="13" t="s">
        <v>57</v>
      </c>
      <c r="M21" s="13" t="s">
        <v>58</v>
      </c>
      <c r="N21" s="13" t="s">
        <v>59</v>
      </c>
      <c r="O21" s="13" t="s">
        <v>60</v>
      </c>
      <c r="P21" s="13" t="s">
        <v>61</v>
      </c>
    </row>
    <row r="22" customFormat="false" ht="15" hidden="false" customHeight="false" outlineLevel="0" collapsed="false">
      <c r="A22" s="25" t="n">
        <v>17</v>
      </c>
      <c r="B22" s="15" t="n">
        <f aca="false">COUNTIFS(d_hour,$A22)</f>
        <v>83</v>
      </c>
      <c r="C22" s="16" t="n">
        <f aca="false">B22/SUM(B$5:B$28)</f>
        <v>0.083</v>
      </c>
      <c r="D22" s="15" t="n">
        <f aca="false">COUNTIFS(d_hour,$A22,d_assigned,FALSE())</f>
        <v>9</v>
      </c>
      <c r="E22" s="16" t="n">
        <f aca="false">IFERROR(D22/B22,0)</f>
        <v>0.108433734939759</v>
      </c>
      <c r="F22" s="15" t="n">
        <f aca="false">COUNTIFS(d_hour,$A22,d_status,"Cancelled*")</f>
        <v>13</v>
      </c>
      <c r="G22" s="16" t="n">
        <f aca="false">IFERROR(F22/B22,0)</f>
        <v>0.156626506024096</v>
      </c>
      <c r="H22" s="17" t="n">
        <f aca="false">IFERROR(AVERAGEIFS(d_tat,d_hour,$A22),0)</f>
        <v>38.0857142857143</v>
      </c>
      <c r="K22" s="26" t="s">
        <v>46</v>
      </c>
      <c r="L22" s="27" t="n">
        <f aca="false">IFERROR(COUNTIFS(d_zone,$K22,d_band,L$21,d_assigned,FALSE())/COUNTIFS(d_zone,$K22,d_band,L$21),0)</f>
        <v>0.366666666666667</v>
      </c>
      <c r="M22" s="27" t="n">
        <f aca="false">IFERROR(COUNTIFS(d_zone,$K22,d_band,M$21,d_assigned,FALSE())/COUNTIFS(d_zone,$K22,d_band,M$21),0)</f>
        <v>0.166666666666667</v>
      </c>
      <c r="N22" s="27" t="n">
        <f aca="false">IFERROR(COUNTIFS(d_zone,$K22,d_band,N$21,d_assigned,FALSE())/COUNTIFS(d_zone,$K22,d_band,N$21),0)</f>
        <v>0.0638297872340426</v>
      </c>
      <c r="O22" s="27" t="n">
        <f aca="false">IFERROR(COUNTIFS(d_zone,$K22,d_band,O$21,d_assigned,FALSE())/COUNTIFS(d_zone,$K22,d_band,O$21),0)</f>
        <v>0.0410958904109589</v>
      </c>
      <c r="P22" s="27" t="n">
        <f aca="false">IFERROR(COUNTIFS(d_zone,$K22,d_band,P$21,d_assigned,FALSE())/COUNTIFS(d_zone,$K22,d_band,P$21),0)</f>
        <v>0.027027027027027</v>
      </c>
    </row>
    <row r="23" customFormat="false" ht="15" hidden="false" customHeight="false" outlineLevel="0" collapsed="false">
      <c r="A23" s="25" t="n">
        <v>18</v>
      </c>
      <c r="B23" s="15" t="n">
        <f aca="false">COUNTIFS(d_hour,$A23)</f>
        <v>63</v>
      </c>
      <c r="C23" s="16" t="n">
        <f aca="false">B23/SUM(B$5:B$28)</f>
        <v>0.063</v>
      </c>
      <c r="D23" s="15" t="n">
        <f aca="false">COUNTIFS(d_hour,$A23,d_assigned,FALSE())</f>
        <v>1</v>
      </c>
      <c r="E23" s="16" t="n">
        <f aca="false">IFERROR(D23/B23,0)</f>
        <v>0.0158730158730159</v>
      </c>
      <c r="F23" s="15" t="n">
        <f aca="false">COUNTIFS(d_hour,$A23,d_status,"Cancelled*")</f>
        <v>3</v>
      </c>
      <c r="G23" s="16" t="n">
        <f aca="false">IFERROR(F23/B23,0)</f>
        <v>0.0476190476190476</v>
      </c>
      <c r="H23" s="17" t="n">
        <f aca="false">IFERROR(AVERAGEIFS(d_tat,d_hour,$A23),0)</f>
        <v>36.6166666666667</v>
      </c>
      <c r="K23" s="26" t="s">
        <v>47</v>
      </c>
      <c r="L23" s="27" t="n">
        <f aca="false">IFERROR(COUNTIFS(d_zone,$K23,d_band,L$21,d_assigned,FALSE())/COUNTIFS(d_zone,$K23,d_band,L$21),0)</f>
        <v>0.0594059405940594</v>
      </c>
      <c r="M23" s="27" t="n">
        <f aca="false">IFERROR(COUNTIFS(d_zone,$K23,d_band,M$21,d_assigned,FALSE())/COUNTIFS(d_zone,$K23,d_band,M$21),0)</f>
        <v>0.0714285714285714</v>
      </c>
      <c r="N23" s="27" t="n">
        <f aca="false">IFERROR(COUNTIFS(d_zone,$K23,d_band,N$21,d_assigned,FALSE())/COUNTIFS(d_zone,$K23,d_band,N$21),0)</f>
        <v>0.025</v>
      </c>
      <c r="O23" s="27" t="n">
        <f aca="false">IFERROR(COUNTIFS(d_zone,$K23,d_band,O$21,d_assigned,FALSE())/COUNTIFS(d_zone,$K23,d_band,O$21),0)</f>
        <v>0.140350877192982</v>
      </c>
      <c r="P23" s="27" t="n">
        <f aca="false">IFERROR(COUNTIFS(d_zone,$K23,d_band,P$21,d_assigned,FALSE())/COUNTIFS(d_zone,$K23,d_band,P$21),0)</f>
        <v>0</v>
      </c>
    </row>
    <row r="24" customFormat="false" ht="15" hidden="false" customHeight="false" outlineLevel="0" collapsed="false">
      <c r="A24" s="25" t="n">
        <v>19</v>
      </c>
      <c r="B24" s="15" t="n">
        <f aca="false">COUNTIFS(d_hour,$A24)</f>
        <v>52</v>
      </c>
      <c r="C24" s="16" t="n">
        <f aca="false">B24/SUM(B$5:B$28)</f>
        <v>0.052</v>
      </c>
      <c r="D24" s="15" t="n">
        <f aca="false">COUNTIFS(d_hour,$A24,d_assigned,FALSE())</f>
        <v>3</v>
      </c>
      <c r="E24" s="16" t="n">
        <f aca="false">IFERROR(D24/B24,0)</f>
        <v>0.0576923076923077</v>
      </c>
      <c r="F24" s="15" t="n">
        <f aca="false">COUNTIFS(d_hour,$A24,d_status,"Cancelled*")</f>
        <v>8</v>
      </c>
      <c r="G24" s="16" t="n">
        <f aca="false">IFERROR(F24/B24,0)</f>
        <v>0.153846153846154</v>
      </c>
      <c r="H24" s="17" t="n">
        <f aca="false">IFERROR(AVERAGEIFS(d_tat,d_hour,$A24),0)</f>
        <v>37.5</v>
      </c>
      <c r="K24" s="26" t="s">
        <v>48</v>
      </c>
      <c r="L24" s="27" t="n">
        <f aca="false">IFERROR(COUNTIFS(d_zone,$K24,d_band,L$21,d_assigned,FALSE())/COUNTIFS(d_zone,$K24,d_band,L$21),0)</f>
        <v>0.0659340659340659</v>
      </c>
      <c r="M24" s="27" t="n">
        <f aca="false">IFERROR(COUNTIFS(d_zone,$K24,d_band,M$21,d_assigned,FALSE())/COUNTIFS(d_zone,$K24,d_band,M$21),0)</f>
        <v>0.0833333333333333</v>
      </c>
      <c r="N24" s="27" t="n">
        <f aca="false">IFERROR(COUNTIFS(d_zone,$K24,d_band,N$21,d_assigned,FALSE())/COUNTIFS(d_zone,$K24,d_band,N$21),0)</f>
        <v>0.025</v>
      </c>
      <c r="O24" s="27" t="n">
        <f aca="false">IFERROR(COUNTIFS(d_zone,$K24,d_band,O$21,d_assigned,FALSE())/COUNTIFS(d_zone,$K24,d_band,O$21),0)</f>
        <v>0.0212765957446809</v>
      </c>
      <c r="P24" s="27" t="n">
        <f aca="false">IFERROR(COUNTIFS(d_zone,$K24,d_band,P$21,d_assigned,FALSE())/COUNTIFS(d_zone,$K24,d_band,P$21),0)</f>
        <v>0.0487804878048781</v>
      </c>
    </row>
    <row r="25" customFormat="false" ht="15" hidden="false" customHeight="false" outlineLevel="0" collapsed="false">
      <c r="A25" s="25" t="n">
        <v>20</v>
      </c>
      <c r="B25" s="15" t="n">
        <f aca="false">COUNTIFS(d_hour,$A25)</f>
        <v>39</v>
      </c>
      <c r="C25" s="16" t="n">
        <f aca="false">B25/SUM(B$5:B$28)</f>
        <v>0.039</v>
      </c>
      <c r="D25" s="15" t="n">
        <f aca="false">COUNTIFS(d_hour,$A25,d_assigned,FALSE())</f>
        <v>4</v>
      </c>
      <c r="E25" s="16" t="n">
        <f aca="false">IFERROR(D25/B25,0)</f>
        <v>0.102564102564103</v>
      </c>
      <c r="F25" s="15" t="n">
        <f aca="false">COUNTIFS(d_hour,$A25,d_status,"Cancelled*")</f>
        <v>9</v>
      </c>
      <c r="G25" s="16" t="n">
        <f aca="false">IFERROR(F25/B25,0)</f>
        <v>0.230769230769231</v>
      </c>
      <c r="H25" s="17" t="n">
        <f aca="false">IFERROR(AVERAGEIFS(d_tat,d_hour,$A25),0)</f>
        <v>33.9</v>
      </c>
      <c r="K25" s="26" t="s">
        <v>49</v>
      </c>
      <c r="L25" s="27" t="n">
        <f aca="false">IFERROR(COUNTIFS(d_zone,$K25,d_band,L$21,d_assigned,FALSE())/COUNTIFS(d_zone,$K25,d_band,L$21),0)</f>
        <v>0.0294117647058824</v>
      </c>
      <c r="M25" s="27" t="n">
        <f aca="false">IFERROR(COUNTIFS(d_zone,$K25,d_band,M$21,d_assigned,FALSE())/COUNTIFS(d_zone,$K25,d_band,M$21),0)</f>
        <v>0.037037037037037</v>
      </c>
      <c r="N25" s="27" t="n">
        <f aca="false">IFERROR(COUNTIFS(d_zone,$K25,d_band,N$21,d_assigned,FALSE())/COUNTIFS(d_zone,$K25,d_band,N$21),0)</f>
        <v>0.0540540540540541</v>
      </c>
      <c r="O25" s="27" t="n">
        <f aca="false">IFERROR(COUNTIFS(d_zone,$K25,d_band,O$21,d_assigned,FALSE())/COUNTIFS(d_zone,$K25,d_band,O$21),0)</f>
        <v>0.0833333333333333</v>
      </c>
      <c r="P25" s="27" t="n">
        <f aca="false">IFERROR(COUNTIFS(d_zone,$K25,d_band,P$21,d_assigned,FALSE())/COUNTIFS(d_zone,$K25,d_band,P$21),0)</f>
        <v>0.0882352941176471</v>
      </c>
    </row>
    <row r="26" customFormat="false" ht="15" hidden="false" customHeight="false" outlineLevel="0" collapsed="false">
      <c r="A26" s="25" t="n">
        <v>21</v>
      </c>
      <c r="B26" s="15" t="n">
        <f aca="false">COUNTIFS(d_hour,$A26)</f>
        <v>54</v>
      </c>
      <c r="C26" s="16" t="n">
        <f aca="false">B26/SUM(B$5:B$28)</f>
        <v>0.054</v>
      </c>
      <c r="D26" s="15" t="n">
        <f aca="false">COUNTIFS(d_hour,$A26,d_assigned,FALSE())</f>
        <v>2</v>
      </c>
      <c r="E26" s="16" t="n">
        <f aca="false">IFERROR(D26/B26,0)</f>
        <v>0.037037037037037</v>
      </c>
      <c r="F26" s="15" t="n">
        <f aca="false">COUNTIFS(d_hour,$A26,d_status,"Cancelled*")</f>
        <v>4</v>
      </c>
      <c r="G26" s="16" t="n">
        <f aca="false">IFERROR(F26/B26,0)</f>
        <v>0.0740740740740741</v>
      </c>
      <c r="H26" s="17" t="n">
        <f aca="false">IFERROR(AVERAGEIFS(d_tat,d_hour,$A26),0)</f>
        <v>36.64</v>
      </c>
    </row>
    <row r="27" customFormat="false" ht="15" hidden="false" customHeight="false" outlineLevel="0" collapsed="false">
      <c r="A27" s="25" t="n">
        <v>22</v>
      </c>
      <c r="B27" s="15" t="n">
        <f aca="false">COUNTIFS(d_hour,$A27)</f>
        <v>49</v>
      </c>
      <c r="C27" s="16" t="n">
        <f aca="false">B27/SUM(B$5:B$28)</f>
        <v>0.049</v>
      </c>
      <c r="D27" s="15" t="n">
        <f aca="false">COUNTIFS(d_hour,$A27,d_assigned,FALSE())</f>
        <v>2</v>
      </c>
      <c r="E27" s="16" t="n">
        <f aca="false">IFERROR(D27/B27,0)</f>
        <v>0.0408163265306122</v>
      </c>
      <c r="F27" s="15" t="n">
        <f aca="false">COUNTIFS(d_hour,$A27,d_status,"Cancelled*")</f>
        <v>5</v>
      </c>
      <c r="G27" s="16" t="n">
        <f aca="false">IFERROR(F27/B27,0)</f>
        <v>0.102040816326531</v>
      </c>
      <c r="H27" s="17" t="n">
        <f aca="false">IFERROR(AVERAGEIFS(d_tat,d_hour,$A27),0)</f>
        <v>41.4090909090909</v>
      </c>
    </row>
    <row r="28" customFormat="false" ht="15" hidden="false" customHeight="false" outlineLevel="0" collapsed="false">
      <c r="A28" s="25" t="n">
        <v>23</v>
      </c>
      <c r="B28" s="15" t="n">
        <f aca="false">COUNTIFS(d_hour,$A28)</f>
        <v>47</v>
      </c>
      <c r="C28" s="16" t="n">
        <f aca="false">B28/SUM(B$5:B$28)</f>
        <v>0.047</v>
      </c>
      <c r="D28" s="15" t="n">
        <f aca="false">COUNTIFS(d_hour,$A28,d_assigned,FALSE())</f>
        <v>2</v>
      </c>
      <c r="E28" s="16" t="n">
        <f aca="false">IFERROR(D28/B28,0)</f>
        <v>0.0425531914893617</v>
      </c>
      <c r="F28" s="15" t="n">
        <f aca="false">COUNTIFS(d_hour,$A28,d_status,"Cancelled*")</f>
        <v>5</v>
      </c>
      <c r="G28" s="16" t="n">
        <f aca="false">IFERROR(F28/B28,0)</f>
        <v>0.106382978723404</v>
      </c>
      <c r="H28" s="17" t="n">
        <f aca="false">IFERROR(AVERAGEIFS(d_tat,d_hour,$A28),0)</f>
        <v>38.4047619047619</v>
      </c>
      <c r="K28" s="24" t="s">
        <v>65</v>
      </c>
    </row>
    <row r="29" customFormat="false" ht="31.5" hidden="false" customHeight="true" outlineLevel="0" collapsed="false">
      <c r="K29" s="13" t="s">
        <v>64</v>
      </c>
      <c r="L29" s="13" t="s">
        <v>57</v>
      </c>
      <c r="M29" s="13" t="s">
        <v>58</v>
      </c>
      <c r="N29" s="13" t="s">
        <v>59</v>
      </c>
      <c r="O29" s="13" t="s">
        <v>60</v>
      </c>
      <c r="P29" s="13" t="s">
        <v>61</v>
      </c>
    </row>
    <row r="30" customFormat="false" ht="15" hidden="false" customHeight="false" outlineLevel="0" collapsed="false">
      <c r="K30" s="26" t="s">
        <v>46</v>
      </c>
      <c r="L30" s="28" t="n">
        <f aca="false">COUNTIFS(d_zone,$K30,d_band,L$29)</f>
        <v>90</v>
      </c>
      <c r="M30" s="28" t="n">
        <f aca="false">COUNTIFS(d_zone,$K30,d_band,M$29)</f>
        <v>12</v>
      </c>
      <c r="N30" s="28" t="n">
        <f aca="false">COUNTIFS(d_zone,$K30,d_band,N$29)</f>
        <v>47</v>
      </c>
      <c r="O30" s="28" t="n">
        <f aca="false">COUNTIFS(d_zone,$K30,d_band,O$29)</f>
        <v>73</v>
      </c>
      <c r="P30" s="28" t="n">
        <f aca="false">COUNTIFS(d_zone,$K30,d_band,P$29)</f>
        <v>37</v>
      </c>
    </row>
    <row r="31" customFormat="false" ht="15" hidden="false" customHeight="false" outlineLevel="0" collapsed="false">
      <c r="K31" s="26" t="s">
        <v>47</v>
      </c>
      <c r="L31" s="28" t="n">
        <f aca="false">COUNTIFS(d_zone,$K31,d_band,L$29)</f>
        <v>101</v>
      </c>
      <c r="M31" s="28" t="n">
        <f aca="false">COUNTIFS(d_zone,$K31,d_band,M$29)</f>
        <v>14</v>
      </c>
      <c r="N31" s="28" t="n">
        <f aca="false">COUNTIFS(d_zone,$K31,d_band,N$29)</f>
        <v>40</v>
      </c>
      <c r="O31" s="28" t="n">
        <f aca="false">COUNTIFS(d_zone,$K31,d_band,O$29)</f>
        <v>57</v>
      </c>
      <c r="P31" s="28" t="n">
        <f aca="false">COUNTIFS(d_zone,$K31,d_band,P$29)</f>
        <v>38</v>
      </c>
    </row>
    <row r="32" customFormat="false" ht="15" hidden="false" customHeight="false" outlineLevel="0" collapsed="false">
      <c r="K32" s="26" t="s">
        <v>48</v>
      </c>
      <c r="L32" s="28" t="n">
        <f aca="false">COUNTIFS(d_zone,$K32,d_band,L$29)</f>
        <v>91</v>
      </c>
      <c r="M32" s="28" t="n">
        <f aca="false">COUNTIFS(d_zone,$K32,d_band,M$29)</f>
        <v>12</v>
      </c>
      <c r="N32" s="28" t="n">
        <f aca="false">COUNTIFS(d_zone,$K32,d_band,N$29)</f>
        <v>40</v>
      </c>
      <c r="O32" s="28" t="n">
        <f aca="false">COUNTIFS(d_zone,$K32,d_band,O$29)</f>
        <v>47</v>
      </c>
      <c r="P32" s="28" t="n">
        <f aca="false">COUNTIFS(d_zone,$K32,d_band,P$29)</f>
        <v>41</v>
      </c>
    </row>
    <row r="33" customFormat="false" ht="15" hidden="false" customHeight="false" outlineLevel="0" collapsed="false">
      <c r="K33" s="26" t="s">
        <v>49</v>
      </c>
      <c r="L33" s="28" t="n">
        <f aca="false">COUNTIFS(d_zone,$K33,d_band,L$29)</f>
        <v>102</v>
      </c>
      <c r="M33" s="28" t="n">
        <f aca="false">COUNTIFS(d_zone,$K33,d_band,M$29)</f>
        <v>27</v>
      </c>
      <c r="N33" s="28" t="n">
        <f aca="false">COUNTIFS(d_zone,$K33,d_band,N$29)</f>
        <v>37</v>
      </c>
      <c r="O33" s="28" t="n">
        <f aca="false">COUNTIFS(d_zone,$K33,d_band,O$29)</f>
        <v>60</v>
      </c>
      <c r="P33" s="28" t="n">
        <f aca="false">COUNTIFS(d_zone,$K33,d_band,P$29)</f>
        <v>34</v>
      </c>
    </row>
    <row r="36" customFormat="false" ht="15" hidden="false" customHeight="false" outlineLevel="0" collapsed="false">
      <c r="K36" s="24" t="s">
        <v>66</v>
      </c>
    </row>
    <row r="37" customFormat="false" ht="31.5" hidden="false" customHeight="true" outlineLevel="0" collapsed="false">
      <c r="K37" s="13" t="s">
        <v>64</v>
      </c>
      <c r="L37" s="13" t="s">
        <v>57</v>
      </c>
      <c r="M37" s="13" t="s">
        <v>58</v>
      </c>
      <c r="N37" s="13" t="s">
        <v>59</v>
      </c>
      <c r="O37" s="13" t="s">
        <v>60</v>
      </c>
      <c r="P37" s="13" t="s">
        <v>61</v>
      </c>
    </row>
    <row r="38" customFormat="false" ht="15" hidden="false" customHeight="false" outlineLevel="0" collapsed="false">
      <c r="K38" s="26" t="s">
        <v>46</v>
      </c>
      <c r="L38" s="27" t="n">
        <f aca="false">IFERROR(SUMIFS(d_sla,d_zone,$K38,d_band,L$37)/COUNTIFS(d_zone,$K38,d_band,L$37,d_status,"Completed"),0)</f>
        <v>0.285714285714286</v>
      </c>
      <c r="M38" s="27" t="n">
        <f aca="false">IFERROR(SUMIFS(d_sla,d_zone,$K38,d_band,M$37)/COUNTIFS(d_zone,$K38,d_band,M$37,d_status,"Completed"),0)</f>
        <v>0</v>
      </c>
      <c r="N38" s="27" t="n">
        <f aca="false">IFERROR(SUMIFS(d_sla,d_zone,$K38,d_band,N$37)/COUNTIFS(d_zone,$K38,d_band,N$37,d_status,"Completed"),0)</f>
        <v>0</v>
      </c>
      <c r="O38" s="27" t="n">
        <f aca="false">IFERROR(SUMIFS(d_sla,d_zone,$K38,d_band,O$37)/COUNTIFS(d_zone,$K38,d_band,O$37,d_status,"Completed"),0)</f>
        <v>0</v>
      </c>
      <c r="P38" s="27" t="n">
        <f aca="false">IFERROR(SUMIFS(d_sla,d_zone,$K38,d_band,P$37)/COUNTIFS(d_zone,$K38,d_band,P$37,d_status,"Completed"),0)</f>
        <v>0</v>
      </c>
    </row>
    <row r="39" customFormat="false" ht="15" hidden="false" customHeight="false" outlineLevel="0" collapsed="false">
      <c r="K39" s="26" t="s">
        <v>47</v>
      </c>
      <c r="L39" s="27" t="n">
        <f aca="false">IFERROR(SUMIFS(d_sla,d_zone,$K39,d_band,L$37)/COUNTIFS(d_zone,$K39,d_band,L$37,d_status,"Completed"),0)</f>
        <v>0</v>
      </c>
      <c r="M39" s="27" t="n">
        <f aca="false">IFERROR(SUMIFS(d_sla,d_zone,$K39,d_band,M$37)/COUNTIFS(d_zone,$K39,d_band,M$37,d_status,"Completed"),0)</f>
        <v>0</v>
      </c>
      <c r="N39" s="27" t="n">
        <f aca="false">IFERROR(SUMIFS(d_sla,d_zone,$K39,d_band,N$37)/COUNTIFS(d_zone,$K39,d_band,N$37,d_status,"Completed"),0)</f>
        <v>0</v>
      </c>
      <c r="O39" s="27" t="n">
        <f aca="false">IFERROR(SUMIFS(d_sla,d_zone,$K39,d_band,O$37)/COUNTIFS(d_zone,$K39,d_band,O$37,d_status,"Completed"),0)</f>
        <v>0</v>
      </c>
      <c r="P39" s="27" t="n">
        <f aca="false">IFERROR(SUMIFS(d_sla,d_zone,$K39,d_band,P$37)/COUNTIFS(d_zone,$K39,d_band,P$37,d_status,"Completed"),0)</f>
        <v>0</v>
      </c>
    </row>
    <row r="40" customFormat="false" ht="15" hidden="false" customHeight="false" outlineLevel="0" collapsed="false">
      <c r="K40" s="26" t="s">
        <v>48</v>
      </c>
      <c r="L40" s="27" t="n">
        <f aca="false">IFERROR(SUMIFS(d_sla,d_zone,$K40,d_band,L$37)/COUNTIFS(d_zone,$K40,d_band,L$37,d_status,"Completed"),0)</f>
        <v>0</v>
      </c>
      <c r="M40" s="27" t="n">
        <f aca="false">IFERROR(SUMIFS(d_sla,d_zone,$K40,d_band,M$37)/COUNTIFS(d_zone,$K40,d_band,M$37,d_status,"Completed"),0)</f>
        <v>0</v>
      </c>
      <c r="N40" s="27" t="n">
        <f aca="false">IFERROR(SUMIFS(d_sla,d_zone,$K40,d_band,N$37)/COUNTIFS(d_zone,$K40,d_band,N$37,d_status,"Completed"),0)</f>
        <v>0</v>
      </c>
      <c r="O40" s="27" t="n">
        <f aca="false">IFERROR(SUMIFS(d_sla,d_zone,$K40,d_band,O$37)/COUNTIFS(d_zone,$K40,d_band,O$37,d_status,"Completed"),0)</f>
        <v>0</v>
      </c>
      <c r="P40" s="27" t="n">
        <f aca="false">IFERROR(SUMIFS(d_sla,d_zone,$K40,d_band,P$37)/COUNTIFS(d_zone,$K40,d_band,P$37,d_status,"Completed"),0)</f>
        <v>0</v>
      </c>
    </row>
    <row r="41" customFormat="false" ht="15" hidden="false" customHeight="false" outlineLevel="0" collapsed="false">
      <c r="K41" s="26" t="s">
        <v>49</v>
      </c>
      <c r="L41" s="27" t="n">
        <f aca="false">IFERROR(SUMIFS(d_sla,d_zone,$K41,d_band,L$37)/COUNTIFS(d_zone,$K41,d_band,L$37,d_status,"Completed"),0)</f>
        <v>0</v>
      </c>
      <c r="M41" s="27" t="n">
        <f aca="false">IFERROR(SUMIFS(d_sla,d_zone,$K41,d_band,M$37)/COUNTIFS(d_zone,$K41,d_band,M$37,d_status,"Completed"),0)</f>
        <v>0</v>
      </c>
      <c r="N41" s="27" t="n">
        <f aca="false">IFERROR(SUMIFS(d_sla,d_zone,$K41,d_band,N$37)/COUNTIFS(d_zone,$K41,d_band,N$37,d_status,"Completed"),0)</f>
        <v>0</v>
      </c>
      <c r="O41" s="27" t="n">
        <f aca="false">IFERROR(SUMIFS(d_sla,d_zone,$K41,d_band,O$37)/COUNTIFS(d_zone,$K41,d_band,O$37,d_status,"Completed"),0)</f>
        <v>0</v>
      </c>
      <c r="P41" s="27" t="n">
        <f aca="false">IFERROR(SUMIFS(d_sla,d_zone,$K41,d_band,P$37)/COUNTIFS(d_zone,$K41,d_band,P$37,d_status,"Completed"),0)</f>
        <v>0</v>
      </c>
    </row>
  </sheetData>
  <conditionalFormatting sqref="E5:E28">
    <cfRule type="colorScale" priority="2">
      <colorScale>
        <cfvo type="min" val="0"/>
        <cfvo type="max" val="0"/>
        <color rgb="FFFFFFFF"/>
        <color rgb="FFF8696B"/>
      </colorScale>
    </cfRule>
  </conditionalFormatting>
  <conditionalFormatting sqref="B5:B28">
    <cfRule type="colorScale" priority="3">
      <colorScale>
        <cfvo type="min" val="0"/>
        <cfvo type="max" val="0"/>
        <color rgb="FFFFFFFF"/>
        <color rgb="FF5B9BD5"/>
      </colorScale>
    </cfRule>
  </conditionalFormatting>
  <conditionalFormatting sqref="L6:P9">
    <cfRule type="colorScale" priority="4">
      <colorScale>
        <cfvo type="num" val="0"/>
        <cfvo type="max" val="0"/>
        <color rgb="FFFFFFFF"/>
        <color rgb="FFF8696B"/>
      </colorScale>
    </cfRule>
  </conditionalFormatting>
  <conditionalFormatting sqref="L22:P25">
    <cfRule type="colorScale" priority="5">
      <colorScale>
        <cfvo type="num" val="0"/>
        <cfvo type="max" val="0"/>
        <color rgb="FFFFFFFF"/>
        <color rgb="FFF8696B"/>
      </colorScale>
    </cfRule>
  </conditionalFormatting>
  <conditionalFormatting sqref="L38:P41">
    <cfRule type="colorScale" priority="6">
      <colorScale>
        <cfvo type="num" val="0"/>
        <cfvo type="max" val="0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5"/>
  </cols>
  <sheetData>
    <row r="1" customFormat="false" ht="17.35" hidden="false" customHeight="false" outlineLevel="0" collapsed="false">
      <c r="A1" s="11" t="s">
        <v>67</v>
      </c>
    </row>
    <row r="2" customFormat="false" ht="15" hidden="false" customHeight="false" outlineLevel="0" collapsed="false">
      <c r="A2" s="12" t="s">
        <v>68</v>
      </c>
    </row>
    <row r="4" customFormat="false" ht="31.5" hidden="false" customHeight="true" outlineLevel="0" collapsed="false">
      <c r="A4" s="13" t="s">
        <v>69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70</v>
      </c>
      <c r="G4" s="13" t="s">
        <v>71</v>
      </c>
      <c r="H4" s="13" t="s">
        <v>72</v>
      </c>
      <c r="I4" s="13" t="s">
        <v>29</v>
      </c>
      <c r="J4" s="13" t="s">
        <v>27</v>
      </c>
    </row>
    <row r="5" customFormat="false" ht="15" hidden="false" customHeight="false" outlineLevel="0" collapsed="false">
      <c r="A5" s="29" t="n">
        <v>46315</v>
      </c>
      <c r="B5" s="15" t="n">
        <f aca="false">COUNTIFS(d_date,$A5,d_cat,B$4)</f>
        <v>20</v>
      </c>
      <c r="C5" s="15" t="n">
        <f aca="false">COUNTIFS(d_date,$A5,d_cat,C$4)</f>
        <v>20</v>
      </c>
      <c r="D5" s="15" t="n">
        <f aca="false">COUNTIFS(d_date,$A5,d_cat,D$4)</f>
        <v>21</v>
      </c>
      <c r="E5" s="15" t="n">
        <f aca="false">COUNTIFS(d_date,$A5,d_cat,E$4)</f>
        <v>17</v>
      </c>
      <c r="F5" s="30" t="n">
        <f aca="false">SUM(B5:E5)</f>
        <v>78</v>
      </c>
      <c r="G5" s="31"/>
      <c r="H5" s="17" t="n">
        <f aca="false">AVERAGE(F5:F5)</f>
        <v>78</v>
      </c>
      <c r="I5" s="16" t="n">
        <f aca="false">IFERROR(COUNTIFS(d_date,$A5,d_assigned,FALSE())/F5,0)</f>
        <v>0.0384615384615385</v>
      </c>
      <c r="J5" s="16" t="n">
        <f aca="false">IFERROR(COUNTIFS(d_date,$A5,d_status,"Cancelled*")/F5,0)</f>
        <v>0.0769230769230769</v>
      </c>
    </row>
    <row r="6" customFormat="false" ht="15" hidden="false" customHeight="false" outlineLevel="0" collapsed="false">
      <c r="A6" s="29" t="n">
        <v>46316</v>
      </c>
      <c r="B6" s="15" t="n">
        <f aca="false">COUNTIFS(d_date,$A6,d_cat,B$4)</f>
        <v>29</v>
      </c>
      <c r="C6" s="15" t="n">
        <f aca="false">COUNTIFS(d_date,$A6,d_cat,C$4)</f>
        <v>31</v>
      </c>
      <c r="D6" s="15" t="n">
        <f aca="false">COUNTIFS(d_date,$A6,d_cat,D$4)</f>
        <v>43</v>
      </c>
      <c r="E6" s="15" t="n">
        <f aca="false">COUNTIFS(d_date,$A6,d_cat,E$4)</f>
        <v>41</v>
      </c>
      <c r="F6" s="30" t="n">
        <f aca="false">SUM(B6:E6)</f>
        <v>144</v>
      </c>
      <c r="G6" s="31" t="n">
        <f aca="false">IFERROR(F6/F5-1,"")</f>
        <v>0.846153846153846</v>
      </c>
      <c r="H6" s="17" t="n">
        <f aca="false">AVERAGE(F5:F6)</f>
        <v>111</v>
      </c>
      <c r="I6" s="16" t="n">
        <f aca="false">IFERROR(COUNTIFS(d_date,$A6,d_assigned,FALSE())/F6,0)</f>
        <v>0.0902777777777778</v>
      </c>
      <c r="J6" s="16" t="n">
        <f aca="false">IFERROR(COUNTIFS(d_date,$A6,d_status,"Cancelled*")/F6,0)</f>
        <v>0.104166666666667</v>
      </c>
    </row>
    <row r="7" customFormat="false" ht="15" hidden="false" customHeight="false" outlineLevel="0" collapsed="false">
      <c r="A7" s="29" t="n">
        <v>46317</v>
      </c>
      <c r="B7" s="15" t="n">
        <f aca="false">COUNTIFS(d_date,$A7,d_cat,B$4)</f>
        <v>26</v>
      </c>
      <c r="C7" s="15" t="n">
        <f aca="false">COUNTIFS(d_date,$A7,d_cat,C$4)</f>
        <v>40</v>
      </c>
      <c r="D7" s="15" t="n">
        <f aca="false">COUNTIFS(d_date,$A7,d_cat,D$4)</f>
        <v>30</v>
      </c>
      <c r="E7" s="15" t="n">
        <f aca="false">COUNTIFS(d_date,$A7,d_cat,E$4)</f>
        <v>37</v>
      </c>
      <c r="F7" s="30" t="n">
        <f aca="false">SUM(B7:E7)</f>
        <v>133</v>
      </c>
      <c r="G7" s="31" t="n">
        <f aca="false">IFERROR(F7/F6-1,"")</f>
        <v>-0.0763888888888888</v>
      </c>
      <c r="H7" s="17" t="n">
        <f aca="false">AVERAGE(F5:F7)</f>
        <v>118.333333333333</v>
      </c>
      <c r="I7" s="16" t="n">
        <f aca="false">IFERROR(COUNTIFS(d_date,$A7,d_assigned,FALSE())/F7,0)</f>
        <v>0.0827067669172932</v>
      </c>
      <c r="J7" s="16" t="n">
        <f aca="false">IFERROR(COUNTIFS(d_date,$A7,d_status,"Cancelled*")/F7,0)</f>
        <v>0.120300751879699</v>
      </c>
    </row>
    <row r="8" customFormat="false" ht="15" hidden="false" customHeight="false" outlineLevel="0" collapsed="false">
      <c r="A8" s="29" t="n">
        <v>46318</v>
      </c>
      <c r="B8" s="15" t="n">
        <f aca="false">COUNTIFS(d_date,$A8,d_cat,B$4)</f>
        <v>34</v>
      </c>
      <c r="C8" s="15" t="n">
        <f aca="false">COUNTIFS(d_date,$A8,d_cat,C$4)</f>
        <v>35</v>
      </c>
      <c r="D8" s="15" t="n">
        <f aca="false">COUNTIFS(d_date,$A8,d_cat,D$4)</f>
        <v>37</v>
      </c>
      <c r="E8" s="15" t="n">
        <f aca="false">COUNTIFS(d_date,$A8,d_cat,E$4)</f>
        <v>37</v>
      </c>
      <c r="F8" s="30" t="n">
        <f aca="false">SUM(B8:E8)</f>
        <v>143</v>
      </c>
      <c r="G8" s="31" t="n">
        <f aca="false">IFERROR(F8/F7-1,"")</f>
        <v>0.0751879699248121</v>
      </c>
      <c r="H8" s="17" t="n">
        <f aca="false">AVERAGE(F6:F8)</f>
        <v>140</v>
      </c>
      <c r="I8" s="16" t="n">
        <f aca="false">IFERROR(COUNTIFS(d_date,$A8,d_assigned,FALSE())/F8,0)</f>
        <v>0.0909090909090909</v>
      </c>
      <c r="J8" s="16" t="n">
        <f aca="false">IFERROR(COUNTIFS(d_date,$A8,d_status,"Cancelled*")/F8,0)</f>
        <v>0.132867132867133</v>
      </c>
    </row>
    <row r="9" customFormat="false" ht="15" hidden="false" customHeight="false" outlineLevel="0" collapsed="false">
      <c r="A9" s="29" t="n">
        <v>46319</v>
      </c>
      <c r="B9" s="15" t="n">
        <f aca="false">COUNTIFS(d_date,$A9,d_cat,B$4)</f>
        <v>24</v>
      </c>
      <c r="C9" s="15" t="n">
        <f aca="false">COUNTIFS(d_date,$A9,d_cat,C$4)</f>
        <v>41</v>
      </c>
      <c r="D9" s="15" t="n">
        <f aca="false">COUNTIFS(d_date,$A9,d_cat,D$4)</f>
        <v>35</v>
      </c>
      <c r="E9" s="15" t="n">
        <f aca="false">COUNTIFS(d_date,$A9,d_cat,E$4)</f>
        <v>42</v>
      </c>
      <c r="F9" s="30" t="n">
        <f aca="false">SUM(B9:E9)</f>
        <v>142</v>
      </c>
      <c r="G9" s="31" t="n">
        <f aca="false">IFERROR(F9/F8-1,"")</f>
        <v>-0.00699300699300698</v>
      </c>
      <c r="H9" s="17" t="n">
        <f aca="false">AVERAGE(F7:F9)</f>
        <v>139.333333333333</v>
      </c>
      <c r="I9" s="16" t="n">
        <f aca="false">IFERROR(COUNTIFS(d_date,$A9,d_assigned,FALSE())/F9,0)</f>
        <v>0.0985915492957746</v>
      </c>
      <c r="J9" s="16" t="n">
        <f aca="false">IFERROR(COUNTIFS(d_date,$A9,d_status,"Cancelled*")/F9,0)</f>
        <v>0.161971830985916</v>
      </c>
    </row>
    <row r="10" customFormat="false" ht="15" hidden="false" customHeight="false" outlineLevel="0" collapsed="false">
      <c r="A10" s="29" t="n">
        <v>46320</v>
      </c>
      <c r="B10" s="15" t="n">
        <f aca="false">COUNTIFS(d_date,$A10,d_cat,B$4)</f>
        <v>41</v>
      </c>
      <c r="C10" s="15" t="n">
        <f aca="false">COUNTIFS(d_date,$A10,d_cat,C$4)</f>
        <v>30</v>
      </c>
      <c r="D10" s="15" t="n">
        <f aca="false">COUNTIFS(d_date,$A10,d_cat,D$4)</f>
        <v>43</v>
      </c>
      <c r="E10" s="15" t="n">
        <f aca="false">COUNTIFS(d_date,$A10,d_cat,E$4)</f>
        <v>40</v>
      </c>
      <c r="F10" s="30" t="n">
        <f aca="false">SUM(B10:E10)</f>
        <v>154</v>
      </c>
      <c r="G10" s="31" t="n">
        <f aca="false">IFERROR(F10/F9-1,"")</f>
        <v>0.0845070422535212</v>
      </c>
      <c r="H10" s="17" t="n">
        <f aca="false">AVERAGE(F8:F10)</f>
        <v>146.333333333333</v>
      </c>
      <c r="I10" s="16" t="n">
        <f aca="false">IFERROR(COUNTIFS(d_date,$A10,d_assigned,FALSE())/F10,0)</f>
        <v>0.0779220779220779</v>
      </c>
      <c r="J10" s="16" t="n">
        <f aca="false">IFERROR(COUNTIFS(d_date,$A10,d_status,"Cancelled*")/F10,0)</f>
        <v>0.181818181818182</v>
      </c>
    </row>
    <row r="11" customFormat="false" ht="15" hidden="false" customHeight="false" outlineLevel="0" collapsed="false">
      <c r="A11" s="29" t="n">
        <v>46321</v>
      </c>
      <c r="B11" s="15" t="n">
        <f aca="false">COUNTIFS(d_date,$A11,d_cat,B$4)</f>
        <v>37</v>
      </c>
      <c r="C11" s="15" t="n">
        <f aca="false">COUNTIFS(d_date,$A11,d_cat,C$4)</f>
        <v>41</v>
      </c>
      <c r="D11" s="15" t="n">
        <f aca="false">COUNTIFS(d_date,$A11,d_cat,D$4)</f>
        <v>34</v>
      </c>
      <c r="E11" s="15" t="n">
        <f aca="false">COUNTIFS(d_date,$A11,d_cat,E$4)</f>
        <v>29</v>
      </c>
      <c r="F11" s="30" t="n">
        <f aca="false">SUM(B11:E11)</f>
        <v>141</v>
      </c>
      <c r="G11" s="31" t="n">
        <f aca="false">IFERROR(F11/F10-1,"")</f>
        <v>-0.0844155844155844</v>
      </c>
      <c r="H11" s="17" t="n">
        <f aca="false">AVERAGE(F9:F11)</f>
        <v>145.666666666667</v>
      </c>
      <c r="I11" s="16" t="n">
        <f aca="false">IFERROR(COUNTIFS(d_date,$A11,d_assigned,FALSE())/F11,0)</f>
        <v>0.099290780141844</v>
      </c>
      <c r="J11" s="16" t="n">
        <f aca="false">IFERROR(COUNTIFS(d_date,$A11,d_status,"Cancelled*")/F11,0)</f>
        <v>0.127659574468085</v>
      </c>
    </row>
    <row r="12" customFormat="false" ht="15" hidden="false" customHeight="false" outlineLevel="0" collapsed="false">
      <c r="A12" s="29" t="n">
        <v>46322</v>
      </c>
      <c r="B12" s="15" t="n">
        <f aca="false">COUNTIFS(d_date,$A12,d_cat,B$4)</f>
        <v>15</v>
      </c>
      <c r="C12" s="15" t="n">
        <f aca="false">COUNTIFS(d_date,$A12,d_cat,C$4)</f>
        <v>17</v>
      </c>
      <c r="D12" s="15" t="n">
        <f aca="false">COUNTIFS(d_date,$A12,d_cat,D$4)</f>
        <v>16</v>
      </c>
      <c r="E12" s="15" t="n">
        <f aca="false">COUNTIFS(d_date,$A12,d_cat,E$4)</f>
        <v>17</v>
      </c>
      <c r="F12" s="30" t="n">
        <f aca="false">SUM(B12:E12)</f>
        <v>65</v>
      </c>
      <c r="G12" s="31" t="n">
        <f aca="false">IFERROR(F12/F11-1,"")</f>
        <v>-0.539007092198582</v>
      </c>
      <c r="H12" s="17" t="n">
        <f aca="false">AVERAGE(F10:F12)</f>
        <v>120</v>
      </c>
      <c r="I12" s="16" t="n">
        <f aca="false">IFERROR(COUNTIFS(d_date,$A12,d_assigned,FALSE())/F12,0)</f>
        <v>0.0461538461538462</v>
      </c>
      <c r="J12" s="16" t="n">
        <f aca="false">IFERROR(COUNTIFS(d_date,$A12,d_status,"Cancelled*")/F12,0)</f>
        <v>0.169230769230769</v>
      </c>
    </row>
    <row r="14" customFormat="false" ht="15" hidden="false" customHeight="false" outlineLevel="0" collapsed="false">
      <c r="A14" s="12" t="s">
        <v>73</v>
      </c>
    </row>
  </sheetData>
  <conditionalFormatting sqref="B5:E12">
    <cfRule type="colorScale" priority="2">
      <colorScale>
        <cfvo type="min" val="0"/>
        <cfvo type="max" val="0"/>
        <color rgb="FFFFFFFF"/>
        <color rgb="FF5B9BD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1" t="s">
        <v>74</v>
      </c>
    </row>
    <row r="2" customFormat="false" ht="15" hidden="false" customHeight="false" outlineLevel="0" collapsed="false">
      <c r="A2" s="12" t="s">
        <v>75</v>
      </c>
    </row>
    <row r="3" customFormat="false" ht="15" hidden="false" customHeight="false" outlineLevel="0" collapsed="false">
      <c r="A3" s="32" t="s">
        <v>76</v>
      </c>
      <c r="D3" s="32" t="s">
        <v>77</v>
      </c>
    </row>
    <row r="4" customFormat="false" ht="15" hidden="false" customHeight="false" outlineLevel="0" collapsed="false">
      <c r="A4" s="14" t="s">
        <v>78</v>
      </c>
      <c r="B4" s="33" t="n">
        <v>0.1</v>
      </c>
      <c r="D4" s="26" t="s">
        <v>79</v>
      </c>
      <c r="E4" s="34" t="n">
        <f aca="false">COUNTIF(F13:F32,"CRITICAL")+COUNTIF(F37:F56,"CRITICAL")+COUNTIF(D61:D64,"CRITICAL")+COUNTIF(F61:F64,"CRITICAL")</f>
        <v>4</v>
      </c>
    </row>
    <row r="5" customFormat="false" ht="15" hidden="false" customHeight="false" outlineLevel="0" collapsed="false">
      <c r="A5" s="14" t="s">
        <v>80</v>
      </c>
      <c r="B5" s="33" t="n">
        <v>0.15</v>
      </c>
      <c r="D5" s="26" t="s">
        <v>81</v>
      </c>
      <c r="E5" s="34" t="n">
        <f aca="false">COUNTIF(F13:F32,"WARNING")+COUNTIF(F37:F56,"WARNING")+COUNTIF(D61:D64,"WARNING")+COUNTIF(F61:F64,"WARNING")</f>
        <v>5</v>
      </c>
    </row>
    <row r="6" customFormat="false" ht="15" hidden="false" customHeight="false" outlineLevel="0" collapsed="false">
      <c r="A6" s="14" t="s">
        <v>82</v>
      </c>
      <c r="B6" s="33" t="n">
        <v>0.03</v>
      </c>
    </row>
    <row r="7" customFormat="false" ht="15" hidden="false" customHeight="false" outlineLevel="0" collapsed="false">
      <c r="A7" s="14" t="s">
        <v>83</v>
      </c>
      <c r="B7" s="33" t="n">
        <v>0.05</v>
      </c>
    </row>
    <row r="8" customFormat="false" ht="15" hidden="false" customHeight="false" outlineLevel="0" collapsed="false">
      <c r="A8" s="14" t="s">
        <v>84</v>
      </c>
      <c r="B8" s="35" t="n">
        <v>20</v>
      </c>
    </row>
    <row r="11" customFormat="false" ht="15" hidden="false" customHeight="false" outlineLevel="0" collapsed="false">
      <c r="A11" s="24" t="s">
        <v>85</v>
      </c>
    </row>
    <row r="12" customFormat="false" ht="31.5" hidden="false" customHeight="true" outlineLevel="0" collapsed="false">
      <c r="A12" s="13" t="s">
        <v>20</v>
      </c>
      <c r="B12" s="13" t="s">
        <v>86</v>
      </c>
      <c r="C12" s="13" t="s">
        <v>21</v>
      </c>
      <c r="D12" s="13" t="s">
        <v>28</v>
      </c>
      <c r="E12" s="13" t="s">
        <v>29</v>
      </c>
      <c r="F12" s="13" t="s">
        <v>87</v>
      </c>
    </row>
    <row r="13" customFormat="false" ht="15" hidden="false" customHeight="false" outlineLevel="0" collapsed="false">
      <c r="A13" s="14" t="s">
        <v>37</v>
      </c>
      <c r="B13" s="14" t="s">
        <v>57</v>
      </c>
      <c r="C13" s="15" t="n">
        <f aca="false">COUNTIFS(d_cat,$A13,d_band,$B13)</f>
        <v>88</v>
      </c>
      <c r="D13" s="15" t="n">
        <f aca="false">COUNTIFS(d_cat,$A13,d_band,$B13,d_assigned,FALSE())</f>
        <v>9</v>
      </c>
      <c r="E13" s="16" t="n">
        <f aca="false">IFERROR(D13/C13,0)</f>
        <v>0.102272727272727</v>
      </c>
      <c r="F13" s="36" t="str">
        <f aca="false">IF(C13&lt;$B$8,"LOW VOLUME",IF(E13&gt;=$B$5,"CRITICAL",IF(E13&gt;=$B$4,"WARNING","OK")))</f>
        <v>WARNING</v>
      </c>
    </row>
    <row r="14" customFormat="false" ht="15" hidden="false" customHeight="false" outlineLevel="0" collapsed="false">
      <c r="A14" s="14" t="s">
        <v>37</v>
      </c>
      <c r="B14" s="14" t="s">
        <v>58</v>
      </c>
      <c r="C14" s="15" t="n">
        <f aca="false">COUNTIFS(d_cat,$A14,d_band,$B14)</f>
        <v>14</v>
      </c>
      <c r="D14" s="15" t="n">
        <f aca="false">COUNTIFS(d_cat,$A14,d_band,$B14,d_assigned,FALSE())</f>
        <v>1</v>
      </c>
      <c r="E14" s="16" t="n">
        <f aca="false">IFERROR(D14/C14,0)</f>
        <v>0.0714285714285714</v>
      </c>
      <c r="F14" s="36" t="str">
        <f aca="false">IF(C14&lt;$B$8,"LOW VOLUME",IF(E14&gt;=$B$5,"CRITICAL",IF(E14&gt;=$B$4,"WARNING","OK")))</f>
        <v>LOW VOLUME</v>
      </c>
    </row>
    <row r="15" customFormat="false" ht="15" hidden="false" customHeight="false" outlineLevel="0" collapsed="false">
      <c r="A15" s="14" t="s">
        <v>37</v>
      </c>
      <c r="B15" s="14" t="s">
        <v>59</v>
      </c>
      <c r="C15" s="15" t="n">
        <f aca="false">COUNTIFS(d_cat,$A15,d_band,$B15)</f>
        <v>45</v>
      </c>
      <c r="D15" s="15" t="n">
        <f aca="false">COUNTIFS(d_cat,$A15,d_band,$B15,d_assigned,FALSE())</f>
        <v>4</v>
      </c>
      <c r="E15" s="16" t="n">
        <f aca="false">IFERROR(D15/C15,0)</f>
        <v>0.0888888888888889</v>
      </c>
      <c r="F15" s="36" t="str">
        <f aca="false">IF(C15&lt;$B$8,"LOW VOLUME",IF(E15&gt;=$B$5,"CRITICAL",IF(E15&gt;=$B$4,"WARNING","OK")))</f>
        <v>OK</v>
      </c>
    </row>
    <row r="16" customFormat="false" ht="15" hidden="false" customHeight="false" outlineLevel="0" collapsed="false">
      <c r="A16" s="14" t="s">
        <v>37</v>
      </c>
      <c r="B16" s="14" t="s">
        <v>60</v>
      </c>
      <c r="C16" s="15" t="n">
        <f aca="false">COUNTIFS(d_cat,$A16,d_band,$B16)</f>
        <v>53</v>
      </c>
      <c r="D16" s="15" t="n">
        <f aca="false">COUNTIFS(d_cat,$A16,d_band,$B16,d_assigned,FALSE())</f>
        <v>3</v>
      </c>
      <c r="E16" s="16" t="n">
        <f aca="false">IFERROR(D16/C16,0)</f>
        <v>0.0566037735849057</v>
      </c>
      <c r="F16" s="36" t="str">
        <f aca="false">IF(C16&lt;$B$8,"LOW VOLUME",IF(E16&gt;=$B$5,"CRITICAL",IF(E16&gt;=$B$4,"WARNING","OK")))</f>
        <v>OK</v>
      </c>
    </row>
    <row r="17" customFormat="false" ht="15" hidden="false" customHeight="false" outlineLevel="0" collapsed="false">
      <c r="A17" s="14" t="s">
        <v>37</v>
      </c>
      <c r="B17" s="14" t="s">
        <v>61</v>
      </c>
      <c r="C17" s="15" t="n">
        <f aca="false">COUNTIFS(d_cat,$A17,d_band,$B17)</f>
        <v>26</v>
      </c>
      <c r="D17" s="15" t="n">
        <f aca="false">COUNTIFS(d_cat,$A17,d_band,$B17,d_assigned,FALSE())</f>
        <v>2</v>
      </c>
      <c r="E17" s="16" t="n">
        <f aca="false">IFERROR(D17/C17,0)</f>
        <v>0.0769230769230769</v>
      </c>
      <c r="F17" s="36" t="str">
        <f aca="false">IF(C17&lt;$B$8,"LOW VOLUME",IF(E17&gt;=$B$5,"CRITICAL",IF(E17&gt;=$B$4,"WARNING","OK")))</f>
        <v>OK</v>
      </c>
    </row>
    <row r="18" customFormat="false" ht="15" hidden="false" customHeight="false" outlineLevel="0" collapsed="false">
      <c r="A18" s="14" t="s">
        <v>38</v>
      </c>
      <c r="B18" s="14" t="s">
        <v>57</v>
      </c>
      <c r="C18" s="15" t="n">
        <f aca="false">COUNTIFS(d_cat,$A18,d_band,$B18)</f>
        <v>93</v>
      </c>
      <c r="D18" s="15" t="n">
        <f aca="false">COUNTIFS(d_cat,$A18,d_band,$B18,d_assigned,FALSE())</f>
        <v>15</v>
      </c>
      <c r="E18" s="16" t="n">
        <f aca="false">IFERROR(D18/C18,0)</f>
        <v>0.161290322580645</v>
      </c>
      <c r="F18" s="36" t="str">
        <f aca="false">IF(C18&lt;$B$8,"LOW VOLUME",IF(E18&gt;=$B$5,"CRITICAL",IF(E18&gt;=$B$4,"WARNING","OK")))</f>
        <v>CRITICAL</v>
      </c>
    </row>
    <row r="19" customFormat="false" ht="15" hidden="false" customHeight="false" outlineLevel="0" collapsed="false">
      <c r="A19" s="14" t="s">
        <v>38</v>
      </c>
      <c r="B19" s="14" t="s">
        <v>58</v>
      </c>
      <c r="C19" s="15" t="n">
        <f aca="false">COUNTIFS(d_cat,$A19,d_band,$B19)</f>
        <v>17</v>
      </c>
      <c r="D19" s="15" t="n">
        <f aca="false">COUNTIFS(d_cat,$A19,d_band,$B19,d_assigned,FALSE())</f>
        <v>2</v>
      </c>
      <c r="E19" s="16" t="n">
        <f aca="false">IFERROR(D19/C19,0)</f>
        <v>0.117647058823529</v>
      </c>
      <c r="F19" s="36" t="str">
        <f aca="false">IF(C19&lt;$B$8,"LOW VOLUME",IF(E19&gt;=$B$5,"CRITICAL",IF(E19&gt;=$B$4,"WARNING","OK")))</f>
        <v>LOW VOLUME</v>
      </c>
    </row>
    <row r="20" customFormat="false" ht="15" hidden="false" customHeight="false" outlineLevel="0" collapsed="false">
      <c r="A20" s="14" t="s">
        <v>38</v>
      </c>
      <c r="B20" s="14" t="s">
        <v>59</v>
      </c>
      <c r="C20" s="15" t="n">
        <f aca="false">COUNTIFS(d_cat,$A20,d_band,$B20)</f>
        <v>44</v>
      </c>
      <c r="D20" s="15" t="n">
        <f aca="false">COUNTIFS(d_cat,$A20,d_band,$B20,d_assigned,FALSE())</f>
        <v>1</v>
      </c>
      <c r="E20" s="16" t="n">
        <f aca="false">IFERROR(D20/C20,0)</f>
        <v>0.0227272727272727</v>
      </c>
      <c r="F20" s="36" t="str">
        <f aca="false">IF(C20&lt;$B$8,"LOW VOLUME",IF(E20&gt;=$B$5,"CRITICAL",IF(E20&gt;=$B$4,"WARNING","OK")))</f>
        <v>OK</v>
      </c>
    </row>
    <row r="21" customFormat="false" ht="15" hidden="false" customHeight="false" outlineLevel="0" collapsed="false">
      <c r="A21" s="14" t="s">
        <v>38</v>
      </c>
      <c r="B21" s="14" t="s">
        <v>60</v>
      </c>
      <c r="C21" s="15" t="n">
        <f aca="false">COUNTIFS(d_cat,$A21,d_band,$B21)</f>
        <v>55</v>
      </c>
      <c r="D21" s="15" t="n">
        <f aca="false">COUNTIFS(d_cat,$A21,d_band,$B21,d_assigned,FALSE())</f>
        <v>3</v>
      </c>
      <c r="E21" s="16" t="n">
        <f aca="false">IFERROR(D21/C21,0)</f>
        <v>0.0545454545454545</v>
      </c>
      <c r="F21" s="36" t="str">
        <f aca="false">IF(C21&lt;$B$8,"LOW VOLUME",IF(E21&gt;=$B$5,"CRITICAL",IF(E21&gt;=$B$4,"WARNING","OK")))</f>
        <v>OK</v>
      </c>
    </row>
    <row r="22" customFormat="false" ht="15" hidden="false" customHeight="false" outlineLevel="0" collapsed="false">
      <c r="A22" s="14" t="s">
        <v>38</v>
      </c>
      <c r="B22" s="14" t="s">
        <v>61</v>
      </c>
      <c r="C22" s="15" t="n">
        <f aca="false">COUNTIFS(d_cat,$A22,d_band,$B22)</f>
        <v>46</v>
      </c>
      <c r="D22" s="15" t="n">
        <f aca="false">COUNTIFS(d_cat,$A22,d_band,$B22,d_assigned,FALSE())</f>
        <v>2</v>
      </c>
      <c r="E22" s="16" t="n">
        <f aca="false">IFERROR(D22/C22,0)</f>
        <v>0.0434782608695652</v>
      </c>
      <c r="F22" s="36" t="str">
        <f aca="false">IF(C22&lt;$B$8,"LOW VOLUME",IF(E22&gt;=$B$5,"CRITICAL",IF(E22&gt;=$B$4,"WARNING","OK")))</f>
        <v>OK</v>
      </c>
    </row>
    <row r="23" customFormat="false" ht="15" hidden="false" customHeight="false" outlineLevel="0" collapsed="false">
      <c r="A23" s="14" t="s">
        <v>39</v>
      </c>
      <c r="B23" s="14" t="s">
        <v>57</v>
      </c>
      <c r="C23" s="15" t="n">
        <f aca="false">COUNTIFS(d_cat,$A23,d_band,$B23)</f>
        <v>95</v>
      </c>
      <c r="D23" s="15" t="n">
        <f aca="false">COUNTIFS(d_cat,$A23,d_band,$B23,d_assigned,FALSE())</f>
        <v>10</v>
      </c>
      <c r="E23" s="16" t="n">
        <f aca="false">IFERROR(D23/C23,0)</f>
        <v>0.105263157894737</v>
      </c>
      <c r="F23" s="36" t="str">
        <f aca="false">IF(C23&lt;$B$8,"LOW VOLUME",IF(E23&gt;=$B$5,"CRITICAL",IF(E23&gt;=$B$4,"WARNING","OK")))</f>
        <v>WARNING</v>
      </c>
    </row>
    <row r="24" customFormat="false" ht="15" hidden="false" customHeight="false" outlineLevel="0" collapsed="false">
      <c r="A24" s="14" t="s">
        <v>39</v>
      </c>
      <c r="B24" s="14" t="s">
        <v>58</v>
      </c>
      <c r="C24" s="15" t="n">
        <f aca="false">COUNTIFS(d_cat,$A24,d_band,$B24)</f>
        <v>18</v>
      </c>
      <c r="D24" s="15" t="n">
        <f aca="false">COUNTIFS(d_cat,$A24,d_band,$B24,d_assigned,FALSE())</f>
        <v>0</v>
      </c>
      <c r="E24" s="16" t="n">
        <f aca="false">IFERROR(D24/C24,0)</f>
        <v>0</v>
      </c>
      <c r="F24" s="36" t="str">
        <f aca="false">IF(C24&lt;$B$8,"LOW VOLUME",IF(E24&gt;=$B$5,"CRITICAL",IF(E24&gt;=$B$4,"WARNING","OK")))</f>
        <v>LOW VOLUME</v>
      </c>
    </row>
    <row r="25" customFormat="false" ht="15" hidden="false" customHeight="false" outlineLevel="0" collapsed="false">
      <c r="A25" s="14" t="s">
        <v>39</v>
      </c>
      <c r="B25" s="14" t="s">
        <v>59</v>
      </c>
      <c r="C25" s="15" t="n">
        <f aca="false">COUNTIFS(d_cat,$A25,d_band,$B25)</f>
        <v>42</v>
      </c>
      <c r="D25" s="15" t="n">
        <f aca="false">COUNTIFS(d_cat,$A25,d_band,$B25,d_assigned,FALSE())</f>
        <v>1</v>
      </c>
      <c r="E25" s="16" t="n">
        <f aca="false">IFERROR(D25/C25,0)</f>
        <v>0.0238095238095238</v>
      </c>
      <c r="F25" s="36" t="str">
        <f aca="false">IF(C25&lt;$B$8,"LOW VOLUME",IF(E25&gt;=$B$5,"CRITICAL",IF(E25&gt;=$B$4,"WARNING","OK")))</f>
        <v>OK</v>
      </c>
    </row>
    <row r="26" customFormat="false" ht="15" hidden="false" customHeight="false" outlineLevel="0" collapsed="false">
      <c r="A26" s="14" t="s">
        <v>39</v>
      </c>
      <c r="B26" s="14" t="s">
        <v>60</v>
      </c>
      <c r="C26" s="15" t="n">
        <f aca="false">COUNTIFS(d_cat,$A26,d_band,$B26)</f>
        <v>70</v>
      </c>
      <c r="D26" s="15" t="n">
        <f aca="false">COUNTIFS(d_cat,$A26,d_band,$B26,d_assigned,FALSE())</f>
        <v>9</v>
      </c>
      <c r="E26" s="16" t="n">
        <f aca="false">IFERROR(D26/C26,0)</f>
        <v>0.128571428571429</v>
      </c>
      <c r="F26" s="36" t="str">
        <f aca="false">IF(C26&lt;$B$8,"LOW VOLUME",IF(E26&gt;=$B$5,"CRITICAL",IF(E26&gt;=$B$4,"WARNING","OK")))</f>
        <v>WARNING</v>
      </c>
    </row>
    <row r="27" customFormat="false" ht="15" hidden="false" customHeight="false" outlineLevel="0" collapsed="false">
      <c r="A27" s="14" t="s">
        <v>39</v>
      </c>
      <c r="B27" s="14" t="s">
        <v>61</v>
      </c>
      <c r="C27" s="15" t="n">
        <f aca="false">COUNTIFS(d_cat,$A27,d_band,$B27)</f>
        <v>34</v>
      </c>
      <c r="D27" s="15" t="n">
        <f aca="false">COUNTIFS(d_cat,$A27,d_band,$B27,d_assigned,FALSE())</f>
        <v>1</v>
      </c>
      <c r="E27" s="16" t="n">
        <f aca="false">IFERROR(D27/C27,0)</f>
        <v>0.0294117647058824</v>
      </c>
      <c r="F27" s="36" t="str">
        <f aca="false">IF(C27&lt;$B$8,"LOW VOLUME",IF(E27&gt;=$B$5,"CRITICAL",IF(E27&gt;=$B$4,"WARNING","OK")))</f>
        <v>OK</v>
      </c>
    </row>
    <row r="28" customFormat="false" ht="15" hidden="false" customHeight="false" outlineLevel="0" collapsed="false">
      <c r="A28" s="14" t="s">
        <v>40</v>
      </c>
      <c r="B28" s="14" t="s">
        <v>57</v>
      </c>
      <c r="C28" s="15" t="n">
        <f aca="false">COUNTIFS(d_cat,$A28,d_band,$B28)</f>
        <v>108</v>
      </c>
      <c r="D28" s="15" t="n">
        <f aca="false">COUNTIFS(d_cat,$A28,d_band,$B28,d_assigned,FALSE())</f>
        <v>14</v>
      </c>
      <c r="E28" s="16" t="n">
        <f aca="false">IFERROR(D28/C28,0)</f>
        <v>0.12962962962963</v>
      </c>
      <c r="F28" s="36" t="str">
        <f aca="false">IF(C28&lt;$B$8,"LOW VOLUME",IF(E28&gt;=$B$5,"CRITICAL",IF(E28&gt;=$B$4,"WARNING","OK")))</f>
        <v>WARNING</v>
      </c>
    </row>
    <row r="29" customFormat="false" ht="15" hidden="false" customHeight="false" outlineLevel="0" collapsed="false">
      <c r="A29" s="14" t="s">
        <v>40</v>
      </c>
      <c r="B29" s="14" t="s">
        <v>58</v>
      </c>
      <c r="C29" s="15" t="n">
        <f aca="false">COUNTIFS(d_cat,$A29,d_band,$B29)</f>
        <v>16</v>
      </c>
      <c r="D29" s="15" t="n">
        <f aca="false">COUNTIFS(d_cat,$A29,d_band,$B29,d_assigned,FALSE())</f>
        <v>2</v>
      </c>
      <c r="E29" s="16" t="n">
        <f aca="false">IFERROR(D29/C29,0)</f>
        <v>0.125</v>
      </c>
      <c r="F29" s="36" t="str">
        <f aca="false">IF(C29&lt;$B$8,"LOW VOLUME",IF(E29&gt;=$B$5,"CRITICAL",IF(E29&gt;=$B$4,"WARNING","OK")))</f>
        <v>LOW VOLUME</v>
      </c>
    </row>
    <row r="30" customFormat="false" ht="15" hidden="false" customHeight="false" outlineLevel="0" collapsed="false">
      <c r="A30" s="14" t="s">
        <v>40</v>
      </c>
      <c r="B30" s="14" t="s">
        <v>59</v>
      </c>
      <c r="C30" s="15" t="n">
        <f aca="false">COUNTIFS(d_cat,$A30,d_band,$B30)</f>
        <v>33</v>
      </c>
      <c r="D30" s="15" t="n">
        <f aca="false">COUNTIFS(d_cat,$A30,d_band,$B30,d_assigned,FALSE())</f>
        <v>1</v>
      </c>
      <c r="E30" s="16" t="n">
        <f aca="false">IFERROR(D30/C30,0)</f>
        <v>0.0303030303030303</v>
      </c>
      <c r="F30" s="36" t="str">
        <f aca="false">IF(C30&lt;$B$8,"LOW VOLUME",IF(E30&gt;=$B$5,"CRITICAL",IF(E30&gt;=$B$4,"WARNING","OK")))</f>
        <v>OK</v>
      </c>
    </row>
    <row r="31" customFormat="false" ht="15" hidden="false" customHeight="false" outlineLevel="0" collapsed="false">
      <c r="A31" s="14" t="s">
        <v>40</v>
      </c>
      <c r="B31" s="14" t="s">
        <v>60</v>
      </c>
      <c r="C31" s="15" t="n">
        <f aca="false">COUNTIFS(d_cat,$A31,d_band,$B31)</f>
        <v>59</v>
      </c>
      <c r="D31" s="15" t="n">
        <f aca="false">COUNTIFS(d_cat,$A31,d_band,$B31,d_assigned,FALSE())</f>
        <v>2</v>
      </c>
      <c r="E31" s="16" t="n">
        <f aca="false">IFERROR(D31/C31,0)</f>
        <v>0.0338983050847458</v>
      </c>
      <c r="F31" s="36" t="str">
        <f aca="false">IF(C31&lt;$B$8,"LOW VOLUME",IF(E31&gt;=$B$5,"CRITICAL",IF(E31&gt;=$B$4,"WARNING","OK")))</f>
        <v>OK</v>
      </c>
    </row>
    <row r="32" customFormat="false" ht="15" hidden="false" customHeight="false" outlineLevel="0" collapsed="false">
      <c r="A32" s="14" t="s">
        <v>40</v>
      </c>
      <c r="B32" s="14" t="s">
        <v>61</v>
      </c>
      <c r="C32" s="15" t="n">
        <f aca="false">COUNTIFS(d_cat,$A32,d_band,$B32)</f>
        <v>44</v>
      </c>
      <c r="D32" s="15" t="n">
        <f aca="false">COUNTIFS(d_cat,$A32,d_band,$B32,d_assigned,FALSE())</f>
        <v>1</v>
      </c>
      <c r="E32" s="16" t="n">
        <f aca="false">IFERROR(D32/C32,0)</f>
        <v>0.0227272727272727</v>
      </c>
      <c r="F32" s="36" t="str">
        <f aca="false">IF(C32&lt;$B$8,"LOW VOLUME",IF(E32&gt;=$B$5,"CRITICAL",IF(E32&gt;=$B$4,"WARNING","OK")))</f>
        <v>OK</v>
      </c>
    </row>
    <row r="35" customFormat="false" ht="15" hidden="false" customHeight="false" outlineLevel="0" collapsed="false">
      <c r="A35" s="24" t="s">
        <v>88</v>
      </c>
    </row>
    <row r="36" customFormat="false" ht="31.5" hidden="false" customHeight="true" outlineLevel="0" collapsed="false">
      <c r="A36" s="13" t="s">
        <v>45</v>
      </c>
      <c r="B36" s="13" t="s">
        <v>86</v>
      </c>
      <c r="C36" s="13" t="s">
        <v>21</v>
      </c>
      <c r="D36" s="13" t="s">
        <v>28</v>
      </c>
      <c r="E36" s="13" t="s">
        <v>29</v>
      </c>
      <c r="F36" s="13" t="s">
        <v>87</v>
      </c>
    </row>
    <row r="37" customFormat="false" ht="15" hidden="false" customHeight="false" outlineLevel="0" collapsed="false">
      <c r="A37" s="14" t="s">
        <v>46</v>
      </c>
      <c r="B37" s="14" t="s">
        <v>57</v>
      </c>
      <c r="C37" s="15" t="n">
        <f aca="false">COUNTIFS(d_zone,$A37,d_band,$B37)</f>
        <v>90</v>
      </c>
      <c r="D37" s="15" t="n">
        <f aca="false">COUNTIFS(d_zone,$A37,d_band,$B37,d_assigned,FALSE())</f>
        <v>33</v>
      </c>
      <c r="E37" s="16" t="n">
        <f aca="false">IFERROR(D37/C37,0)</f>
        <v>0.366666666666667</v>
      </c>
      <c r="F37" s="36" t="str">
        <f aca="false">IF(C37&lt;$B$8,"LOW VOLUME",IF(E37&gt;=$B$5,"CRITICAL",IF(E37&gt;=$B$4,"WARNING","OK")))</f>
        <v>CRITICAL</v>
      </c>
    </row>
    <row r="38" customFormat="false" ht="15" hidden="false" customHeight="false" outlineLevel="0" collapsed="false">
      <c r="A38" s="14" t="s">
        <v>46</v>
      </c>
      <c r="B38" s="14" t="s">
        <v>58</v>
      </c>
      <c r="C38" s="15" t="n">
        <f aca="false">COUNTIFS(d_zone,$A38,d_band,$B38)</f>
        <v>12</v>
      </c>
      <c r="D38" s="15" t="n">
        <f aca="false">COUNTIFS(d_zone,$A38,d_band,$B38,d_assigned,FALSE())</f>
        <v>2</v>
      </c>
      <c r="E38" s="16" t="n">
        <f aca="false">IFERROR(D38/C38,0)</f>
        <v>0.166666666666667</v>
      </c>
      <c r="F38" s="36" t="str">
        <f aca="false">IF(C38&lt;$B$8,"LOW VOLUME",IF(E38&gt;=$B$5,"CRITICAL",IF(E38&gt;=$B$4,"WARNING","OK")))</f>
        <v>LOW VOLUME</v>
      </c>
    </row>
    <row r="39" customFormat="false" ht="15" hidden="false" customHeight="false" outlineLevel="0" collapsed="false">
      <c r="A39" s="14" t="s">
        <v>46</v>
      </c>
      <c r="B39" s="14" t="s">
        <v>59</v>
      </c>
      <c r="C39" s="15" t="n">
        <f aca="false">COUNTIFS(d_zone,$A39,d_band,$B39)</f>
        <v>47</v>
      </c>
      <c r="D39" s="15" t="n">
        <f aca="false">COUNTIFS(d_zone,$A39,d_band,$B39,d_assigned,FALSE())</f>
        <v>3</v>
      </c>
      <c r="E39" s="16" t="n">
        <f aca="false">IFERROR(D39/C39,0)</f>
        <v>0.0638297872340426</v>
      </c>
      <c r="F39" s="36" t="str">
        <f aca="false">IF(C39&lt;$B$8,"LOW VOLUME",IF(E39&gt;=$B$5,"CRITICAL",IF(E39&gt;=$B$4,"WARNING","OK")))</f>
        <v>OK</v>
      </c>
    </row>
    <row r="40" customFormat="false" ht="15" hidden="false" customHeight="false" outlineLevel="0" collapsed="false">
      <c r="A40" s="14" t="s">
        <v>46</v>
      </c>
      <c r="B40" s="14" t="s">
        <v>60</v>
      </c>
      <c r="C40" s="15" t="n">
        <f aca="false">COUNTIFS(d_zone,$A40,d_band,$B40)</f>
        <v>73</v>
      </c>
      <c r="D40" s="15" t="n">
        <f aca="false">COUNTIFS(d_zone,$A40,d_band,$B40,d_assigned,FALSE())</f>
        <v>3</v>
      </c>
      <c r="E40" s="16" t="n">
        <f aca="false">IFERROR(D40/C40,0)</f>
        <v>0.0410958904109589</v>
      </c>
      <c r="F40" s="36" t="str">
        <f aca="false">IF(C40&lt;$B$8,"LOW VOLUME",IF(E40&gt;=$B$5,"CRITICAL",IF(E40&gt;=$B$4,"WARNING","OK")))</f>
        <v>OK</v>
      </c>
    </row>
    <row r="41" customFormat="false" ht="15" hidden="false" customHeight="false" outlineLevel="0" collapsed="false">
      <c r="A41" s="14" t="s">
        <v>46</v>
      </c>
      <c r="B41" s="14" t="s">
        <v>61</v>
      </c>
      <c r="C41" s="15" t="n">
        <f aca="false">COUNTIFS(d_zone,$A41,d_band,$B41)</f>
        <v>37</v>
      </c>
      <c r="D41" s="15" t="n">
        <f aca="false">COUNTIFS(d_zone,$A41,d_band,$B41,d_assigned,FALSE())</f>
        <v>1</v>
      </c>
      <c r="E41" s="16" t="n">
        <f aca="false">IFERROR(D41/C41,0)</f>
        <v>0.027027027027027</v>
      </c>
      <c r="F41" s="36" t="str">
        <f aca="false">IF(C41&lt;$B$8,"LOW VOLUME",IF(E41&gt;=$B$5,"CRITICAL",IF(E41&gt;=$B$4,"WARNING","OK")))</f>
        <v>OK</v>
      </c>
    </row>
    <row r="42" customFormat="false" ht="15" hidden="false" customHeight="false" outlineLevel="0" collapsed="false">
      <c r="A42" s="14" t="s">
        <v>47</v>
      </c>
      <c r="B42" s="14" t="s">
        <v>57</v>
      </c>
      <c r="C42" s="15" t="n">
        <f aca="false">COUNTIFS(d_zone,$A42,d_band,$B42)</f>
        <v>101</v>
      </c>
      <c r="D42" s="15" t="n">
        <f aca="false">COUNTIFS(d_zone,$A42,d_band,$B42,d_assigned,FALSE())</f>
        <v>6</v>
      </c>
      <c r="E42" s="16" t="n">
        <f aca="false">IFERROR(D42/C42,0)</f>
        <v>0.0594059405940594</v>
      </c>
      <c r="F42" s="36" t="str">
        <f aca="false">IF(C42&lt;$B$8,"LOW VOLUME",IF(E42&gt;=$B$5,"CRITICAL",IF(E42&gt;=$B$4,"WARNING","OK")))</f>
        <v>OK</v>
      </c>
    </row>
    <row r="43" customFormat="false" ht="15" hidden="false" customHeight="false" outlineLevel="0" collapsed="false">
      <c r="A43" s="14" t="s">
        <v>47</v>
      </c>
      <c r="B43" s="14" t="s">
        <v>58</v>
      </c>
      <c r="C43" s="15" t="n">
        <f aca="false">COUNTIFS(d_zone,$A43,d_band,$B43)</f>
        <v>14</v>
      </c>
      <c r="D43" s="15" t="n">
        <f aca="false">COUNTIFS(d_zone,$A43,d_band,$B43,d_assigned,FALSE())</f>
        <v>1</v>
      </c>
      <c r="E43" s="16" t="n">
        <f aca="false">IFERROR(D43/C43,0)</f>
        <v>0.0714285714285714</v>
      </c>
      <c r="F43" s="36" t="str">
        <f aca="false">IF(C43&lt;$B$8,"LOW VOLUME",IF(E43&gt;=$B$5,"CRITICAL",IF(E43&gt;=$B$4,"WARNING","OK")))</f>
        <v>LOW VOLUME</v>
      </c>
    </row>
    <row r="44" customFormat="false" ht="15" hidden="false" customHeight="false" outlineLevel="0" collapsed="false">
      <c r="A44" s="14" t="s">
        <v>47</v>
      </c>
      <c r="B44" s="14" t="s">
        <v>59</v>
      </c>
      <c r="C44" s="15" t="n">
        <f aca="false">COUNTIFS(d_zone,$A44,d_band,$B44)</f>
        <v>40</v>
      </c>
      <c r="D44" s="15" t="n">
        <f aca="false">COUNTIFS(d_zone,$A44,d_band,$B44,d_assigned,FALSE())</f>
        <v>1</v>
      </c>
      <c r="E44" s="16" t="n">
        <f aca="false">IFERROR(D44/C44,0)</f>
        <v>0.025</v>
      </c>
      <c r="F44" s="36" t="str">
        <f aca="false">IF(C44&lt;$B$8,"LOW VOLUME",IF(E44&gt;=$B$5,"CRITICAL",IF(E44&gt;=$B$4,"WARNING","OK")))</f>
        <v>OK</v>
      </c>
    </row>
    <row r="45" customFormat="false" ht="15" hidden="false" customHeight="false" outlineLevel="0" collapsed="false">
      <c r="A45" s="14" t="s">
        <v>47</v>
      </c>
      <c r="B45" s="14" t="s">
        <v>60</v>
      </c>
      <c r="C45" s="15" t="n">
        <f aca="false">COUNTIFS(d_zone,$A45,d_band,$B45)</f>
        <v>57</v>
      </c>
      <c r="D45" s="15" t="n">
        <f aca="false">COUNTIFS(d_zone,$A45,d_band,$B45,d_assigned,FALSE())</f>
        <v>8</v>
      </c>
      <c r="E45" s="16" t="n">
        <f aca="false">IFERROR(D45/C45,0)</f>
        <v>0.140350877192982</v>
      </c>
      <c r="F45" s="36" t="str">
        <f aca="false">IF(C45&lt;$B$8,"LOW VOLUME",IF(E45&gt;=$B$5,"CRITICAL",IF(E45&gt;=$B$4,"WARNING","OK")))</f>
        <v>WARNING</v>
      </c>
    </row>
    <row r="46" customFormat="false" ht="15" hidden="false" customHeight="false" outlineLevel="0" collapsed="false">
      <c r="A46" s="14" t="s">
        <v>47</v>
      </c>
      <c r="B46" s="14" t="s">
        <v>61</v>
      </c>
      <c r="C46" s="15" t="n">
        <f aca="false">COUNTIFS(d_zone,$A46,d_band,$B46)</f>
        <v>38</v>
      </c>
      <c r="D46" s="15" t="n">
        <f aca="false">COUNTIFS(d_zone,$A46,d_band,$B46,d_assigned,FALSE())</f>
        <v>0</v>
      </c>
      <c r="E46" s="16" t="n">
        <f aca="false">IFERROR(D46/C46,0)</f>
        <v>0</v>
      </c>
      <c r="F46" s="36" t="str">
        <f aca="false">IF(C46&lt;$B$8,"LOW VOLUME",IF(E46&gt;=$B$5,"CRITICAL",IF(E46&gt;=$B$4,"WARNING","OK")))</f>
        <v>OK</v>
      </c>
    </row>
    <row r="47" customFormat="false" ht="15" hidden="false" customHeight="false" outlineLevel="0" collapsed="false">
      <c r="A47" s="14" t="s">
        <v>48</v>
      </c>
      <c r="B47" s="14" t="s">
        <v>57</v>
      </c>
      <c r="C47" s="15" t="n">
        <f aca="false">COUNTIFS(d_zone,$A47,d_band,$B47)</f>
        <v>91</v>
      </c>
      <c r="D47" s="15" t="n">
        <f aca="false">COUNTIFS(d_zone,$A47,d_band,$B47,d_assigned,FALSE())</f>
        <v>6</v>
      </c>
      <c r="E47" s="16" t="n">
        <f aca="false">IFERROR(D47/C47,0)</f>
        <v>0.0659340659340659</v>
      </c>
      <c r="F47" s="36" t="str">
        <f aca="false">IF(C47&lt;$B$8,"LOW VOLUME",IF(E47&gt;=$B$5,"CRITICAL",IF(E47&gt;=$B$4,"WARNING","OK")))</f>
        <v>OK</v>
      </c>
    </row>
    <row r="48" customFormat="false" ht="15" hidden="false" customHeight="false" outlineLevel="0" collapsed="false">
      <c r="A48" s="14" t="s">
        <v>48</v>
      </c>
      <c r="B48" s="14" t="s">
        <v>58</v>
      </c>
      <c r="C48" s="15" t="n">
        <f aca="false">COUNTIFS(d_zone,$A48,d_band,$B48)</f>
        <v>12</v>
      </c>
      <c r="D48" s="15" t="n">
        <f aca="false">COUNTIFS(d_zone,$A48,d_band,$B48,d_assigned,FALSE())</f>
        <v>1</v>
      </c>
      <c r="E48" s="16" t="n">
        <f aca="false">IFERROR(D48/C48,0)</f>
        <v>0.0833333333333333</v>
      </c>
      <c r="F48" s="36" t="str">
        <f aca="false">IF(C48&lt;$B$8,"LOW VOLUME",IF(E48&gt;=$B$5,"CRITICAL",IF(E48&gt;=$B$4,"WARNING","OK")))</f>
        <v>LOW VOLUME</v>
      </c>
    </row>
    <row r="49" customFormat="false" ht="15" hidden="false" customHeight="false" outlineLevel="0" collapsed="false">
      <c r="A49" s="14" t="s">
        <v>48</v>
      </c>
      <c r="B49" s="14" t="s">
        <v>59</v>
      </c>
      <c r="C49" s="15" t="n">
        <f aca="false">COUNTIFS(d_zone,$A49,d_band,$B49)</f>
        <v>40</v>
      </c>
      <c r="D49" s="15" t="n">
        <f aca="false">COUNTIFS(d_zone,$A49,d_band,$B49,d_assigned,FALSE())</f>
        <v>1</v>
      </c>
      <c r="E49" s="16" t="n">
        <f aca="false">IFERROR(D49/C49,0)</f>
        <v>0.025</v>
      </c>
      <c r="F49" s="36" t="str">
        <f aca="false">IF(C49&lt;$B$8,"LOW VOLUME",IF(E49&gt;=$B$5,"CRITICAL",IF(E49&gt;=$B$4,"WARNING","OK")))</f>
        <v>OK</v>
      </c>
    </row>
    <row r="50" customFormat="false" ht="15" hidden="false" customHeight="false" outlineLevel="0" collapsed="false">
      <c r="A50" s="14" t="s">
        <v>48</v>
      </c>
      <c r="B50" s="14" t="s">
        <v>60</v>
      </c>
      <c r="C50" s="15" t="n">
        <f aca="false">COUNTIFS(d_zone,$A50,d_band,$B50)</f>
        <v>47</v>
      </c>
      <c r="D50" s="15" t="n">
        <f aca="false">COUNTIFS(d_zone,$A50,d_band,$B50,d_assigned,FALSE())</f>
        <v>1</v>
      </c>
      <c r="E50" s="16" t="n">
        <f aca="false">IFERROR(D50/C50,0)</f>
        <v>0.0212765957446809</v>
      </c>
      <c r="F50" s="36" t="str">
        <f aca="false">IF(C50&lt;$B$8,"LOW VOLUME",IF(E50&gt;=$B$5,"CRITICAL",IF(E50&gt;=$B$4,"WARNING","OK")))</f>
        <v>OK</v>
      </c>
    </row>
    <row r="51" customFormat="false" ht="15" hidden="false" customHeight="false" outlineLevel="0" collapsed="false">
      <c r="A51" s="14" t="s">
        <v>48</v>
      </c>
      <c r="B51" s="14" t="s">
        <v>61</v>
      </c>
      <c r="C51" s="15" t="n">
        <f aca="false">COUNTIFS(d_zone,$A51,d_band,$B51)</f>
        <v>41</v>
      </c>
      <c r="D51" s="15" t="n">
        <f aca="false">COUNTIFS(d_zone,$A51,d_band,$B51,d_assigned,FALSE())</f>
        <v>2</v>
      </c>
      <c r="E51" s="16" t="n">
        <f aca="false">IFERROR(D51/C51,0)</f>
        <v>0.0487804878048781</v>
      </c>
      <c r="F51" s="36" t="str">
        <f aca="false">IF(C51&lt;$B$8,"LOW VOLUME",IF(E51&gt;=$B$5,"CRITICAL",IF(E51&gt;=$B$4,"WARNING","OK")))</f>
        <v>OK</v>
      </c>
    </row>
    <row r="52" customFormat="false" ht="15" hidden="false" customHeight="false" outlineLevel="0" collapsed="false">
      <c r="A52" s="14" t="s">
        <v>49</v>
      </c>
      <c r="B52" s="14" t="s">
        <v>57</v>
      </c>
      <c r="C52" s="15" t="n">
        <f aca="false">COUNTIFS(d_zone,$A52,d_band,$B52)</f>
        <v>102</v>
      </c>
      <c r="D52" s="15" t="n">
        <f aca="false">COUNTIFS(d_zone,$A52,d_band,$B52,d_assigned,FALSE())</f>
        <v>3</v>
      </c>
      <c r="E52" s="16" t="n">
        <f aca="false">IFERROR(D52/C52,0)</f>
        <v>0.0294117647058824</v>
      </c>
      <c r="F52" s="36" t="str">
        <f aca="false">IF(C52&lt;$B$8,"LOW VOLUME",IF(E52&gt;=$B$5,"CRITICAL",IF(E52&gt;=$B$4,"WARNING","OK")))</f>
        <v>OK</v>
      </c>
    </row>
    <row r="53" customFormat="false" ht="15" hidden="false" customHeight="false" outlineLevel="0" collapsed="false">
      <c r="A53" s="14" t="s">
        <v>49</v>
      </c>
      <c r="B53" s="14" t="s">
        <v>58</v>
      </c>
      <c r="C53" s="15" t="n">
        <f aca="false">COUNTIFS(d_zone,$A53,d_band,$B53)</f>
        <v>27</v>
      </c>
      <c r="D53" s="15" t="n">
        <f aca="false">COUNTIFS(d_zone,$A53,d_band,$B53,d_assigned,FALSE())</f>
        <v>1</v>
      </c>
      <c r="E53" s="16" t="n">
        <f aca="false">IFERROR(D53/C53,0)</f>
        <v>0.037037037037037</v>
      </c>
      <c r="F53" s="36" t="str">
        <f aca="false">IF(C53&lt;$B$8,"LOW VOLUME",IF(E53&gt;=$B$5,"CRITICAL",IF(E53&gt;=$B$4,"WARNING","OK")))</f>
        <v>OK</v>
      </c>
    </row>
    <row r="54" customFormat="false" ht="15" hidden="false" customHeight="false" outlineLevel="0" collapsed="false">
      <c r="A54" s="14" t="s">
        <v>49</v>
      </c>
      <c r="B54" s="14" t="s">
        <v>59</v>
      </c>
      <c r="C54" s="15" t="n">
        <f aca="false">COUNTIFS(d_zone,$A54,d_band,$B54)</f>
        <v>37</v>
      </c>
      <c r="D54" s="15" t="n">
        <f aca="false">COUNTIFS(d_zone,$A54,d_band,$B54,d_assigned,FALSE())</f>
        <v>2</v>
      </c>
      <c r="E54" s="16" t="n">
        <f aca="false">IFERROR(D54/C54,0)</f>
        <v>0.0540540540540541</v>
      </c>
      <c r="F54" s="36" t="str">
        <f aca="false">IF(C54&lt;$B$8,"LOW VOLUME",IF(E54&gt;=$B$5,"CRITICAL",IF(E54&gt;=$B$4,"WARNING","OK")))</f>
        <v>OK</v>
      </c>
    </row>
    <row r="55" customFormat="false" ht="15" hidden="false" customHeight="false" outlineLevel="0" collapsed="false">
      <c r="A55" s="14" t="s">
        <v>49</v>
      </c>
      <c r="B55" s="14" t="s">
        <v>60</v>
      </c>
      <c r="C55" s="15" t="n">
        <f aca="false">COUNTIFS(d_zone,$A55,d_band,$B55)</f>
        <v>60</v>
      </c>
      <c r="D55" s="15" t="n">
        <f aca="false">COUNTIFS(d_zone,$A55,d_band,$B55,d_assigned,FALSE())</f>
        <v>5</v>
      </c>
      <c r="E55" s="16" t="n">
        <f aca="false">IFERROR(D55/C55,0)</f>
        <v>0.0833333333333333</v>
      </c>
      <c r="F55" s="36" t="str">
        <f aca="false">IF(C55&lt;$B$8,"LOW VOLUME",IF(E55&gt;=$B$5,"CRITICAL",IF(E55&gt;=$B$4,"WARNING","OK")))</f>
        <v>OK</v>
      </c>
    </row>
    <row r="56" customFormat="false" ht="15" hidden="false" customHeight="false" outlineLevel="0" collapsed="false">
      <c r="A56" s="14" t="s">
        <v>49</v>
      </c>
      <c r="B56" s="14" t="s">
        <v>61</v>
      </c>
      <c r="C56" s="15" t="n">
        <f aca="false">COUNTIFS(d_zone,$A56,d_band,$B56)</f>
        <v>34</v>
      </c>
      <c r="D56" s="15" t="n">
        <f aca="false">COUNTIFS(d_zone,$A56,d_band,$B56,d_assigned,FALSE())</f>
        <v>3</v>
      </c>
      <c r="E56" s="16" t="n">
        <f aca="false">IFERROR(D56/C56,0)</f>
        <v>0.0882352941176471</v>
      </c>
      <c r="F56" s="36" t="str">
        <f aca="false">IF(C56&lt;$B$8,"LOW VOLUME",IF(E56&gt;=$B$5,"CRITICAL",IF(E56&gt;=$B$4,"WARNING","OK")))</f>
        <v>OK</v>
      </c>
    </row>
    <row r="59" customFormat="false" ht="15" hidden="false" customHeight="false" outlineLevel="0" collapsed="false">
      <c r="A59" s="24" t="s">
        <v>89</v>
      </c>
    </row>
    <row r="60" customFormat="false" ht="31.5" hidden="false" customHeight="true" outlineLevel="0" collapsed="false">
      <c r="A60" s="13" t="s">
        <v>45</v>
      </c>
      <c r="B60" s="13" t="s">
        <v>21</v>
      </c>
      <c r="C60" s="13" t="s">
        <v>29</v>
      </c>
      <c r="D60" s="13" t="s">
        <v>90</v>
      </c>
      <c r="E60" s="13" t="s">
        <v>91</v>
      </c>
      <c r="F60" s="13" t="s">
        <v>92</v>
      </c>
    </row>
    <row r="61" customFormat="false" ht="15" hidden="false" customHeight="false" outlineLevel="0" collapsed="false">
      <c r="A61" s="14" t="s">
        <v>46</v>
      </c>
      <c r="B61" s="15" t="n">
        <f aca="false">COUNTIFS(d_zone,$A61)</f>
        <v>259</v>
      </c>
      <c r="C61" s="16" t="n">
        <f aca="false">IFERROR(COUNTIFS(d_zone,$A61,d_assigned,FALSE())/B61,0)</f>
        <v>0.162162162162162</v>
      </c>
      <c r="D61" s="36" t="str">
        <f aca="false">IF(B61&lt;$B$8,"LOW VOLUME",IF(C61&gt;=$B$5,"CRITICAL",IF(C61&gt;=$B$4,"WARNING","OK")))</f>
        <v>CRITICAL</v>
      </c>
      <c r="E61" s="16" t="n">
        <f aca="false">IFERROR(SUMIFS(d_sla,d_zone,$A61)/COUNTIFS(d_zone,$A61,d_status,"Completed"),0)</f>
        <v>0.0930232558139535</v>
      </c>
      <c r="F61" s="36" t="str">
        <f aca="false">IF(B61&lt;$B$8,"LOW VOLUME",IF(E61&gt;=$B$7,"CRITICAL",IF(E61&gt;=$B$6,"WARNING","OK")))</f>
        <v>CRITICAL</v>
      </c>
    </row>
    <row r="62" customFormat="false" ht="15" hidden="false" customHeight="false" outlineLevel="0" collapsed="false">
      <c r="A62" s="14" t="s">
        <v>47</v>
      </c>
      <c r="B62" s="15" t="n">
        <f aca="false">COUNTIFS(d_zone,$A62)</f>
        <v>250</v>
      </c>
      <c r="C62" s="16" t="n">
        <f aca="false">IFERROR(COUNTIFS(d_zone,$A62,d_assigned,FALSE())/B62,0)</f>
        <v>0.064</v>
      </c>
      <c r="D62" s="36" t="str">
        <f aca="false">IF(B62&lt;$B$8,"LOW VOLUME",IF(C62&gt;=$B$5,"CRITICAL",IF(C62&gt;=$B$4,"WARNING","OK")))</f>
        <v>OK</v>
      </c>
      <c r="E62" s="16" t="n">
        <f aca="false">IFERROR(SUMIFS(d_sla,d_zone,$A62)/COUNTIFS(d_zone,$A62,d_status,"Completed"),0)</f>
        <v>0</v>
      </c>
      <c r="F62" s="36" t="str">
        <f aca="false">IF(B62&lt;$B$8,"LOW VOLUME",IF(E62&gt;=$B$7,"CRITICAL",IF(E62&gt;=$B$6,"WARNING","OK")))</f>
        <v>OK</v>
      </c>
    </row>
    <row r="63" customFormat="false" ht="15" hidden="false" customHeight="false" outlineLevel="0" collapsed="false">
      <c r="A63" s="14" t="s">
        <v>48</v>
      </c>
      <c r="B63" s="15" t="n">
        <f aca="false">COUNTIFS(d_zone,$A63)</f>
        <v>231</v>
      </c>
      <c r="C63" s="16" t="n">
        <f aca="false">IFERROR(COUNTIFS(d_zone,$A63,d_assigned,FALSE())/B63,0)</f>
        <v>0.0476190476190476</v>
      </c>
      <c r="D63" s="36" t="str">
        <f aca="false">IF(B63&lt;$B$8,"LOW VOLUME",IF(C63&gt;=$B$5,"CRITICAL",IF(C63&gt;=$B$4,"WARNING","OK")))</f>
        <v>OK</v>
      </c>
      <c r="E63" s="16" t="n">
        <f aca="false">IFERROR(SUMIFS(d_sla,d_zone,$A63)/COUNTIFS(d_zone,$A63,d_status,"Completed"),0)</f>
        <v>0</v>
      </c>
      <c r="F63" s="36" t="str">
        <f aca="false">IF(B63&lt;$B$8,"LOW VOLUME",IF(E63&gt;=$B$7,"CRITICAL",IF(E63&gt;=$B$6,"WARNING","OK")))</f>
        <v>OK</v>
      </c>
    </row>
    <row r="64" customFormat="false" ht="15" hidden="false" customHeight="false" outlineLevel="0" collapsed="false">
      <c r="A64" s="14" t="s">
        <v>49</v>
      </c>
      <c r="B64" s="15" t="n">
        <f aca="false">COUNTIFS(d_zone,$A64)</f>
        <v>260</v>
      </c>
      <c r="C64" s="16" t="n">
        <f aca="false">IFERROR(COUNTIFS(d_zone,$A64,d_assigned,FALSE())/B64,0)</f>
        <v>0.0538461538461539</v>
      </c>
      <c r="D64" s="36" t="str">
        <f aca="false">IF(B64&lt;$B$8,"LOW VOLUME",IF(C64&gt;=$B$5,"CRITICAL",IF(C64&gt;=$B$4,"WARNING","OK")))</f>
        <v>OK</v>
      </c>
      <c r="E64" s="16" t="n">
        <f aca="false">IFERROR(SUMIFS(d_sla,d_zone,$A64)/COUNTIFS(d_zone,$A64,d_status,"Completed"),0)</f>
        <v>0</v>
      </c>
      <c r="F64" s="36" t="str">
        <f aca="false">IF(B64&lt;$B$8,"LOW VOLUME",IF(E64&gt;=$B$7,"CRITICAL",IF(E64&gt;=$B$6,"WARNING","OK")))</f>
        <v>OK</v>
      </c>
    </row>
  </sheetData>
  <conditionalFormatting sqref="F13:F32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"WARNING"</formula>
    </cfRule>
    <cfRule type="cellIs" priority="4" operator="equal" aboveAverage="0" equalAverage="0" bottom="0" percent="0" rank="0" text="" dxfId="2">
      <formula>"OK"</formula>
    </cfRule>
    <cfRule type="cellIs" priority="5" operator="equal" aboveAverage="0" equalAverage="0" bottom="0" percent="0" rank="0" text="" dxfId="3">
      <formula>"LOW VOLUME"</formula>
    </cfRule>
  </conditionalFormatting>
  <conditionalFormatting sqref="F37:F56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"WARNING"</formula>
    </cfRule>
    <cfRule type="cellIs" priority="8" operator="equal" aboveAverage="0" equalAverage="0" bottom="0" percent="0" rank="0" text="" dxfId="2">
      <formula>"OK"</formula>
    </cfRule>
    <cfRule type="cellIs" priority="9" operator="equal" aboveAverage="0" equalAverage="0" bottom="0" percent="0" rank="0" text="" dxfId="3">
      <formula>"LOW VOLUME"</formula>
    </cfRule>
  </conditionalFormatting>
  <conditionalFormatting sqref="D61:D64">
    <cfRule type="cellIs" priority="10" operator="equal" aboveAverage="0" equalAverage="0" bottom="0" percent="0" rank="0" text="" dxfId="0">
      <formula>"CRITICAL"</formula>
    </cfRule>
    <cfRule type="cellIs" priority="11" operator="equal" aboveAverage="0" equalAverage="0" bottom="0" percent="0" rank="0" text="" dxfId="1">
      <formula>"WARNING"</formula>
    </cfRule>
    <cfRule type="cellIs" priority="12" operator="equal" aboveAverage="0" equalAverage="0" bottom="0" percent="0" rank="0" text="" dxfId="2">
      <formula>"OK"</formula>
    </cfRule>
    <cfRule type="cellIs" priority="13" operator="equal" aboveAverage="0" equalAverage="0" bottom="0" percent="0" rank="0" text="" dxfId="3">
      <formula>"LOW VOLUME"</formula>
    </cfRule>
  </conditionalFormatting>
  <conditionalFormatting sqref="F61:F64">
    <cfRule type="cellIs" priority="14" operator="equal" aboveAverage="0" equalAverage="0" bottom="0" percent="0" rank="0" text="" dxfId="0">
      <formula>"CRITICAL"</formula>
    </cfRule>
    <cfRule type="cellIs" priority="15" operator="equal" aboveAverage="0" equalAverage="0" bottom="0" percent="0" rank="0" text="" dxfId="1">
      <formula>"WARNING"</formula>
    </cfRule>
    <cfRule type="cellIs" priority="16" operator="equal" aboveAverage="0" equalAverage="0" bottom="0" percent="0" rank="0" text="" dxfId="2">
      <formula>"OK"</formula>
    </cfRule>
    <cfRule type="cellIs" priority="17" operator="equal" aboveAverage="0" equalAverage="0" bottom="0" percent="0" rank="0" text="" dxfId="3">
      <formula>"LOW VOLUME"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8"/>
  </cols>
  <sheetData>
    <row r="1" customFormat="false" ht="21.75" hidden="false" customHeight="true" outlineLevel="0" collapsed="false">
      <c r="A1" s="13" t="s">
        <v>93</v>
      </c>
      <c r="B1" s="13" t="s">
        <v>94</v>
      </c>
      <c r="C1" s="13" t="s">
        <v>95</v>
      </c>
      <c r="D1" s="13" t="s">
        <v>96</v>
      </c>
      <c r="E1" s="13" t="s">
        <v>97</v>
      </c>
      <c r="F1" s="13" t="s">
        <v>98</v>
      </c>
      <c r="G1" s="13" t="s">
        <v>99</v>
      </c>
      <c r="H1" s="13" t="s">
        <v>100</v>
      </c>
      <c r="I1" s="13" t="s">
        <v>101</v>
      </c>
      <c r="J1" s="13" t="s">
        <v>102</v>
      </c>
      <c r="K1" s="13" t="s">
        <v>103</v>
      </c>
      <c r="L1" s="13" t="s">
        <v>104</v>
      </c>
    </row>
    <row r="2" customFormat="false" ht="15" hidden="false" customHeight="false" outlineLevel="0" collapsed="false">
      <c r="A2" s="37" t="s">
        <v>105</v>
      </c>
      <c r="B2" s="38" t="n">
        <v>46320</v>
      </c>
      <c r="C2" s="37" t="n">
        <v>15</v>
      </c>
      <c r="D2" s="37" t="s">
        <v>37</v>
      </c>
      <c r="E2" s="37" t="s">
        <v>48</v>
      </c>
      <c r="F2" s="37" t="s">
        <v>23</v>
      </c>
      <c r="G2" s="39" t="b">
        <f aca="false">TRUE()</f>
        <v>1</v>
      </c>
      <c r="H2" s="37" t="n">
        <v>468.77</v>
      </c>
      <c r="I2" s="37" t="n">
        <v>3</v>
      </c>
      <c r="J2" s="37" t="n">
        <v>54</v>
      </c>
      <c r="K2" s="37" t="n">
        <v>0</v>
      </c>
      <c r="L2" s="37" t="str">
        <f aca="false">IF(C2="","",IF(C2&lt;=5,"Night (00-05)",IF(C2&lt;=11,"Morning (06-11)",IF(C2&lt;=16,"Afternoon (12-16)",IF(C2&lt;=20,"Evening (17-20)","Late (21-23)")))))</f>
        <v>Afternoon (12-16)</v>
      </c>
    </row>
    <row r="3" customFormat="false" ht="15" hidden="false" customHeight="false" outlineLevel="0" collapsed="false">
      <c r="A3" s="37" t="s">
        <v>106</v>
      </c>
      <c r="B3" s="38" t="n">
        <v>46318</v>
      </c>
      <c r="C3" s="37" t="n">
        <v>11</v>
      </c>
      <c r="D3" s="37" t="s">
        <v>37</v>
      </c>
      <c r="E3" s="37" t="s">
        <v>47</v>
      </c>
      <c r="F3" s="37" t="s">
        <v>23</v>
      </c>
      <c r="G3" s="39" t="b">
        <f aca="false">TRUE()</f>
        <v>1</v>
      </c>
      <c r="H3" s="37" t="n">
        <v>679.62</v>
      </c>
      <c r="I3" s="37" t="n">
        <v>4</v>
      </c>
      <c r="J3" s="37" t="n">
        <v>54</v>
      </c>
      <c r="K3" s="37" t="n">
        <v>0</v>
      </c>
      <c r="L3" s="37" t="str">
        <f aca="false">IF(C3="","",IF(C3&lt;=5,"Night (00-05)",IF(C3&lt;=11,"Morning (06-11)",IF(C3&lt;=16,"Afternoon (12-16)",IF(C3&lt;=20,"Evening (17-20)","Late (21-23)")))))</f>
        <v>Morning (06-11)</v>
      </c>
    </row>
    <row r="4" customFormat="false" ht="15" hidden="false" customHeight="false" outlineLevel="0" collapsed="false">
      <c r="A4" s="37" t="s">
        <v>107</v>
      </c>
      <c r="B4" s="38" t="n">
        <v>46318</v>
      </c>
      <c r="C4" s="37" t="n">
        <v>23</v>
      </c>
      <c r="D4" s="37" t="s">
        <v>38</v>
      </c>
      <c r="E4" s="37" t="s">
        <v>48</v>
      </c>
      <c r="F4" s="37" t="s">
        <v>23</v>
      </c>
      <c r="G4" s="39" t="b">
        <f aca="false">TRUE()</f>
        <v>1</v>
      </c>
      <c r="H4" s="37" t="n">
        <v>1287.7</v>
      </c>
      <c r="I4" s="37" t="n">
        <v>4</v>
      </c>
      <c r="J4" s="37" t="n">
        <v>29</v>
      </c>
      <c r="K4" s="37" t="n">
        <v>0</v>
      </c>
      <c r="L4" s="37" t="str">
        <f aca="false">IF(C4="","",IF(C4&lt;=5,"Night (00-05)",IF(C4&lt;=11,"Morning (06-11)",IF(C4&lt;=16,"Afternoon (12-16)",IF(C4&lt;=20,"Evening (17-20)","Late (21-23)")))))</f>
        <v>Late (21-23)</v>
      </c>
    </row>
    <row r="5" customFormat="false" ht="15" hidden="false" customHeight="false" outlineLevel="0" collapsed="false">
      <c r="A5" s="37" t="s">
        <v>108</v>
      </c>
      <c r="B5" s="38" t="n">
        <v>46321</v>
      </c>
      <c r="C5" s="37" t="n">
        <v>18</v>
      </c>
      <c r="D5" s="37" t="s">
        <v>38</v>
      </c>
      <c r="E5" s="37" t="s">
        <v>46</v>
      </c>
      <c r="F5" s="37" t="s">
        <v>23</v>
      </c>
      <c r="G5" s="39" t="b">
        <f aca="false">TRUE()</f>
        <v>1</v>
      </c>
      <c r="H5" s="37" t="n">
        <v>1392.25</v>
      </c>
      <c r="I5" s="37" t="n">
        <v>5</v>
      </c>
      <c r="J5" s="37" t="n">
        <v>22</v>
      </c>
      <c r="K5" s="37" t="n">
        <v>0</v>
      </c>
      <c r="L5" s="37" t="str">
        <f aca="false">IF(C5="","",IF(C5&lt;=5,"Night (00-05)",IF(C5&lt;=11,"Morning (06-11)",IF(C5&lt;=16,"Afternoon (12-16)",IF(C5&lt;=20,"Evening (17-20)","Late (21-23)")))))</f>
        <v>Evening (17-20)</v>
      </c>
    </row>
    <row r="6" customFormat="false" ht="15" hidden="false" customHeight="false" outlineLevel="0" collapsed="false">
      <c r="A6" s="37" t="s">
        <v>109</v>
      </c>
      <c r="B6" s="38" t="n">
        <v>46319</v>
      </c>
      <c r="C6" s="37" t="n">
        <v>15</v>
      </c>
      <c r="D6" s="37" t="s">
        <v>38</v>
      </c>
      <c r="E6" s="37" t="s">
        <v>46</v>
      </c>
      <c r="F6" s="37" t="s">
        <v>23</v>
      </c>
      <c r="G6" s="39" t="b">
        <f aca="false">TRUE()</f>
        <v>1</v>
      </c>
      <c r="H6" s="37" t="n">
        <v>1379.58</v>
      </c>
      <c r="I6" s="37" t="n">
        <v>5</v>
      </c>
      <c r="J6" s="37" t="n">
        <v>43</v>
      </c>
      <c r="K6" s="37" t="n">
        <v>0</v>
      </c>
      <c r="L6" s="37" t="str">
        <f aca="false">IF(C6="","",IF(C6&lt;=5,"Night (00-05)",IF(C6&lt;=11,"Morning (06-11)",IF(C6&lt;=16,"Afternoon (12-16)",IF(C6&lt;=20,"Evening (17-20)","Late (21-23)")))))</f>
        <v>Afternoon (12-16)</v>
      </c>
    </row>
    <row r="7" customFormat="false" ht="15" hidden="false" customHeight="false" outlineLevel="0" collapsed="false">
      <c r="A7" s="37" t="s">
        <v>110</v>
      </c>
      <c r="B7" s="38" t="n">
        <v>46320</v>
      </c>
      <c r="C7" s="37" t="n">
        <v>14</v>
      </c>
      <c r="D7" s="37" t="s">
        <v>40</v>
      </c>
      <c r="E7" s="37" t="s">
        <v>47</v>
      </c>
      <c r="F7" s="37" t="s">
        <v>23</v>
      </c>
      <c r="G7" s="39" t="b">
        <f aca="false">TRUE()</f>
        <v>1</v>
      </c>
      <c r="H7" s="37" t="n">
        <v>1183.25</v>
      </c>
      <c r="I7" s="37" t="n">
        <v>4</v>
      </c>
      <c r="J7" s="37" t="n">
        <v>44</v>
      </c>
      <c r="K7" s="37" t="n">
        <v>0</v>
      </c>
      <c r="L7" s="37" t="str">
        <f aca="false">IF(C7="","",IF(C7&lt;=5,"Night (00-05)",IF(C7&lt;=11,"Morning (06-11)",IF(C7&lt;=16,"Afternoon (12-16)",IF(C7&lt;=20,"Evening (17-20)","Late (21-23)")))))</f>
        <v>Afternoon (12-16)</v>
      </c>
    </row>
    <row r="8" customFormat="false" ht="15" hidden="false" customHeight="false" outlineLevel="0" collapsed="false">
      <c r="A8" s="37" t="s">
        <v>111</v>
      </c>
      <c r="B8" s="38" t="n">
        <v>46321</v>
      </c>
      <c r="C8" s="37" t="n">
        <v>2</v>
      </c>
      <c r="D8" s="37" t="s">
        <v>40</v>
      </c>
      <c r="E8" s="37" t="s">
        <v>48</v>
      </c>
      <c r="F8" s="37" t="s">
        <v>23</v>
      </c>
      <c r="G8" s="39" t="b">
        <f aca="false">TRUE()</f>
        <v>1</v>
      </c>
      <c r="H8" s="37" t="n">
        <v>1035.14</v>
      </c>
      <c r="I8" s="37" t="n">
        <v>5</v>
      </c>
      <c r="J8" s="37" t="n">
        <v>24</v>
      </c>
      <c r="K8" s="37" t="n">
        <v>0</v>
      </c>
      <c r="L8" s="37" t="str">
        <f aca="false">IF(C8="","",IF(C8&lt;=5,"Night (00-05)",IF(C8&lt;=11,"Morning (06-11)",IF(C8&lt;=16,"Afternoon (12-16)",IF(C8&lt;=20,"Evening (17-20)","Late (21-23)")))))</f>
        <v>Night (00-05)</v>
      </c>
    </row>
    <row r="9" customFormat="false" ht="15" hidden="false" customHeight="false" outlineLevel="0" collapsed="false">
      <c r="A9" s="37" t="s">
        <v>112</v>
      </c>
      <c r="B9" s="38" t="n">
        <v>46316</v>
      </c>
      <c r="C9" s="37" t="n">
        <v>22</v>
      </c>
      <c r="D9" s="37" t="s">
        <v>39</v>
      </c>
      <c r="E9" s="37" t="s">
        <v>49</v>
      </c>
      <c r="F9" s="37" t="s">
        <v>113</v>
      </c>
      <c r="G9" s="39" t="b">
        <f aca="false">TRUE()</f>
        <v>1</v>
      </c>
      <c r="H9" s="37" t="n">
        <v>406.98</v>
      </c>
      <c r="K9" s="37" t="n">
        <v>0</v>
      </c>
      <c r="L9" s="37" t="str">
        <f aca="false">IF(C9="","",IF(C9&lt;=5,"Night (00-05)",IF(C9&lt;=11,"Morning (06-11)",IF(C9&lt;=16,"Afternoon (12-16)",IF(C9&lt;=20,"Evening (17-20)","Late (21-23)")))))</f>
        <v>Late (21-23)</v>
      </c>
    </row>
    <row r="10" customFormat="false" ht="15" hidden="false" customHeight="false" outlineLevel="0" collapsed="false">
      <c r="A10" s="37" t="s">
        <v>114</v>
      </c>
      <c r="B10" s="38" t="n">
        <v>46320</v>
      </c>
      <c r="C10" s="37" t="n">
        <v>23</v>
      </c>
      <c r="D10" s="37" t="s">
        <v>38</v>
      </c>
      <c r="E10" s="37" t="s">
        <v>48</v>
      </c>
      <c r="F10" s="37" t="s">
        <v>23</v>
      </c>
      <c r="G10" s="39" t="b">
        <f aca="false">TRUE()</f>
        <v>1</v>
      </c>
      <c r="H10" s="37" t="n">
        <v>1374.26</v>
      </c>
      <c r="I10" s="37" t="n">
        <v>4</v>
      </c>
      <c r="J10" s="37" t="n">
        <v>45</v>
      </c>
      <c r="K10" s="37" t="n">
        <v>0</v>
      </c>
      <c r="L10" s="37" t="str">
        <f aca="false">IF(C10="","",IF(C10&lt;=5,"Night (00-05)",IF(C10&lt;=11,"Morning (06-11)",IF(C10&lt;=16,"Afternoon (12-16)",IF(C10&lt;=20,"Evening (17-20)","Late (21-23)")))))</f>
        <v>Late (21-23)</v>
      </c>
    </row>
    <row r="11" customFormat="false" ht="15" hidden="false" customHeight="false" outlineLevel="0" collapsed="false">
      <c r="A11" s="37" t="s">
        <v>115</v>
      </c>
      <c r="B11" s="38" t="n">
        <v>46317</v>
      </c>
      <c r="C11" s="37" t="n">
        <v>4</v>
      </c>
      <c r="D11" s="37" t="s">
        <v>40</v>
      </c>
      <c r="E11" s="37" t="s">
        <v>48</v>
      </c>
      <c r="F11" s="37" t="s">
        <v>23</v>
      </c>
      <c r="G11" s="39" t="b">
        <f aca="false">TRUE()</f>
        <v>1</v>
      </c>
      <c r="H11" s="37" t="n">
        <v>1023.35</v>
      </c>
      <c r="I11" s="37" t="n">
        <v>3</v>
      </c>
      <c r="J11" s="37" t="n">
        <v>49</v>
      </c>
      <c r="K11" s="37" t="n">
        <v>0</v>
      </c>
      <c r="L11" s="37" t="str">
        <f aca="false">IF(C11="","",IF(C11&lt;=5,"Night (00-05)",IF(C11&lt;=11,"Morning (06-11)",IF(C11&lt;=16,"Afternoon (12-16)",IF(C11&lt;=20,"Evening (17-20)","Late (21-23)")))))</f>
        <v>Night (00-05)</v>
      </c>
    </row>
    <row r="12" customFormat="false" ht="15" hidden="false" customHeight="false" outlineLevel="0" collapsed="false">
      <c r="A12" s="37" t="s">
        <v>116</v>
      </c>
      <c r="B12" s="38" t="n">
        <v>46316</v>
      </c>
      <c r="C12" s="37" t="n">
        <v>17</v>
      </c>
      <c r="D12" s="37" t="s">
        <v>40</v>
      </c>
      <c r="E12" s="37" t="s">
        <v>49</v>
      </c>
      <c r="F12" s="37" t="s">
        <v>23</v>
      </c>
      <c r="G12" s="39" t="b">
        <f aca="false">TRUE()</f>
        <v>1</v>
      </c>
      <c r="H12" s="37" t="n">
        <v>1217.26</v>
      </c>
      <c r="I12" s="37" t="n">
        <v>5</v>
      </c>
      <c r="J12" s="37" t="n">
        <v>34</v>
      </c>
      <c r="K12" s="37" t="n">
        <v>0</v>
      </c>
      <c r="L12" s="37" t="str">
        <f aca="false">IF(C12="","",IF(C12&lt;=5,"Night (00-05)",IF(C12&lt;=11,"Morning (06-11)",IF(C12&lt;=16,"Afternoon (12-16)",IF(C12&lt;=20,"Evening (17-20)","Late (21-23)")))))</f>
        <v>Evening (17-20)</v>
      </c>
    </row>
    <row r="13" customFormat="false" ht="15" hidden="false" customHeight="false" outlineLevel="0" collapsed="false">
      <c r="A13" s="37" t="s">
        <v>117</v>
      </c>
      <c r="B13" s="38" t="n">
        <v>46316</v>
      </c>
      <c r="C13" s="37" t="n">
        <v>22</v>
      </c>
      <c r="D13" s="37" t="s">
        <v>38</v>
      </c>
      <c r="E13" s="37" t="s">
        <v>47</v>
      </c>
      <c r="F13" s="37" t="s">
        <v>23</v>
      </c>
      <c r="G13" s="39" t="b">
        <f aca="false">TRUE()</f>
        <v>1</v>
      </c>
      <c r="H13" s="37" t="n">
        <v>905.99</v>
      </c>
      <c r="I13" s="37" t="n">
        <v>5</v>
      </c>
      <c r="J13" s="37" t="n">
        <v>47</v>
      </c>
      <c r="K13" s="37" t="n">
        <v>0</v>
      </c>
      <c r="L13" s="37" t="str">
        <f aca="false">IF(C13="","",IF(C13&lt;=5,"Night (00-05)",IF(C13&lt;=11,"Morning (06-11)",IF(C13&lt;=16,"Afternoon (12-16)",IF(C13&lt;=20,"Evening (17-20)","Late (21-23)")))))</f>
        <v>Late (21-23)</v>
      </c>
    </row>
    <row r="14" customFormat="false" ht="15" hidden="false" customHeight="false" outlineLevel="0" collapsed="false">
      <c r="A14" s="37" t="s">
        <v>118</v>
      </c>
      <c r="B14" s="38" t="n">
        <v>46318</v>
      </c>
      <c r="C14" s="37" t="n">
        <v>19</v>
      </c>
      <c r="D14" s="37" t="s">
        <v>40</v>
      </c>
      <c r="E14" s="37" t="s">
        <v>47</v>
      </c>
      <c r="F14" s="37" t="s">
        <v>23</v>
      </c>
      <c r="G14" s="39" t="b">
        <f aca="false">TRUE()</f>
        <v>1</v>
      </c>
      <c r="H14" s="37" t="n">
        <v>1043.23</v>
      </c>
      <c r="I14" s="37" t="n">
        <v>5</v>
      </c>
      <c r="J14" s="37" t="n">
        <v>54</v>
      </c>
      <c r="K14" s="37" t="n">
        <v>0</v>
      </c>
      <c r="L14" s="37" t="str">
        <f aca="false">IF(C14="","",IF(C14&lt;=5,"Night (00-05)",IF(C14&lt;=11,"Morning (06-11)",IF(C14&lt;=16,"Afternoon (12-16)",IF(C14&lt;=20,"Evening (17-20)","Late (21-23)")))))</f>
        <v>Evening (17-20)</v>
      </c>
    </row>
    <row r="15" customFormat="false" ht="15" hidden="false" customHeight="false" outlineLevel="0" collapsed="false">
      <c r="A15" s="37" t="s">
        <v>119</v>
      </c>
      <c r="B15" s="38" t="n">
        <v>46322</v>
      </c>
      <c r="C15" s="37" t="n">
        <v>0</v>
      </c>
      <c r="D15" s="37" t="s">
        <v>39</v>
      </c>
      <c r="E15" s="37" t="s">
        <v>48</v>
      </c>
      <c r="F15" s="37" t="s">
        <v>113</v>
      </c>
      <c r="G15" s="39" t="b">
        <f aca="false">TRUE()</f>
        <v>1</v>
      </c>
      <c r="H15" s="37" t="n">
        <v>480.49</v>
      </c>
      <c r="K15" s="37" t="n">
        <v>0</v>
      </c>
      <c r="L15" s="37" t="str">
        <f aca="false">IF(C15="","",IF(C15&lt;=5,"Night (00-05)",IF(C15&lt;=11,"Morning (06-11)",IF(C15&lt;=16,"Afternoon (12-16)",IF(C15&lt;=20,"Evening (17-20)","Late (21-23)")))))</f>
        <v>Night (00-05)</v>
      </c>
    </row>
    <row r="16" customFormat="false" ht="15" hidden="false" customHeight="false" outlineLevel="0" collapsed="false">
      <c r="A16" s="37" t="s">
        <v>120</v>
      </c>
      <c r="B16" s="38" t="n">
        <v>46320</v>
      </c>
      <c r="C16" s="37" t="n">
        <v>17</v>
      </c>
      <c r="D16" s="37" t="s">
        <v>37</v>
      </c>
      <c r="E16" s="37" t="s">
        <v>47</v>
      </c>
      <c r="F16" s="37" t="s">
        <v>23</v>
      </c>
      <c r="G16" s="39" t="b">
        <f aca="false">TRUE()</f>
        <v>1</v>
      </c>
      <c r="H16" s="37" t="n">
        <v>834.26</v>
      </c>
      <c r="I16" s="37" t="n">
        <v>5</v>
      </c>
      <c r="J16" s="37" t="n">
        <v>52</v>
      </c>
      <c r="K16" s="37" t="n">
        <v>0</v>
      </c>
      <c r="L16" s="37" t="str">
        <f aca="false">IF(C16="","",IF(C16&lt;=5,"Night (00-05)",IF(C16&lt;=11,"Morning (06-11)",IF(C16&lt;=16,"Afternoon (12-16)",IF(C16&lt;=20,"Evening (17-20)","Late (21-23)")))))</f>
        <v>Evening (17-20)</v>
      </c>
    </row>
    <row r="17" customFormat="false" ht="15" hidden="false" customHeight="false" outlineLevel="0" collapsed="false">
      <c r="A17" s="37" t="s">
        <v>121</v>
      </c>
      <c r="B17" s="38" t="n">
        <v>46316</v>
      </c>
      <c r="C17" s="37" t="n">
        <v>19</v>
      </c>
      <c r="D17" s="37" t="s">
        <v>38</v>
      </c>
      <c r="E17" s="37" t="s">
        <v>46</v>
      </c>
      <c r="F17" s="37" t="s">
        <v>23</v>
      </c>
      <c r="G17" s="39" t="b">
        <f aca="false">TRUE()</f>
        <v>1</v>
      </c>
      <c r="H17" s="37" t="n">
        <v>1141.02</v>
      </c>
      <c r="I17" s="37" t="n">
        <v>5</v>
      </c>
      <c r="J17" s="37" t="n">
        <v>43</v>
      </c>
      <c r="K17" s="37" t="n">
        <v>0</v>
      </c>
      <c r="L17" s="37" t="str">
        <f aca="false">IF(C17="","",IF(C17&lt;=5,"Night (00-05)",IF(C17&lt;=11,"Morning (06-11)",IF(C17&lt;=16,"Afternoon (12-16)",IF(C17&lt;=20,"Evening (17-20)","Late (21-23)")))))</f>
        <v>Evening (17-20)</v>
      </c>
    </row>
    <row r="18" customFormat="false" ht="15" hidden="false" customHeight="false" outlineLevel="0" collapsed="false">
      <c r="A18" s="37" t="s">
        <v>122</v>
      </c>
      <c r="B18" s="38" t="n">
        <v>46322</v>
      </c>
      <c r="C18" s="37" t="n">
        <v>2</v>
      </c>
      <c r="D18" s="37" t="s">
        <v>37</v>
      </c>
      <c r="E18" s="37" t="s">
        <v>47</v>
      </c>
      <c r="F18" s="37" t="s">
        <v>23</v>
      </c>
      <c r="G18" s="39" t="b">
        <f aca="false">TRUE()</f>
        <v>1</v>
      </c>
      <c r="H18" s="37" t="n">
        <v>441.83</v>
      </c>
      <c r="I18" s="37" t="n">
        <v>5</v>
      </c>
      <c r="J18" s="37" t="n">
        <v>24</v>
      </c>
      <c r="K18" s="37" t="n">
        <v>0</v>
      </c>
      <c r="L18" s="37" t="str">
        <f aca="false">IF(C18="","",IF(C18&lt;=5,"Night (00-05)",IF(C18&lt;=11,"Morning (06-11)",IF(C18&lt;=16,"Afternoon (12-16)",IF(C18&lt;=20,"Evening (17-20)","Late (21-23)")))))</f>
        <v>Night (00-05)</v>
      </c>
    </row>
    <row r="19" customFormat="false" ht="15" hidden="false" customHeight="false" outlineLevel="0" collapsed="false">
      <c r="A19" s="37" t="s">
        <v>123</v>
      </c>
      <c r="B19" s="38" t="n">
        <v>46320</v>
      </c>
      <c r="C19" s="37" t="n">
        <v>2</v>
      </c>
      <c r="D19" s="37" t="s">
        <v>39</v>
      </c>
      <c r="E19" s="37" t="s">
        <v>48</v>
      </c>
      <c r="F19" s="37" t="s">
        <v>23</v>
      </c>
      <c r="G19" s="39" t="b">
        <f aca="false">TRUE()</f>
        <v>1</v>
      </c>
      <c r="H19" s="37" t="n">
        <v>405.02</v>
      </c>
      <c r="I19" s="37" t="n">
        <v>5</v>
      </c>
      <c r="J19" s="37" t="n">
        <v>47</v>
      </c>
      <c r="K19" s="37" t="n">
        <v>0</v>
      </c>
      <c r="L19" s="37" t="str">
        <f aca="false">IF(C19="","",IF(C19&lt;=5,"Night (00-05)",IF(C19&lt;=11,"Morning (06-11)",IF(C19&lt;=16,"Afternoon (12-16)",IF(C19&lt;=20,"Evening (17-20)","Late (21-23)")))))</f>
        <v>Night (00-05)</v>
      </c>
    </row>
    <row r="20" customFormat="false" ht="15" hidden="false" customHeight="false" outlineLevel="0" collapsed="false">
      <c r="A20" s="37" t="s">
        <v>124</v>
      </c>
      <c r="B20" s="38" t="n">
        <v>46320</v>
      </c>
      <c r="C20" s="37" t="n">
        <v>1</v>
      </c>
      <c r="D20" s="37" t="s">
        <v>40</v>
      </c>
      <c r="E20" s="37" t="s">
        <v>49</v>
      </c>
      <c r="F20" s="37" t="s">
        <v>23</v>
      </c>
      <c r="G20" s="39" t="b">
        <f aca="false">TRUE()</f>
        <v>1</v>
      </c>
      <c r="H20" s="37" t="n">
        <v>1295.12</v>
      </c>
      <c r="I20" s="37" t="n">
        <v>5</v>
      </c>
      <c r="J20" s="37" t="n">
        <v>48</v>
      </c>
      <c r="K20" s="37" t="n">
        <v>0</v>
      </c>
      <c r="L20" s="37" t="str">
        <f aca="false">IF(C20="","",IF(C20&lt;=5,"Night (00-05)",IF(C20&lt;=11,"Morning (06-11)",IF(C20&lt;=16,"Afternoon (12-16)",IF(C20&lt;=20,"Evening (17-20)","Late (21-23)")))))</f>
        <v>Night (00-05)</v>
      </c>
    </row>
    <row r="21" customFormat="false" ht="15" hidden="false" customHeight="false" outlineLevel="0" collapsed="false">
      <c r="A21" s="37" t="s">
        <v>125</v>
      </c>
      <c r="B21" s="38" t="n">
        <v>46318</v>
      </c>
      <c r="C21" s="37" t="n">
        <v>15</v>
      </c>
      <c r="D21" s="37" t="s">
        <v>40</v>
      </c>
      <c r="E21" s="37" t="s">
        <v>47</v>
      </c>
      <c r="F21" s="37" t="s">
        <v>23</v>
      </c>
      <c r="G21" s="39" t="b">
        <f aca="false">TRUE()</f>
        <v>1</v>
      </c>
      <c r="H21" s="37" t="n">
        <v>969.65</v>
      </c>
      <c r="I21" s="37" t="n">
        <v>1</v>
      </c>
      <c r="J21" s="37" t="n">
        <v>34</v>
      </c>
      <c r="K21" s="37" t="n">
        <v>0</v>
      </c>
      <c r="L21" s="37" t="str">
        <f aca="false">IF(C21="","",IF(C21&lt;=5,"Night (00-05)",IF(C21&lt;=11,"Morning (06-11)",IF(C21&lt;=16,"Afternoon (12-16)",IF(C21&lt;=20,"Evening (17-20)","Late (21-23)")))))</f>
        <v>Afternoon (12-16)</v>
      </c>
    </row>
    <row r="22" customFormat="false" ht="15" hidden="false" customHeight="false" outlineLevel="0" collapsed="false">
      <c r="A22" s="37" t="s">
        <v>126</v>
      </c>
      <c r="B22" s="38" t="n">
        <v>46321</v>
      </c>
      <c r="C22" s="37" t="n">
        <v>0</v>
      </c>
      <c r="D22" s="37" t="s">
        <v>38</v>
      </c>
      <c r="E22" s="37" t="s">
        <v>46</v>
      </c>
      <c r="F22" s="37" t="s">
        <v>23</v>
      </c>
      <c r="G22" s="39" t="b">
        <f aca="false">TRUE()</f>
        <v>1</v>
      </c>
      <c r="H22" s="37" t="n">
        <v>848.6</v>
      </c>
      <c r="I22" s="37" t="n">
        <v>4</v>
      </c>
      <c r="J22" s="37" t="n">
        <v>51</v>
      </c>
      <c r="K22" s="37" t="n">
        <v>0</v>
      </c>
      <c r="L22" s="37" t="str">
        <f aca="false">IF(C22="","",IF(C22&lt;=5,"Night (00-05)",IF(C22&lt;=11,"Morning (06-11)",IF(C22&lt;=16,"Afternoon (12-16)",IF(C22&lt;=20,"Evening (17-20)","Late (21-23)")))))</f>
        <v>Night (00-05)</v>
      </c>
    </row>
    <row r="23" customFormat="false" ht="15" hidden="false" customHeight="false" outlineLevel="0" collapsed="false">
      <c r="A23" s="37" t="s">
        <v>127</v>
      </c>
      <c r="B23" s="38" t="n">
        <v>46317</v>
      </c>
      <c r="C23" s="37" t="n">
        <v>1</v>
      </c>
      <c r="D23" s="37" t="s">
        <v>39</v>
      </c>
      <c r="E23" s="37" t="s">
        <v>48</v>
      </c>
      <c r="F23" s="37" t="s">
        <v>23</v>
      </c>
      <c r="G23" s="39" t="b">
        <f aca="false">TRUE()</f>
        <v>1</v>
      </c>
      <c r="H23" s="37" t="n">
        <v>612.85</v>
      </c>
      <c r="I23" s="37" t="n">
        <v>3</v>
      </c>
      <c r="J23" s="37" t="n">
        <v>32</v>
      </c>
      <c r="K23" s="37" t="n">
        <v>0</v>
      </c>
      <c r="L23" s="37" t="str">
        <f aca="false">IF(C23="","",IF(C23&lt;=5,"Night (00-05)",IF(C23&lt;=11,"Morning (06-11)",IF(C23&lt;=16,"Afternoon (12-16)",IF(C23&lt;=20,"Evening (17-20)","Late (21-23)")))))</f>
        <v>Night (00-05)</v>
      </c>
    </row>
    <row r="24" customFormat="false" ht="15" hidden="false" customHeight="false" outlineLevel="0" collapsed="false">
      <c r="A24" s="37" t="s">
        <v>128</v>
      </c>
      <c r="B24" s="38" t="n">
        <v>46320</v>
      </c>
      <c r="C24" s="37" t="n">
        <v>20</v>
      </c>
      <c r="D24" s="37" t="s">
        <v>39</v>
      </c>
      <c r="E24" s="37" t="s">
        <v>47</v>
      </c>
      <c r="F24" s="37" t="s">
        <v>129</v>
      </c>
      <c r="G24" s="39" t="b">
        <f aca="false">FALSE()</f>
        <v>0</v>
      </c>
      <c r="H24" s="37" t="n">
        <v>568.35</v>
      </c>
      <c r="K24" s="37" t="n">
        <v>0</v>
      </c>
      <c r="L24" s="37" t="str">
        <f aca="false">IF(C24="","",IF(C24&lt;=5,"Night (00-05)",IF(C24&lt;=11,"Morning (06-11)",IF(C24&lt;=16,"Afternoon (12-16)",IF(C24&lt;=20,"Evening (17-20)","Late (21-23)")))))</f>
        <v>Evening (17-20)</v>
      </c>
    </row>
    <row r="25" customFormat="false" ht="15" hidden="false" customHeight="false" outlineLevel="0" collapsed="false">
      <c r="A25" s="37" t="s">
        <v>130</v>
      </c>
      <c r="B25" s="38" t="n">
        <v>46315</v>
      </c>
      <c r="C25" s="37" t="n">
        <v>13</v>
      </c>
      <c r="D25" s="37" t="s">
        <v>38</v>
      </c>
      <c r="E25" s="37" t="s">
        <v>48</v>
      </c>
      <c r="F25" s="37" t="s">
        <v>23</v>
      </c>
      <c r="G25" s="39" t="b">
        <f aca="false">TRUE()</f>
        <v>1</v>
      </c>
      <c r="H25" s="37" t="n">
        <v>933.11</v>
      </c>
      <c r="I25" s="37" t="n">
        <v>4</v>
      </c>
      <c r="J25" s="37" t="n">
        <v>28</v>
      </c>
      <c r="K25" s="37" t="n">
        <v>0</v>
      </c>
      <c r="L25" s="37" t="str">
        <f aca="false">IF(C25="","",IF(C25&lt;=5,"Night (00-05)",IF(C25&lt;=11,"Morning (06-11)",IF(C25&lt;=16,"Afternoon (12-16)",IF(C25&lt;=20,"Evening (17-20)","Late (21-23)")))))</f>
        <v>Afternoon (12-16)</v>
      </c>
    </row>
    <row r="26" customFormat="false" ht="15" hidden="false" customHeight="false" outlineLevel="0" collapsed="false">
      <c r="A26" s="37" t="s">
        <v>131</v>
      </c>
      <c r="B26" s="38" t="n">
        <v>46317</v>
      </c>
      <c r="C26" s="37" t="n">
        <v>21</v>
      </c>
      <c r="D26" s="37" t="s">
        <v>38</v>
      </c>
      <c r="E26" s="37" t="s">
        <v>49</v>
      </c>
      <c r="F26" s="37" t="s">
        <v>23</v>
      </c>
      <c r="G26" s="39" t="b">
        <f aca="false">TRUE()</f>
        <v>1</v>
      </c>
      <c r="H26" s="37" t="n">
        <v>1364.62</v>
      </c>
      <c r="I26" s="37" t="n">
        <v>3</v>
      </c>
      <c r="J26" s="37" t="n">
        <v>26</v>
      </c>
      <c r="K26" s="37" t="n">
        <v>0</v>
      </c>
      <c r="L26" s="37" t="str">
        <f aca="false">IF(C26="","",IF(C26&lt;=5,"Night (00-05)",IF(C26&lt;=11,"Morning (06-11)",IF(C26&lt;=16,"Afternoon (12-16)",IF(C26&lt;=20,"Evening (17-20)","Late (21-23)")))))</f>
        <v>Late (21-23)</v>
      </c>
    </row>
    <row r="27" customFormat="false" ht="15" hidden="false" customHeight="false" outlineLevel="0" collapsed="false">
      <c r="A27" s="37" t="s">
        <v>132</v>
      </c>
      <c r="B27" s="38" t="n">
        <v>46320</v>
      </c>
      <c r="C27" s="37" t="n">
        <v>2</v>
      </c>
      <c r="D27" s="37" t="s">
        <v>37</v>
      </c>
      <c r="E27" s="37" t="s">
        <v>48</v>
      </c>
      <c r="F27" s="37" t="s">
        <v>23</v>
      </c>
      <c r="G27" s="39" t="b">
        <f aca="false">TRUE()</f>
        <v>1</v>
      </c>
      <c r="H27" s="37" t="n">
        <v>602.21</v>
      </c>
      <c r="I27" s="37" t="n">
        <v>5</v>
      </c>
      <c r="J27" s="37" t="n">
        <v>45</v>
      </c>
      <c r="K27" s="37" t="n">
        <v>0</v>
      </c>
      <c r="L27" s="37" t="str">
        <f aca="false">IF(C27="","",IF(C27&lt;=5,"Night (00-05)",IF(C27&lt;=11,"Morning (06-11)",IF(C27&lt;=16,"Afternoon (12-16)",IF(C27&lt;=20,"Evening (17-20)","Late (21-23)")))))</f>
        <v>Night (00-05)</v>
      </c>
    </row>
    <row r="28" customFormat="false" ht="15" hidden="false" customHeight="false" outlineLevel="0" collapsed="false">
      <c r="A28" s="37" t="s">
        <v>133</v>
      </c>
      <c r="B28" s="38" t="n">
        <v>46316</v>
      </c>
      <c r="C28" s="37" t="n">
        <v>19</v>
      </c>
      <c r="D28" s="37" t="s">
        <v>39</v>
      </c>
      <c r="E28" s="37" t="s">
        <v>46</v>
      </c>
      <c r="F28" s="37" t="s">
        <v>113</v>
      </c>
      <c r="G28" s="39" t="b">
        <f aca="false">TRUE()</f>
        <v>1</v>
      </c>
      <c r="H28" s="37" t="n">
        <v>468.2</v>
      </c>
      <c r="K28" s="37" t="n">
        <v>0</v>
      </c>
      <c r="L28" s="37" t="str">
        <f aca="false">IF(C28="","",IF(C28&lt;=5,"Night (00-05)",IF(C28&lt;=11,"Morning (06-11)",IF(C28&lt;=16,"Afternoon (12-16)",IF(C28&lt;=20,"Evening (17-20)","Late (21-23)")))))</f>
        <v>Evening (17-20)</v>
      </c>
    </row>
    <row r="29" customFormat="false" ht="15" hidden="false" customHeight="false" outlineLevel="0" collapsed="false">
      <c r="A29" s="37" t="s">
        <v>134</v>
      </c>
      <c r="B29" s="38" t="n">
        <v>46321</v>
      </c>
      <c r="C29" s="37" t="n">
        <v>23</v>
      </c>
      <c r="D29" s="37" t="s">
        <v>37</v>
      </c>
      <c r="E29" s="37" t="s">
        <v>48</v>
      </c>
      <c r="F29" s="37" t="s">
        <v>129</v>
      </c>
      <c r="G29" s="39" t="b">
        <f aca="false">FALSE()</f>
        <v>0</v>
      </c>
      <c r="H29" s="37" t="n">
        <v>547.35</v>
      </c>
      <c r="K29" s="37" t="n">
        <v>0</v>
      </c>
      <c r="L29" s="37" t="str">
        <f aca="false">IF(C29="","",IF(C29&lt;=5,"Night (00-05)",IF(C29&lt;=11,"Morning (06-11)",IF(C29&lt;=16,"Afternoon (12-16)",IF(C29&lt;=20,"Evening (17-20)","Late (21-23)")))))</f>
        <v>Late (21-23)</v>
      </c>
    </row>
    <row r="30" customFormat="false" ht="15" hidden="false" customHeight="false" outlineLevel="0" collapsed="false">
      <c r="A30" s="37" t="s">
        <v>135</v>
      </c>
      <c r="B30" s="38" t="n">
        <v>46320</v>
      </c>
      <c r="C30" s="37" t="n">
        <v>1</v>
      </c>
      <c r="D30" s="37" t="s">
        <v>40</v>
      </c>
      <c r="E30" s="37" t="s">
        <v>47</v>
      </c>
      <c r="F30" s="37" t="s">
        <v>23</v>
      </c>
      <c r="G30" s="39" t="b">
        <f aca="false">TRUE()</f>
        <v>1</v>
      </c>
      <c r="H30" s="37" t="n">
        <v>539.11</v>
      </c>
      <c r="I30" s="37" t="n">
        <v>4</v>
      </c>
      <c r="J30" s="37" t="n">
        <v>53</v>
      </c>
      <c r="K30" s="37" t="n">
        <v>0</v>
      </c>
      <c r="L30" s="37" t="str">
        <f aca="false">IF(C30="","",IF(C30&lt;=5,"Night (00-05)",IF(C30&lt;=11,"Morning (06-11)",IF(C30&lt;=16,"Afternoon (12-16)",IF(C30&lt;=20,"Evening (17-20)","Late (21-23)")))))</f>
        <v>Night (00-05)</v>
      </c>
    </row>
    <row r="31" customFormat="false" ht="15" hidden="false" customHeight="false" outlineLevel="0" collapsed="false">
      <c r="A31" s="37" t="s">
        <v>136</v>
      </c>
      <c r="B31" s="38" t="n">
        <v>46319</v>
      </c>
      <c r="C31" s="37" t="n">
        <v>14</v>
      </c>
      <c r="D31" s="37" t="s">
        <v>38</v>
      </c>
      <c r="E31" s="37" t="s">
        <v>48</v>
      </c>
      <c r="F31" s="37" t="s">
        <v>113</v>
      </c>
      <c r="G31" s="39" t="b">
        <f aca="false">TRUE()</f>
        <v>1</v>
      </c>
      <c r="H31" s="37" t="n">
        <v>1081.64</v>
      </c>
      <c r="K31" s="37" t="n">
        <v>0</v>
      </c>
      <c r="L31" s="37" t="str">
        <f aca="false">IF(C31="","",IF(C31&lt;=5,"Night (00-05)",IF(C31&lt;=11,"Morning (06-11)",IF(C31&lt;=16,"Afternoon (12-16)",IF(C31&lt;=20,"Evening (17-20)","Late (21-23)")))))</f>
        <v>Afternoon (12-16)</v>
      </c>
    </row>
    <row r="32" customFormat="false" ht="15" hidden="false" customHeight="false" outlineLevel="0" collapsed="false">
      <c r="A32" s="37" t="s">
        <v>137</v>
      </c>
      <c r="B32" s="38" t="n">
        <v>46319</v>
      </c>
      <c r="C32" s="37" t="n">
        <v>17</v>
      </c>
      <c r="D32" s="37" t="s">
        <v>38</v>
      </c>
      <c r="E32" s="37" t="s">
        <v>49</v>
      </c>
      <c r="F32" s="37" t="s">
        <v>23</v>
      </c>
      <c r="G32" s="39" t="b">
        <f aca="false">TRUE()</f>
        <v>1</v>
      </c>
      <c r="H32" s="37" t="n">
        <v>1259.16</v>
      </c>
      <c r="I32" s="37" t="n">
        <v>5</v>
      </c>
      <c r="J32" s="37" t="n">
        <v>40</v>
      </c>
      <c r="K32" s="37" t="n">
        <v>0</v>
      </c>
      <c r="L32" s="37" t="str">
        <f aca="false">IF(C32="","",IF(C32&lt;=5,"Night (00-05)",IF(C32&lt;=11,"Morning (06-11)",IF(C32&lt;=16,"Afternoon (12-16)",IF(C32&lt;=20,"Evening (17-20)","Late (21-23)")))))</f>
        <v>Evening (17-20)</v>
      </c>
    </row>
    <row r="33" customFormat="false" ht="15" hidden="false" customHeight="false" outlineLevel="0" collapsed="false">
      <c r="A33" s="37" t="s">
        <v>138</v>
      </c>
      <c r="B33" s="38" t="n">
        <v>46317</v>
      </c>
      <c r="C33" s="37" t="n">
        <v>0</v>
      </c>
      <c r="D33" s="37" t="s">
        <v>40</v>
      </c>
      <c r="E33" s="37" t="s">
        <v>49</v>
      </c>
      <c r="F33" s="37" t="s">
        <v>23</v>
      </c>
      <c r="G33" s="39" t="b">
        <f aca="false">TRUE()</f>
        <v>1</v>
      </c>
      <c r="H33" s="37" t="n">
        <v>603.7</v>
      </c>
      <c r="I33" s="37" t="n">
        <v>4</v>
      </c>
      <c r="J33" s="37" t="n">
        <v>49</v>
      </c>
      <c r="K33" s="37" t="n">
        <v>0</v>
      </c>
      <c r="L33" s="37" t="str">
        <f aca="false">IF(C33="","",IF(C33&lt;=5,"Night (00-05)",IF(C33&lt;=11,"Morning (06-11)",IF(C33&lt;=16,"Afternoon (12-16)",IF(C33&lt;=20,"Evening (17-20)","Late (21-23)")))))</f>
        <v>Night (00-05)</v>
      </c>
    </row>
    <row r="34" customFormat="false" ht="15" hidden="false" customHeight="false" outlineLevel="0" collapsed="false">
      <c r="A34" s="37" t="s">
        <v>139</v>
      </c>
      <c r="B34" s="38" t="n">
        <v>46322</v>
      </c>
      <c r="C34" s="37" t="n">
        <v>4</v>
      </c>
      <c r="D34" s="37" t="s">
        <v>38</v>
      </c>
      <c r="E34" s="37" t="s">
        <v>47</v>
      </c>
      <c r="F34" s="37" t="s">
        <v>23</v>
      </c>
      <c r="G34" s="39" t="b">
        <f aca="false">TRUE()</f>
        <v>1</v>
      </c>
      <c r="H34" s="37" t="n">
        <v>1175.34</v>
      </c>
      <c r="I34" s="37" t="n">
        <v>5</v>
      </c>
      <c r="J34" s="37" t="n">
        <v>28</v>
      </c>
      <c r="K34" s="37" t="n">
        <v>0</v>
      </c>
      <c r="L34" s="37" t="str">
        <f aca="false">IF(C34="","",IF(C34&lt;=5,"Night (00-05)",IF(C34&lt;=11,"Morning (06-11)",IF(C34&lt;=16,"Afternoon (12-16)",IF(C34&lt;=20,"Evening (17-20)","Late (21-23)")))))</f>
        <v>Night (00-05)</v>
      </c>
    </row>
    <row r="35" customFormat="false" ht="15" hidden="false" customHeight="false" outlineLevel="0" collapsed="false">
      <c r="A35" s="37" t="s">
        <v>140</v>
      </c>
      <c r="B35" s="38" t="n">
        <v>46316</v>
      </c>
      <c r="C35" s="37" t="n">
        <v>3</v>
      </c>
      <c r="D35" s="37" t="s">
        <v>37</v>
      </c>
      <c r="E35" s="37" t="s">
        <v>49</v>
      </c>
      <c r="F35" s="37" t="s">
        <v>23</v>
      </c>
      <c r="G35" s="39" t="b">
        <f aca="false">TRUE()</f>
        <v>1</v>
      </c>
      <c r="H35" s="37" t="n">
        <v>815.87</v>
      </c>
      <c r="I35" s="37" t="n">
        <v>1</v>
      </c>
      <c r="J35" s="37" t="n">
        <v>53</v>
      </c>
      <c r="K35" s="37" t="n">
        <v>0</v>
      </c>
      <c r="L35" s="37" t="str">
        <f aca="false">IF(C35="","",IF(C35&lt;=5,"Night (00-05)",IF(C35&lt;=11,"Morning (06-11)",IF(C35&lt;=16,"Afternoon (12-16)",IF(C35&lt;=20,"Evening (17-20)","Late (21-23)")))))</f>
        <v>Night (00-05)</v>
      </c>
    </row>
    <row r="36" customFormat="false" ht="15" hidden="false" customHeight="false" outlineLevel="0" collapsed="false">
      <c r="A36" s="37" t="s">
        <v>141</v>
      </c>
      <c r="B36" s="38" t="n">
        <v>46321</v>
      </c>
      <c r="C36" s="37" t="n">
        <v>23</v>
      </c>
      <c r="D36" s="37" t="s">
        <v>38</v>
      </c>
      <c r="E36" s="37" t="s">
        <v>48</v>
      </c>
      <c r="F36" s="37" t="s">
        <v>113</v>
      </c>
      <c r="G36" s="39" t="b">
        <f aca="false">TRUE()</f>
        <v>1</v>
      </c>
      <c r="H36" s="37" t="n">
        <v>984.13</v>
      </c>
      <c r="K36" s="37" t="n">
        <v>0</v>
      </c>
      <c r="L36" s="37" t="str">
        <f aca="false">IF(C36="","",IF(C36&lt;=5,"Night (00-05)",IF(C36&lt;=11,"Morning (06-11)",IF(C36&lt;=16,"Afternoon (12-16)",IF(C36&lt;=20,"Evening (17-20)","Late (21-23)")))))</f>
        <v>Late (21-23)</v>
      </c>
    </row>
    <row r="37" customFormat="false" ht="15" hidden="false" customHeight="false" outlineLevel="0" collapsed="false">
      <c r="A37" s="37" t="s">
        <v>142</v>
      </c>
      <c r="B37" s="38" t="n">
        <v>46320</v>
      </c>
      <c r="C37" s="37" t="n">
        <v>23</v>
      </c>
      <c r="D37" s="37" t="s">
        <v>37</v>
      </c>
      <c r="E37" s="37" t="s">
        <v>46</v>
      </c>
      <c r="F37" s="37" t="s">
        <v>23</v>
      </c>
      <c r="G37" s="39" t="b">
        <f aca="false">TRUE()</f>
        <v>1</v>
      </c>
      <c r="H37" s="37" t="n">
        <v>500.8</v>
      </c>
      <c r="I37" s="37" t="n">
        <v>4</v>
      </c>
      <c r="J37" s="37" t="n">
        <v>36</v>
      </c>
      <c r="K37" s="37" t="n">
        <v>0</v>
      </c>
      <c r="L37" s="37" t="str">
        <f aca="false">IF(C37="","",IF(C37&lt;=5,"Night (00-05)",IF(C37&lt;=11,"Morning (06-11)",IF(C37&lt;=16,"Afternoon (12-16)",IF(C37&lt;=20,"Evening (17-20)","Late (21-23)")))))</f>
        <v>Late (21-23)</v>
      </c>
    </row>
    <row r="38" customFormat="false" ht="15" hidden="false" customHeight="false" outlineLevel="0" collapsed="false">
      <c r="A38" s="37" t="s">
        <v>143</v>
      </c>
      <c r="B38" s="38" t="n">
        <v>46318</v>
      </c>
      <c r="C38" s="37" t="n">
        <v>3</v>
      </c>
      <c r="D38" s="37" t="s">
        <v>38</v>
      </c>
      <c r="E38" s="37" t="s">
        <v>49</v>
      </c>
      <c r="F38" s="37" t="s">
        <v>23</v>
      </c>
      <c r="G38" s="39" t="b">
        <f aca="false">TRUE()</f>
        <v>1</v>
      </c>
      <c r="H38" s="37" t="n">
        <v>1379.54</v>
      </c>
      <c r="I38" s="37" t="n">
        <v>5</v>
      </c>
      <c r="J38" s="37" t="n">
        <v>41</v>
      </c>
      <c r="K38" s="37" t="n">
        <v>0</v>
      </c>
      <c r="L38" s="37" t="str">
        <f aca="false">IF(C38="","",IF(C38&lt;=5,"Night (00-05)",IF(C38&lt;=11,"Morning (06-11)",IF(C38&lt;=16,"Afternoon (12-16)",IF(C38&lt;=20,"Evening (17-20)","Late (21-23)")))))</f>
        <v>Night (00-05)</v>
      </c>
    </row>
    <row r="39" customFormat="false" ht="15" hidden="false" customHeight="false" outlineLevel="0" collapsed="false">
      <c r="A39" s="37" t="s">
        <v>144</v>
      </c>
      <c r="B39" s="38" t="n">
        <v>46321</v>
      </c>
      <c r="C39" s="37" t="n">
        <v>6</v>
      </c>
      <c r="D39" s="37" t="s">
        <v>39</v>
      </c>
      <c r="E39" s="37" t="s">
        <v>49</v>
      </c>
      <c r="F39" s="37" t="s">
        <v>23</v>
      </c>
      <c r="G39" s="39" t="b">
        <f aca="false">TRUE()</f>
        <v>1</v>
      </c>
      <c r="H39" s="37" t="n">
        <v>523.36</v>
      </c>
      <c r="I39" s="37" t="n">
        <v>4</v>
      </c>
      <c r="J39" s="37" t="n">
        <v>29</v>
      </c>
      <c r="K39" s="37" t="n">
        <v>0</v>
      </c>
      <c r="L39" s="37" t="str">
        <f aca="false">IF(C39="","",IF(C39&lt;=5,"Night (00-05)",IF(C39&lt;=11,"Morning (06-11)",IF(C39&lt;=16,"Afternoon (12-16)",IF(C39&lt;=20,"Evening (17-20)","Late (21-23)")))))</f>
        <v>Morning (06-11)</v>
      </c>
    </row>
    <row r="40" customFormat="false" ht="15" hidden="false" customHeight="false" outlineLevel="0" collapsed="false">
      <c r="A40" s="37" t="s">
        <v>145</v>
      </c>
      <c r="B40" s="38" t="n">
        <v>46321</v>
      </c>
      <c r="C40" s="37" t="n">
        <v>19</v>
      </c>
      <c r="D40" s="37" t="s">
        <v>39</v>
      </c>
      <c r="E40" s="37" t="s">
        <v>48</v>
      </c>
      <c r="F40" s="37" t="s">
        <v>23</v>
      </c>
      <c r="G40" s="39" t="b">
        <f aca="false">TRUE()</f>
        <v>1</v>
      </c>
      <c r="H40" s="37" t="n">
        <v>315.73</v>
      </c>
      <c r="I40" s="37" t="n">
        <v>5</v>
      </c>
      <c r="J40" s="37" t="n">
        <v>22</v>
      </c>
      <c r="K40" s="37" t="n">
        <v>0</v>
      </c>
      <c r="L40" s="37" t="str">
        <f aca="false">IF(C40="","",IF(C40&lt;=5,"Night (00-05)",IF(C40&lt;=11,"Morning (06-11)",IF(C40&lt;=16,"Afternoon (12-16)",IF(C40&lt;=20,"Evening (17-20)","Late (21-23)")))))</f>
        <v>Evening (17-20)</v>
      </c>
    </row>
    <row r="41" customFormat="false" ht="15" hidden="false" customHeight="false" outlineLevel="0" collapsed="false">
      <c r="A41" s="37" t="s">
        <v>146</v>
      </c>
      <c r="B41" s="38" t="n">
        <v>46317</v>
      </c>
      <c r="C41" s="37" t="n">
        <v>1</v>
      </c>
      <c r="D41" s="37" t="s">
        <v>40</v>
      </c>
      <c r="E41" s="37" t="s">
        <v>49</v>
      </c>
      <c r="F41" s="37" t="s">
        <v>23</v>
      </c>
      <c r="G41" s="39" t="b">
        <f aca="false">TRUE()</f>
        <v>1</v>
      </c>
      <c r="H41" s="37" t="n">
        <v>1278.07</v>
      </c>
      <c r="I41" s="37" t="n">
        <v>5</v>
      </c>
      <c r="J41" s="37" t="n">
        <v>35</v>
      </c>
      <c r="K41" s="37" t="n">
        <v>0</v>
      </c>
      <c r="L41" s="37" t="str">
        <f aca="false">IF(C41="","",IF(C41&lt;=5,"Night (00-05)",IF(C41&lt;=11,"Morning (06-11)",IF(C41&lt;=16,"Afternoon (12-16)",IF(C41&lt;=20,"Evening (17-20)","Late (21-23)")))))</f>
        <v>Night (00-05)</v>
      </c>
    </row>
    <row r="42" customFormat="false" ht="15" hidden="false" customHeight="false" outlineLevel="0" collapsed="false">
      <c r="A42" s="37" t="s">
        <v>147</v>
      </c>
      <c r="B42" s="38" t="n">
        <v>46322</v>
      </c>
      <c r="C42" s="37" t="n">
        <v>2</v>
      </c>
      <c r="D42" s="37" t="s">
        <v>38</v>
      </c>
      <c r="E42" s="37" t="s">
        <v>48</v>
      </c>
      <c r="F42" s="37" t="s">
        <v>23</v>
      </c>
      <c r="G42" s="39" t="b">
        <f aca="false">TRUE()</f>
        <v>1</v>
      </c>
      <c r="H42" s="37" t="n">
        <v>1314.6</v>
      </c>
      <c r="I42" s="37" t="n">
        <v>5</v>
      </c>
      <c r="J42" s="37" t="n">
        <v>46</v>
      </c>
      <c r="K42" s="37" t="n">
        <v>0</v>
      </c>
      <c r="L42" s="37" t="str">
        <f aca="false">IF(C42="","",IF(C42&lt;=5,"Night (00-05)",IF(C42&lt;=11,"Morning (06-11)",IF(C42&lt;=16,"Afternoon (12-16)",IF(C42&lt;=20,"Evening (17-20)","Late (21-23)")))))</f>
        <v>Night (00-05)</v>
      </c>
    </row>
    <row r="43" customFormat="false" ht="15" hidden="false" customHeight="false" outlineLevel="0" collapsed="false">
      <c r="A43" s="37" t="s">
        <v>148</v>
      </c>
      <c r="B43" s="38" t="n">
        <v>46322</v>
      </c>
      <c r="C43" s="37" t="n">
        <v>1</v>
      </c>
      <c r="D43" s="37" t="s">
        <v>37</v>
      </c>
      <c r="E43" s="37" t="s">
        <v>47</v>
      </c>
      <c r="F43" s="37" t="s">
        <v>23</v>
      </c>
      <c r="G43" s="39" t="b">
        <f aca="false">TRUE()</f>
        <v>1</v>
      </c>
      <c r="H43" s="37" t="n">
        <v>590.27</v>
      </c>
      <c r="I43" s="37" t="n">
        <v>4</v>
      </c>
      <c r="J43" s="37" t="n">
        <v>50</v>
      </c>
      <c r="K43" s="37" t="n">
        <v>0</v>
      </c>
      <c r="L43" s="37" t="str">
        <f aca="false">IF(C43="","",IF(C43&lt;=5,"Night (00-05)",IF(C43&lt;=11,"Morning (06-11)",IF(C43&lt;=16,"Afternoon (12-16)",IF(C43&lt;=20,"Evening (17-20)","Late (21-23)")))))</f>
        <v>Night (00-05)</v>
      </c>
    </row>
    <row r="44" customFormat="false" ht="15" hidden="false" customHeight="false" outlineLevel="0" collapsed="false">
      <c r="A44" s="37" t="s">
        <v>149</v>
      </c>
      <c r="B44" s="38" t="n">
        <v>46322</v>
      </c>
      <c r="C44" s="37" t="n">
        <v>4</v>
      </c>
      <c r="D44" s="37" t="s">
        <v>37</v>
      </c>
      <c r="E44" s="37" t="s">
        <v>48</v>
      </c>
      <c r="F44" s="37" t="s">
        <v>23</v>
      </c>
      <c r="G44" s="39" t="b">
        <f aca="false">TRUE()</f>
        <v>1</v>
      </c>
      <c r="H44" s="37" t="n">
        <v>410.83</v>
      </c>
      <c r="I44" s="37" t="n">
        <v>4</v>
      </c>
      <c r="J44" s="37" t="n">
        <v>41</v>
      </c>
      <c r="K44" s="37" t="n">
        <v>0</v>
      </c>
      <c r="L44" s="37" t="str">
        <f aca="false">IF(C44="","",IF(C44&lt;=5,"Night (00-05)",IF(C44&lt;=11,"Morning (06-11)",IF(C44&lt;=16,"Afternoon (12-16)",IF(C44&lt;=20,"Evening (17-20)","Late (21-23)")))))</f>
        <v>Night (00-05)</v>
      </c>
    </row>
    <row r="45" customFormat="false" ht="15" hidden="false" customHeight="false" outlineLevel="0" collapsed="false">
      <c r="A45" s="37" t="s">
        <v>150</v>
      </c>
      <c r="B45" s="38" t="n">
        <v>46316</v>
      </c>
      <c r="C45" s="37" t="n">
        <v>5</v>
      </c>
      <c r="D45" s="37" t="s">
        <v>39</v>
      </c>
      <c r="E45" s="37" t="s">
        <v>46</v>
      </c>
      <c r="F45" s="37" t="s">
        <v>23</v>
      </c>
      <c r="G45" s="39" t="b">
        <f aca="false">FALSE()</f>
        <v>0</v>
      </c>
      <c r="H45" s="37" t="n">
        <v>674.69</v>
      </c>
      <c r="I45" s="37" t="n">
        <v>5</v>
      </c>
      <c r="J45" s="37" t="n">
        <v>56</v>
      </c>
      <c r="K45" s="37" t="n">
        <v>0</v>
      </c>
      <c r="L45" s="37" t="str">
        <f aca="false">IF(C45="","",IF(C45&lt;=5,"Night (00-05)",IF(C45&lt;=11,"Morning (06-11)",IF(C45&lt;=16,"Afternoon (12-16)",IF(C45&lt;=20,"Evening (17-20)","Late (21-23)")))))</f>
        <v>Night (00-05)</v>
      </c>
    </row>
    <row r="46" customFormat="false" ht="15" hidden="false" customHeight="false" outlineLevel="0" collapsed="false">
      <c r="A46" s="37" t="s">
        <v>151</v>
      </c>
      <c r="B46" s="38" t="n">
        <v>46317</v>
      </c>
      <c r="C46" s="37" t="n">
        <v>12</v>
      </c>
      <c r="D46" s="37" t="s">
        <v>40</v>
      </c>
      <c r="E46" s="37" t="s">
        <v>46</v>
      </c>
      <c r="F46" s="37" t="s">
        <v>129</v>
      </c>
      <c r="G46" s="39" t="b">
        <f aca="false">FALSE()</f>
        <v>0</v>
      </c>
      <c r="H46" s="37" t="n">
        <v>848.12</v>
      </c>
      <c r="K46" s="37" t="n">
        <v>0</v>
      </c>
      <c r="L46" s="37" t="str">
        <f aca="false">IF(C46="","",IF(C46&lt;=5,"Night (00-05)",IF(C46&lt;=11,"Morning (06-11)",IF(C46&lt;=16,"Afternoon (12-16)",IF(C46&lt;=20,"Evening (17-20)","Late (21-23)")))))</f>
        <v>Afternoon (12-16)</v>
      </c>
    </row>
    <row r="47" customFormat="false" ht="15" hidden="false" customHeight="false" outlineLevel="0" collapsed="false">
      <c r="A47" s="37" t="s">
        <v>152</v>
      </c>
      <c r="B47" s="38" t="n">
        <v>46315</v>
      </c>
      <c r="C47" s="37" t="n">
        <v>19</v>
      </c>
      <c r="D47" s="37" t="s">
        <v>40</v>
      </c>
      <c r="E47" s="37" t="s">
        <v>47</v>
      </c>
      <c r="F47" s="37" t="s">
        <v>23</v>
      </c>
      <c r="G47" s="39" t="b">
        <f aca="false">TRUE()</f>
        <v>1</v>
      </c>
      <c r="H47" s="37" t="n">
        <v>1066.03</v>
      </c>
      <c r="I47" s="37" t="n">
        <v>5</v>
      </c>
      <c r="J47" s="37" t="n">
        <v>54</v>
      </c>
      <c r="K47" s="37" t="n">
        <v>0</v>
      </c>
      <c r="L47" s="37" t="str">
        <f aca="false">IF(C47="","",IF(C47&lt;=5,"Night (00-05)",IF(C47&lt;=11,"Morning (06-11)",IF(C47&lt;=16,"Afternoon (12-16)",IF(C47&lt;=20,"Evening (17-20)","Late (21-23)")))))</f>
        <v>Evening (17-20)</v>
      </c>
    </row>
    <row r="48" customFormat="false" ht="15" hidden="false" customHeight="false" outlineLevel="0" collapsed="false">
      <c r="A48" s="37" t="s">
        <v>153</v>
      </c>
      <c r="B48" s="38" t="n">
        <v>46321</v>
      </c>
      <c r="C48" s="37" t="n">
        <v>1</v>
      </c>
      <c r="D48" s="37" t="s">
        <v>39</v>
      </c>
      <c r="E48" s="37" t="s">
        <v>47</v>
      </c>
      <c r="F48" s="37" t="s">
        <v>113</v>
      </c>
      <c r="G48" s="39" t="b">
        <f aca="false">TRUE()</f>
        <v>1</v>
      </c>
      <c r="H48" s="37" t="n">
        <v>678.55</v>
      </c>
      <c r="K48" s="37" t="n">
        <v>0</v>
      </c>
      <c r="L48" s="37" t="str">
        <f aca="false">IF(C48="","",IF(C48&lt;=5,"Night (00-05)",IF(C48&lt;=11,"Morning (06-11)",IF(C48&lt;=16,"Afternoon (12-16)",IF(C48&lt;=20,"Evening (17-20)","Late (21-23)")))))</f>
        <v>Night (00-05)</v>
      </c>
    </row>
    <row r="49" customFormat="false" ht="15" hidden="false" customHeight="false" outlineLevel="0" collapsed="false">
      <c r="A49" s="37" t="s">
        <v>154</v>
      </c>
      <c r="B49" s="38" t="n">
        <v>46319</v>
      </c>
      <c r="C49" s="37" t="n">
        <v>18</v>
      </c>
      <c r="D49" s="37" t="s">
        <v>40</v>
      </c>
      <c r="E49" s="37" t="s">
        <v>46</v>
      </c>
      <c r="F49" s="37" t="s">
        <v>23</v>
      </c>
      <c r="G49" s="39" t="b">
        <f aca="false">TRUE()</f>
        <v>1</v>
      </c>
      <c r="H49" s="37" t="n">
        <v>1032.51</v>
      </c>
      <c r="I49" s="37" t="n">
        <v>5</v>
      </c>
      <c r="J49" s="37" t="n">
        <v>38</v>
      </c>
      <c r="K49" s="37" t="n">
        <v>0</v>
      </c>
      <c r="L49" s="37" t="str">
        <f aca="false">IF(C49="","",IF(C49&lt;=5,"Night (00-05)",IF(C49&lt;=11,"Morning (06-11)",IF(C49&lt;=16,"Afternoon (12-16)",IF(C49&lt;=20,"Evening (17-20)","Late (21-23)")))))</f>
        <v>Evening (17-20)</v>
      </c>
    </row>
    <row r="50" customFormat="false" ht="15" hidden="false" customHeight="false" outlineLevel="0" collapsed="false">
      <c r="A50" s="37" t="s">
        <v>155</v>
      </c>
      <c r="B50" s="38" t="n">
        <v>46316</v>
      </c>
      <c r="C50" s="37" t="n">
        <v>20</v>
      </c>
      <c r="D50" s="37" t="s">
        <v>37</v>
      </c>
      <c r="E50" s="37" t="s">
        <v>46</v>
      </c>
      <c r="F50" s="37" t="s">
        <v>23</v>
      </c>
      <c r="G50" s="39" t="b">
        <f aca="false">TRUE()</f>
        <v>1</v>
      </c>
      <c r="H50" s="37" t="n">
        <v>602.04</v>
      </c>
      <c r="I50" s="37" t="n">
        <v>4</v>
      </c>
      <c r="J50" s="37" t="n">
        <v>39</v>
      </c>
      <c r="K50" s="37" t="n">
        <v>0</v>
      </c>
      <c r="L50" s="37" t="str">
        <f aca="false">IF(C50="","",IF(C50&lt;=5,"Night (00-05)",IF(C50&lt;=11,"Morning (06-11)",IF(C50&lt;=16,"Afternoon (12-16)",IF(C50&lt;=20,"Evening (17-20)","Late (21-23)")))))</f>
        <v>Evening (17-20)</v>
      </c>
    </row>
    <row r="51" customFormat="false" ht="15" hidden="false" customHeight="false" outlineLevel="0" collapsed="false">
      <c r="A51" s="37" t="s">
        <v>156</v>
      </c>
      <c r="B51" s="38" t="n">
        <v>46319</v>
      </c>
      <c r="C51" s="37" t="n">
        <v>2</v>
      </c>
      <c r="D51" s="37" t="s">
        <v>40</v>
      </c>
      <c r="E51" s="37" t="s">
        <v>49</v>
      </c>
      <c r="F51" s="37" t="s">
        <v>23</v>
      </c>
      <c r="G51" s="39" t="b">
        <f aca="false">TRUE()</f>
        <v>1</v>
      </c>
      <c r="H51" s="37" t="n">
        <v>852.43</v>
      </c>
      <c r="I51" s="37" t="n">
        <v>4</v>
      </c>
      <c r="J51" s="37" t="n">
        <v>52</v>
      </c>
      <c r="K51" s="37" t="n">
        <v>0</v>
      </c>
      <c r="L51" s="37" t="str">
        <f aca="false">IF(C51="","",IF(C51&lt;=5,"Night (00-05)",IF(C51&lt;=11,"Morning (06-11)",IF(C51&lt;=16,"Afternoon (12-16)",IF(C51&lt;=20,"Evening (17-20)","Late (21-23)")))))</f>
        <v>Night (00-05)</v>
      </c>
    </row>
    <row r="52" customFormat="false" ht="15" hidden="false" customHeight="false" outlineLevel="0" collapsed="false">
      <c r="A52" s="37" t="s">
        <v>157</v>
      </c>
      <c r="B52" s="38" t="n">
        <v>46322</v>
      </c>
      <c r="C52" s="37" t="n">
        <v>1</v>
      </c>
      <c r="D52" s="37" t="s">
        <v>40</v>
      </c>
      <c r="E52" s="37" t="s">
        <v>46</v>
      </c>
      <c r="F52" s="37" t="s">
        <v>113</v>
      </c>
      <c r="G52" s="39" t="b">
        <f aca="false">TRUE()</f>
        <v>1</v>
      </c>
      <c r="H52" s="37" t="n">
        <v>573.71</v>
      </c>
      <c r="K52" s="37" t="n">
        <v>0</v>
      </c>
      <c r="L52" s="37" t="str">
        <f aca="false">IF(C52="","",IF(C52&lt;=5,"Night (00-05)",IF(C52&lt;=11,"Morning (06-11)",IF(C52&lt;=16,"Afternoon (12-16)",IF(C52&lt;=20,"Evening (17-20)","Late (21-23)")))))</f>
        <v>Night (00-05)</v>
      </c>
    </row>
    <row r="53" customFormat="false" ht="15" hidden="false" customHeight="false" outlineLevel="0" collapsed="false">
      <c r="A53" s="37" t="s">
        <v>158</v>
      </c>
      <c r="B53" s="38" t="n">
        <v>46317</v>
      </c>
      <c r="C53" s="37" t="n">
        <v>0</v>
      </c>
      <c r="D53" s="37" t="s">
        <v>37</v>
      </c>
      <c r="E53" s="37" t="s">
        <v>48</v>
      </c>
      <c r="F53" s="37" t="s">
        <v>23</v>
      </c>
      <c r="G53" s="39" t="b">
        <f aca="false">TRUE()</f>
        <v>1</v>
      </c>
      <c r="H53" s="37" t="n">
        <v>411.21</v>
      </c>
      <c r="I53" s="37" t="n">
        <v>5</v>
      </c>
      <c r="J53" s="37" t="n">
        <v>50</v>
      </c>
      <c r="K53" s="37" t="n">
        <v>0</v>
      </c>
      <c r="L53" s="37" t="str">
        <f aca="false">IF(C53="","",IF(C53&lt;=5,"Night (00-05)",IF(C53&lt;=11,"Morning (06-11)",IF(C53&lt;=16,"Afternoon (12-16)",IF(C53&lt;=20,"Evening (17-20)","Late (21-23)")))))</f>
        <v>Night (00-05)</v>
      </c>
    </row>
    <row r="54" customFormat="false" ht="15" hidden="false" customHeight="false" outlineLevel="0" collapsed="false">
      <c r="A54" s="37" t="s">
        <v>159</v>
      </c>
      <c r="B54" s="38" t="n">
        <v>46321</v>
      </c>
      <c r="C54" s="37" t="n">
        <v>14</v>
      </c>
      <c r="D54" s="37" t="s">
        <v>37</v>
      </c>
      <c r="E54" s="37" t="s">
        <v>49</v>
      </c>
      <c r="F54" s="37" t="s">
        <v>23</v>
      </c>
      <c r="G54" s="39" t="b">
        <f aca="false">TRUE()</f>
        <v>1</v>
      </c>
      <c r="H54" s="37" t="n">
        <v>646.19</v>
      </c>
      <c r="I54" s="37" t="n">
        <v>5</v>
      </c>
      <c r="J54" s="37" t="n">
        <v>20</v>
      </c>
      <c r="K54" s="37" t="n">
        <v>0</v>
      </c>
      <c r="L54" s="37" t="str">
        <f aca="false">IF(C54="","",IF(C54&lt;=5,"Night (00-05)",IF(C54&lt;=11,"Morning (06-11)",IF(C54&lt;=16,"Afternoon (12-16)",IF(C54&lt;=20,"Evening (17-20)","Late (21-23)")))))</f>
        <v>Afternoon (12-16)</v>
      </c>
    </row>
    <row r="55" customFormat="false" ht="15" hidden="false" customHeight="false" outlineLevel="0" collapsed="false">
      <c r="A55" s="37" t="s">
        <v>160</v>
      </c>
      <c r="B55" s="38" t="n">
        <v>46322</v>
      </c>
      <c r="C55" s="37" t="n">
        <v>2</v>
      </c>
      <c r="D55" s="37" t="s">
        <v>39</v>
      </c>
      <c r="E55" s="37" t="s">
        <v>48</v>
      </c>
      <c r="F55" s="37" t="s">
        <v>113</v>
      </c>
      <c r="G55" s="39" t="b">
        <f aca="false">TRUE()</f>
        <v>1</v>
      </c>
      <c r="H55" s="37" t="n">
        <v>369.35</v>
      </c>
      <c r="K55" s="37" t="n">
        <v>0</v>
      </c>
      <c r="L55" s="37" t="str">
        <f aca="false">IF(C55="","",IF(C55&lt;=5,"Night (00-05)",IF(C55&lt;=11,"Morning (06-11)",IF(C55&lt;=16,"Afternoon (12-16)",IF(C55&lt;=20,"Evening (17-20)","Late (21-23)")))))</f>
        <v>Night (00-05)</v>
      </c>
    </row>
    <row r="56" customFormat="false" ht="15" hidden="false" customHeight="false" outlineLevel="0" collapsed="false">
      <c r="A56" s="37" t="s">
        <v>161</v>
      </c>
      <c r="B56" s="38" t="n">
        <v>46319</v>
      </c>
      <c r="C56" s="37" t="n">
        <v>21</v>
      </c>
      <c r="D56" s="37" t="s">
        <v>38</v>
      </c>
      <c r="E56" s="37" t="s">
        <v>49</v>
      </c>
      <c r="F56" s="37" t="s">
        <v>23</v>
      </c>
      <c r="G56" s="39" t="b">
        <f aca="false">TRUE()</f>
        <v>1</v>
      </c>
      <c r="H56" s="37" t="n">
        <v>892.34</v>
      </c>
      <c r="I56" s="37" t="n">
        <v>5</v>
      </c>
      <c r="J56" s="37" t="n">
        <v>53</v>
      </c>
      <c r="K56" s="37" t="n">
        <v>0</v>
      </c>
      <c r="L56" s="37" t="str">
        <f aca="false">IF(C56="","",IF(C56&lt;=5,"Night (00-05)",IF(C56&lt;=11,"Morning (06-11)",IF(C56&lt;=16,"Afternoon (12-16)",IF(C56&lt;=20,"Evening (17-20)","Late (21-23)")))))</f>
        <v>Late (21-23)</v>
      </c>
    </row>
    <row r="57" customFormat="false" ht="15" hidden="false" customHeight="false" outlineLevel="0" collapsed="false">
      <c r="A57" s="37" t="s">
        <v>162</v>
      </c>
      <c r="B57" s="38" t="n">
        <v>46319</v>
      </c>
      <c r="C57" s="37" t="n">
        <v>18</v>
      </c>
      <c r="D57" s="37" t="s">
        <v>39</v>
      </c>
      <c r="E57" s="37" t="s">
        <v>49</v>
      </c>
      <c r="F57" s="37" t="s">
        <v>23</v>
      </c>
      <c r="G57" s="39" t="b">
        <f aca="false">TRUE()</f>
        <v>1</v>
      </c>
      <c r="H57" s="37" t="n">
        <v>631.23</v>
      </c>
      <c r="I57" s="37" t="n">
        <v>5</v>
      </c>
      <c r="J57" s="37" t="n">
        <v>30</v>
      </c>
      <c r="K57" s="37" t="n">
        <v>0</v>
      </c>
      <c r="L57" s="37" t="str">
        <f aca="false">IF(C57="","",IF(C57&lt;=5,"Night (00-05)",IF(C57&lt;=11,"Morning (06-11)",IF(C57&lt;=16,"Afternoon (12-16)",IF(C57&lt;=20,"Evening (17-20)","Late (21-23)")))))</f>
        <v>Evening (17-20)</v>
      </c>
    </row>
    <row r="58" customFormat="false" ht="15" hidden="false" customHeight="false" outlineLevel="0" collapsed="false">
      <c r="A58" s="37" t="s">
        <v>163</v>
      </c>
      <c r="B58" s="38" t="n">
        <v>46318</v>
      </c>
      <c r="C58" s="37" t="n">
        <v>21</v>
      </c>
      <c r="D58" s="37" t="s">
        <v>40</v>
      </c>
      <c r="E58" s="37" t="s">
        <v>49</v>
      </c>
      <c r="F58" s="37" t="s">
        <v>23</v>
      </c>
      <c r="G58" s="39" t="b">
        <f aca="false">TRUE()</f>
        <v>1</v>
      </c>
      <c r="H58" s="37" t="n">
        <v>1000.4</v>
      </c>
      <c r="I58" s="37" t="n">
        <v>5</v>
      </c>
      <c r="J58" s="37" t="n">
        <v>24</v>
      </c>
      <c r="K58" s="37" t="n">
        <v>0</v>
      </c>
      <c r="L58" s="37" t="str">
        <f aca="false">IF(C58="","",IF(C58&lt;=5,"Night (00-05)",IF(C58&lt;=11,"Morning (06-11)",IF(C58&lt;=16,"Afternoon (12-16)",IF(C58&lt;=20,"Evening (17-20)","Late (21-23)")))))</f>
        <v>Late (21-23)</v>
      </c>
    </row>
    <row r="59" customFormat="false" ht="15" hidden="false" customHeight="false" outlineLevel="0" collapsed="false">
      <c r="A59" s="37" t="s">
        <v>164</v>
      </c>
      <c r="B59" s="38" t="n">
        <v>46316</v>
      </c>
      <c r="C59" s="37" t="n">
        <v>17</v>
      </c>
      <c r="D59" s="37" t="s">
        <v>38</v>
      </c>
      <c r="E59" s="37" t="s">
        <v>48</v>
      </c>
      <c r="F59" s="37" t="s">
        <v>23</v>
      </c>
      <c r="G59" s="39" t="b">
        <f aca="false">TRUE()</f>
        <v>1</v>
      </c>
      <c r="H59" s="37" t="n">
        <v>904.58</v>
      </c>
      <c r="I59" s="37" t="n">
        <v>5</v>
      </c>
      <c r="J59" s="37" t="n">
        <v>29</v>
      </c>
      <c r="K59" s="37" t="n">
        <v>0</v>
      </c>
      <c r="L59" s="37" t="str">
        <f aca="false">IF(C59="","",IF(C59&lt;=5,"Night (00-05)",IF(C59&lt;=11,"Morning (06-11)",IF(C59&lt;=16,"Afternoon (12-16)",IF(C59&lt;=20,"Evening (17-20)","Late (21-23)")))))</f>
        <v>Evening (17-20)</v>
      </c>
    </row>
    <row r="60" customFormat="false" ht="15" hidden="false" customHeight="false" outlineLevel="0" collapsed="false">
      <c r="A60" s="37" t="s">
        <v>165</v>
      </c>
      <c r="B60" s="38" t="n">
        <v>46315</v>
      </c>
      <c r="C60" s="37" t="n">
        <v>20</v>
      </c>
      <c r="D60" s="37" t="s">
        <v>39</v>
      </c>
      <c r="E60" s="37" t="s">
        <v>49</v>
      </c>
      <c r="F60" s="37" t="s">
        <v>23</v>
      </c>
      <c r="G60" s="39" t="b">
        <f aca="false">TRUE()</f>
        <v>1</v>
      </c>
      <c r="H60" s="37" t="n">
        <v>323.91</v>
      </c>
      <c r="I60" s="37" t="n">
        <v>5</v>
      </c>
      <c r="J60" s="37" t="n">
        <v>44</v>
      </c>
      <c r="K60" s="37" t="n">
        <v>0</v>
      </c>
      <c r="L60" s="37" t="str">
        <f aca="false">IF(C60="","",IF(C60&lt;=5,"Night (00-05)",IF(C60&lt;=11,"Morning (06-11)",IF(C60&lt;=16,"Afternoon (12-16)",IF(C60&lt;=20,"Evening (17-20)","Late (21-23)")))))</f>
        <v>Evening (17-20)</v>
      </c>
    </row>
    <row r="61" customFormat="false" ht="15" hidden="false" customHeight="false" outlineLevel="0" collapsed="false">
      <c r="A61" s="37" t="s">
        <v>166</v>
      </c>
      <c r="B61" s="38" t="n">
        <v>46320</v>
      </c>
      <c r="C61" s="37" t="n">
        <v>4</v>
      </c>
      <c r="D61" s="37" t="s">
        <v>39</v>
      </c>
      <c r="E61" s="37" t="s">
        <v>49</v>
      </c>
      <c r="F61" s="37" t="s">
        <v>23</v>
      </c>
      <c r="G61" s="39" t="b">
        <f aca="false">TRUE()</f>
        <v>1</v>
      </c>
      <c r="H61" s="37" t="n">
        <v>301.36</v>
      </c>
      <c r="I61" s="37" t="n">
        <v>5</v>
      </c>
      <c r="J61" s="37" t="n">
        <v>44</v>
      </c>
      <c r="K61" s="37" t="n">
        <v>0</v>
      </c>
      <c r="L61" s="37" t="str">
        <f aca="false">IF(C61="","",IF(C61&lt;=5,"Night (00-05)",IF(C61&lt;=11,"Morning (06-11)",IF(C61&lt;=16,"Afternoon (12-16)",IF(C61&lt;=20,"Evening (17-20)","Late (21-23)")))))</f>
        <v>Night (00-05)</v>
      </c>
    </row>
    <row r="62" customFormat="false" ht="15" hidden="false" customHeight="false" outlineLevel="0" collapsed="false">
      <c r="A62" s="37" t="s">
        <v>167</v>
      </c>
      <c r="B62" s="38" t="n">
        <v>46321</v>
      </c>
      <c r="C62" s="37" t="n">
        <v>20</v>
      </c>
      <c r="D62" s="37" t="s">
        <v>37</v>
      </c>
      <c r="E62" s="37" t="s">
        <v>49</v>
      </c>
      <c r="F62" s="37" t="s">
        <v>23</v>
      </c>
      <c r="G62" s="39" t="b">
        <f aca="false">TRUE()</f>
        <v>1</v>
      </c>
      <c r="H62" s="37" t="n">
        <v>508.71</v>
      </c>
      <c r="I62" s="37" t="n">
        <v>4</v>
      </c>
      <c r="J62" s="37" t="n">
        <v>21</v>
      </c>
      <c r="K62" s="37" t="n">
        <v>0</v>
      </c>
      <c r="L62" s="37" t="str">
        <f aca="false">IF(C62="","",IF(C62&lt;=5,"Night (00-05)",IF(C62&lt;=11,"Morning (06-11)",IF(C62&lt;=16,"Afternoon (12-16)",IF(C62&lt;=20,"Evening (17-20)","Late (21-23)")))))</f>
        <v>Evening (17-20)</v>
      </c>
    </row>
    <row r="63" customFormat="false" ht="15" hidden="false" customHeight="false" outlineLevel="0" collapsed="false">
      <c r="A63" s="37" t="s">
        <v>168</v>
      </c>
      <c r="B63" s="38" t="n">
        <v>46321</v>
      </c>
      <c r="C63" s="37" t="n">
        <v>1</v>
      </c>
      <c r="D63" s="37" t="s">
        <v>37</v>
      </c>
      <c r="E63" s="37" t="s">
        <v>49</v>
      </c>
      <c r="F63" s="37" t="s">
        <v>129</v>
      </c>
      <c r="G63" s="39" t="b">
        <f aca="false">FALSE()</f>
        <v>0</v>
      </c>
      <c r="H63" s="37" t="n">
        <v>858.77</v>
      </c>
      <c r="K63" s="37" t="n">
        <v>0</v>
      </c>
      <c r="L63" s="37" t="str">
        <f aca="false">IF(C63="","",IF(C63&lt;=5,"Night (00-05)",IF(C63&lt;=11,"Morning (06-11)",IF(C63&lt;=16,"Afternoon (12-16)",IF(C63&lt;=20,"Evening (17-20)","Late (21-23)")))))</f>
        <v>Night (00-05)</v>
      </c>
    </row>
    <row r="64" customFormat="false" ht="15" hidden="false" customHeight="false" outlineLevel="0" collapsed="false">
      <c r="A64" s="37" t="s">
        <v>169</v>
      </c>
      <c r="B64" s="38" t="n">
        <v>46319</v>
      </c>
      <c r="C64" s="37" t="n">
        <v>11</v>
      </c>
      <c r="D64" s="37" t="s">
        <v>38</v>
      </c>
      <c r="E64" s="37" t="s">
        <v>47</v>
      </c>
      <c r="F64" s="37" t="s">
        <v>23</v>
      </c>
      <c r="G64" s="39" t="b">
        <f aca="false">TRUE()</f>
        <v>1</v>
      </c>
      <c r="H64" s="37" t="n">
        <v>1248.92</v>
      </c>
      <c r="I64" s="37" t="n">
        <v>4</v>
      </c>
      <c r="J64" s="37" t="n">
        <v>49</v>
      </c>
      <c r="K64" s="37" t="n">
        <v>0</v>
      </c>
      <c r="L64" s="37" t="str">
        <f aca="false">IF(C64="","",IF(C64&lt;=5,"Night (00-05)",IF(C64&lt;=11,"Morning (06-11)",IF(C64&lt;=16,"Afternoon (12-16)",IF(C64&lt;=20,"Evening (17-20)","Late (21-23)")))))</f>
        <v>Morning (06-11)</v>
      </c>
    </row>
    <row r="65" customFormat="false" ht="15" hidden="false" customHeight="false" outlineLevel="0" collapsed="false">
      <c r="A65" s="37" t="s">
        <v>170</v>
      </c>
      <c r="B65" s="38" t="n">
        <v>46317</v>
      </c>
      <c r="C65" s="37" t="n">
        <v>19</v>
      </c>
      <c r="D65" s="37" t="s">
        <v>40</v>
      </c>
      <c r="E65" s="37" t="s">
        <v>46</v>
      </c>
      <c r="F65" s="37" t="s">
        <v>23</v>
      </c>
      <c r="G65" s="39" t="b">
        <f aca="false">TRUE()</f>
        <v>1</v>
      </c>
      <c r="H65" s="37" t="n">
        <v>1107.98</v>
      </c>
      <c r="I65" s="37" t="n">
        <v>4</v>
      </c>
      <c r="J65" s="37" t="n">
        <v>46</v>
      </c>
      <c r="K65" s="37" t="n">
        <v>0</v>
      </c>
      <c r="L65" s="37" t="str">
        <f aca="false">IF(C65="","",IF(C65&lt;=5,"Night (00-05)",IF(C65&lt;=11,"Morning (06-11)",IF(C65&lt;=16,"Afternoon (12-16)",IF(C65&lt;=20,"Evening (17-20)","Late (21-23)")))))</f>
        <v>Evening (17-20)</v>
      </c>
    </row>
    <row r="66" customFormat="false" ht="15" hidden="false" customHeight="false" outlineLevel="0" collapsed="false">
      <c r="A66" s="37" t="s">
        <v>171</v>
      </c>
      <c r="B66" s="38" t="n">
        <v>46315</v>
      </c>
      <c r="C66" s="37" t="n">
        <v>21</v>
      </c>
      <c r="D66" s="37" t="s">
        <v>38</v>
      </c>
      <c r="E66" s="37" t="s">
        <v>46</v>
      </c>
      <c r="F66" s="37" t="s">
        <v>23</v>
      </c>
      <c r="G66" s="39" t="b">
        <f aca="false">TRUE()</f>
        <v>1</v>
      </c>
      <c r="H66" s="37" t="n">
        <v>955.96</v>
      </c>
      <c r="I66" s="37" t="n">
        <v>5</v>
      </c>
      <c r="J66" s="37" t="n">
        <v>22</v>
      </c>
      <c r="K66" s="37" t="n">
        <v>0</v>
      </c>
      <c r="L66" s="37" t="str">
        <f aca="false">IF(C66="","",IF(C66&lt;=5,"Night (00-05)",IF(C66&lt;=11,"Morning (06-11)",IF(C66&lt;=16,"Afternoon (12-16)",IF(C66&lt;=20,"Evening (17-20)","Late (21-23)")))))</f>
        <v>Late (21-23)</v>
      </c>
    </row>
    <row r="67" customFormat="false" ht="15" hidden="false" customHeight="false" outlineLevel="0" collapsed="false">
      <c r="A67" s="37" t="s">
        <v>172</v>
      </c>
      <c r="B67" s="38" t="n">
        <v>46316</v>
      </c>
      <c r="C67" s="37" t="n">
        <v>16</v>
      </c>
      <c r="D67" s="37" t="s">
        <v>37</v>
      </c>
      <c r="E67" s="37" t="s">
        <v>48</v>
      </c>
      <c r="F67" s="37" t="s">
        <v>23</v>
      </c>
      <c r="G67" s="39" t="b">
        <f aca="false">TRUE()</f>
        <v>1</v>
      </c>
      <c r="H67" s="37" t="n">
        <v>462.11</v>
      </c>
      <c r="I67" s="37" t="n">
        <v>4</v>
      </c>
      <c r="J67" s="37" t="n">
        <v>33</v>
      </c>
      <c r="K67" s="37" t="n">
        <v>0</v>
      </c>
      <c r="L67" s="37" t="str">
        <f aca="false">IF(C67="","",IF(C67&lt;=5,"Night (00-05)",IF(C67&lt;=11,"Morning (06-11)",IF(C67&lt;=16,"Afternoon (12-16)",IF(C67&lt;=20,"Evening (17-20)","Late (21-23)")))))</f>
        <v>Afternoon (12-16)</v>
      </c>
    </row>
    <row r="68" customFormat="false" ht="15" hidden="false" customHeight="false" outlineLevel="0" collapsed="false">
      <c r="A68" s="37" t="s">
        <v>173</v>
      </c>
      <c r="B68" s="38" t="n">
        <v>46318</v>
      </c>
      <c r="C68" s="37" t="n">
        <v>2</v>
      </c>
      <c r="D68" s="37" t="s">
        <v>38</v>
      </c>
      <c r="E68" s="37" t="s">
        <v>48</v>
      </c>
      <c r="F68" s="37" t="s">
        <v>23</v>
      </c>
      <c r="G68" s="39" t="b">
        <f aca="false">TRUE()</f>
        <v>1</v>
      </c>
      <c r="H68" s="37" t="n">
        <v>1474.3</v>
      </c>
      <c r="I68" s="37" t="n">
        <v>5</v>
      </c>
      <c r="J68" s="37" t="n">
        <v>21</v>
      </c>
      <c r="K68" s="37" t="n">
        <v>0</v>
      </c>
      <c r="L68" s="37" t="str">
        <f aca="false">IF(C68="","",IF(C68&lt;=5,"Night (00-05)",IF(C68&lt;=11,"Morning (06-11)",IF(C68&lt;=16,"Afternoon (12-16)",IF(C68&lt;=20,"Evening (17-20)","Late (21-23)")))))</f>
        <v>Night (00-05)</v>
      </c>
    </row>
    <row r="69" customFormat="false" ht="15" hidden="false" customHeight="false" outlineLevel="0" collapsed="false">
      <c r="A69" s="37" t="s">
        <v>174</v>
      </c>
      <c r="B69" s="38" t="n">
        <v>46320</v>
      </c>
      <c r="C69" s="37" t="n">
        <v>0</v>
      </c>
      <c r="D69" s="37" t="s">
        <v>37</v>
      </c>
      <c r="E69" s="37" t="s">
        <v>47</v>
      </c>
      <c r="F69" s="37" t="s">
        <v>23</v>
      </c>
      <c r="G69" s="39" t="b">
        <f aca="false">TRUE()</f>
        <v>1</v>
      </c>
      <c r="H69" s="37" t="n">
        <v>695.05</v>
      </c>
      <c r="I69" s="37" t="n">
        <v>3</v>
      </c>
      <c r="J69" s="37" t="n">
        <v>35</v>
      </c>
      <c r="K69" s="37" t="n">
        <v>0</v>
      </c>
      <c r="L69" s="37" t="str">
        <f aca="false">IF(C69="","",IF(C69&lt;=5,"Night (00-05)",IF(C69&lt;=11,"Morning (06-11)",IF(C69&lt;=16,"Afternoon (12-16)",IF(C69&lt;=20,"Evening (17-20)","Late (21-23)")))))</f>
        <v>Night (00-05)</v>
      </c>
    </row>
    <row r="70" customFormat="false" ht="15" hidden="false" customHeight="false" outlineLevel="0" collapsed="false">
      <c r="A70" s="37" t="s">
        <v>175</v>
      </c>
      <c r="B70" s="38" t="n">
        <v>46321</v>
      </c>
      <c r="C70" s="37" t="n">
        <v>18</v>
      </c>
      <c r="D70" s="37" t="s">
        <v>38</v>
      </c>
      <c r="E70" s="37" t="s">
        <v>47</v>
      </c>
      <c r="F70" s="37" t="s">
        <v>23</v>
      </c>
      <c r="G70" s="39" t="b">
        <f aca="false">TRUE()</f>
        <v>1</v>
      </c>
      <c r="H70" s="37" t="n">
        <v>1042.04</v>
      </c>
      <c r="I70" s="37" t="n">
        <v>3</v>
      </c>
      <c r="J70" s="37" t="n">
        <v>43</v>
      </c>
      <c r="K70" s="37" t="n">
        <v>0</v>
      </c>
      <c r="L70" s="37" t="str">
        <f aca="false">IF(C70="","",IF(C70&lt;=5,"Night (00-05)",IF(C70&lt;=11,"Morning (06-11)",IF(C70&lt;=16,"Afternoon (12-16)",IF(C70&lt;=20,"Evening (17-20)","Late (21-23)")))))</f>
        <v>Evening (17-20)</v>
      </c>
    </row>
    <row r="71" customFormat="false" ht="15" hidden="false" customHeight="false" outlineLevel="0" collapsed="false">
      <c r="A71" s="37" t="s">
        <v>176</v>
      </c>
      <c r="B71" s="38" t="n">
        <v>46320</v>
      </c>
      <c r="C71" s="37" t="n">
        <v>18</v>
      </c>
      <c r="D71" s="37" t="s">
        <v>39</v>
      </c>
      <c r="E71" s="37" t="s">
        <v>47</v>
      </c>
      <c r="F71" s="37" t="s">
        <v>23</v>
      </c>
      <c r="G71" s="39" t="b">
        <f aca="false">TRUE()</f>
        <v>1</v>
      </c>
      <c r="H71" s="37" t="n">
        <v>472.41</v>
      </c>
      <c r="I71" s="37" t="n">
        <v>5</v>
      </c>
      <c r="J71" s="37" t="n">
        <v>49</v>
      </c>
      <c r="K71" s="37" t="n">
        <v>0</v>
      </c>
      <c r="L71" s="37" t="str">
        <f aca="false">IF(C71="","",IF(C71&lt;=5,"Night (00-05)",IF(C71&lt;=11,"Morning (06-11)",IF(C71&lt;=16,"Afternoon (12-16)",IF(C71&lt;=20,"Evening (17-20)","Late (21-23)")))))</f>
        <v>Evening (17-20)</v>
      </c>
    </row>
    <row r="72" customFormat="false" ht="15" hidden="false" customHeight="false" outlineLevel="0" collapsed="false">
      <c r="A72" s="37" t="s">
        <v>177</v>
      </c>
      <c r="B72" s="38" t="n">
        <v>46318</v>
      </c>
      <c r="C72" s="37" t="n">
        <v>16</v>
      </c>
      <c r="D72" s="37" t="s">
        <v>40</v>
      </c>
      <c r="E72" s="37" t="s">
        <v>49</v>
      </c>
      <c r="F72" s="37" t="s">
        <v>23</v>
      </c>
      <c r="G72" s="39" t="b">
        <f aca="false">TRUE()</f>
        <v>1</v>
      </c>
      <c r="H72" s="37" t="n">
        <v>870.9</v>
      </c>
      <c r="I72" s="37" t="n">
        <v>4</v>
      </c>
      <c r="J72" s="37" t="n">
        <v>37</v>
      </c>
      <c r="K72" s="37" t="n">
        <v>0</v>
      </c>
      <c r="L72" s="37" t="str">
        <f aca="false">IF(C72="","",IF(C72&lt;=5,"Night (00-05)",IF(C72&lt;=11,"Morning (06-11)",IF(C72&lt;=16,"Afternoon (12-16)",IF(C72&lt;=20,"Evening (17-20)","Late (21-23)")))))</f>
        <v>Afternoon (12-16)</v>
      </c>
    </row>
    <row r="73" customFormat="false" ht="15" hidden="false" customHeight="false" outlineLevel="0" collapsed="false">
      <c r="A73" s="37" t="s">
        <v>178</v>
      </c>
      <c r="B73" s="38" t="n">
        <v>46317</v>
      </c>
      <c r="C73" s="37" t="n">
        <v>2</v>
      </c>
      <c r="D73" s="37" t="s">
        <v>39</v>
      </c>
      <c r="E73" s="37" t="s">
        <v>48</v>
      </c>
      <c r="F73" s="37" t="s">
        <v>23</v>
      </c>
      <c r="G73" s="39" t="b">
        <f aca="false">TRUE()</f>
        <v>1</v>
      </c>
      <c r="H73" s="37" t="n">
        <v>599.19</v>
      </c>
      <c r="I73" s="37" t="n">
        <v>4</v>
      </c>
      <c r="J73" s="37" t="n">
        <v>44</v>
      </c>
      <c r="K73" s="37" t="n">
        <v>0</v>
      </c>
      <c r="L73" s="37" t="str">
        <f aca="false">IF(C73="","",IF(C73&lt;=5,"Night (00-05)",IF(C73&lt;=11,"Morning (06-11)",IF(C73&lt;=16,"Afternoon (12-16)",IF(C73&lt;=20,"Evening (17-20)","Late (21-23)")))))</f>
        <v>Night (00-05)</v>
      </c>
    </row>
    <row r="74" customFormat="false" ht="15" hidden="false" customHeight="false" outlineLevel="0" collapsed="false">
      <c r="A74" s="37" t="s">
        <v>179</v>
      </c>
      <c r="B74" s="38" t="n">
        <v>46319</v>
      </c>
      <c r="C74" s="37" t="n">
        <v>3</v>
      </c>
      <c r="D74" s="37" t="s">
        <v>37</v>
      </c>
      <c r="E74" s="37" t="s">
        <v>46</v>
      </c>
      <c r="F74" s="37" t="s">
        <v>23</v>
      </c>
      <c r="G74" s="39" t="b">
        <f aca="false">FALSE()</f>
        <v>0</v>
      </c>
      <c r="H74" s="37" t="n">
        <v>797.92</v>
      </c>
      <c r="I74" s="37" t="n">
        <v>1</v>
      </c>
      <c r="J74" s="37" t="n">
        <v>80</v>
      </c>
      <c r="K74" s="37" t="n">
        <v>1</v>
      </c>
      <c r="L74" s="37" t="str">
        <f aca="false">IF(C74="","",IF(C74&lt;=5,"Night (00-05)",IF(C74&lt;=11,"Morning (06-11)",IF(C74&lt;=16,"Afternoon (12-16)",IF(C74&lt;=20,"Evening (17-20)","Late (21-23)")))))</f>
        <v>Night (00-05)</v>
      </c>
    </row>
    <row r="75" customFormat="false" ht="15" hidden="false" customHeight="false" outlineLevel="0" collapsed="false">
      <c r="A75" s="37" t="s">
        <v>180</v>
      </c>
      <c r="B75" s="38" t="n">
        <v>46316</v>
      </c>
      <c r="C75" s="37" t="n">
        <v>14</v>
      </c>
      <c r="D75" s="37" t="s">
        <v>39</v>
      </c>
      <c r="E75" s="37" t="s">
        <v>48</v>
      </c>
      <c r="F75" s="37" t="s">
        <v>23</v>
      </c>
      <c r="G75" s="39" t="b">
        <f aca="false">TRUE()</f>
        <v>1</v>
      </c>
      <c r="H75" s="37" t="n">
        <v>575.24</v>
      </c>
      <c r="I75" s="37" t="n">
        <v>4</v>
      </c>
      <c r="J75" s="37" t="n">
        <v>51</v>
      </c>
      <c r="K75" s="37" t="n">
        <v>0</v>
      </c>
      <c r="L75" s="37" t="str">
        <f aca="false">IF(C75="","",IF(C75&lt;=5,"Night (00-05)",IF(C75&lt;=11,"Morning (06-11)",IF(C75&lt;=16,"Afternoon (12-16)",IF(C75&lt;=20,"Evening (17-20)","Late (21-23)")))))</f>
        <v>Afternoon (12-16)</v>
      </c>
    </row>
    <row r="76" customFormat="false" ht="15" hidden="false" customHeight="false" outlineLevel="0" collapsed="false">
      <c r="A76" s="37" t="s">
        <v>181</v>
      </c>
      <c r="B76" s="38" t="n">
        <v>46315</v>
      </c>
      <c r="C76" s="37" t="n">
        <v>15</v>
      </c>
      <c r="D76" s="37" t="s">
        <v>37</v>
      </c>
      <c r="E76" s="37" t="s">
        <v>46</v>
      </c>
      <c r="F76" s="37" t="s">
        <v>23</v>
      </c>
      <c r="G76" s="39" t="b">
        <f aca="false">TRUE()</f>
        <v>1</v>
      </c>
      <c r="H76" s="37" t="n">
        <v>730.98</v>
      </c>
      <c r="I76" s="37" t="n">
        <v>4</v>
      </c>
      <c r="J76" s="37" t="n">
        <v>55</v>
      </c>
      <c r="K76" s="37" t="n">
        <v>0</v>
      </c>
      <c r="L76" s="37" t="str">
        <f aca="false">IF(C76="","",IF(C76&lt;=5,"Night (00-05)",IF(C76&lt;=11,"Morning (06-11)",IF(C76&lt;=16,"Afternoon (12-16)",IF(C76&lt;=20,"Evening (17-20)","Late (21-23)")))))</f>
        <v>Afternoon (12-16)</v>
      </c>
    </row>
    <row r="77" customFormat="false" ht="15" hidden="false" customHeight="false" outlineLevel="0" collapsed="false">
      <c r="A77" s="37" t="s">
        <v>182</v>
      </c>
      <c r="B77" s="38" t="n">
        <v>46319</v>
      </c>
      <c r="C77" s="37" t="n">
        <v>7</v>
      </c>
      <c r="D77" s="37" t="s">
        <v>40</v>
      </c>
      <c r="E77" s="37" t="s">
        <v>49</v>
      </c>
      <c r="F77" s="37" t="s">
        <v>23</v>
      </c>
      <c r="G77" s="39" t="b">
        <f aca="false">TRUE()</f>
        <v>1</v>
      </c>
      <c r="H77" s="37" t="n">
        <v>715.73</v>
      </c>
      <c r="I77" s="37" t="n">
        <v>5</v>
      </c>
      <c r="J77" s="37" t="n">
        <v>27</v>
      </c>
      <c r="K77" s="37" t="n">
        <v>0</v>
      </c>
      <c r="L77" s="37" t="str">
        <f aca="false">IF(C77="","",IF(C77&lt;=5,"Night (00-05)",IF(C77&lt;=11,"Morning (06-11)",IF(C77&lt;=16,"Afternoon (12-16)",IF(C77&lt;=20,"Evening (17-20)","Late (21-23)")))))</f>
        <v>Morning (06-11)</v>
      </c>
    </row>
    <row r="78" customFormat="false" ht="15" hidden="false" customHeight="false" outlineLevel="0" collapsed="false">
      <c r="A78" s="37" t="s">
        <v>183</v>
      </c>
      <c r="B78" s="38" t="n">
        <v>46317</v>
      </c>
      <c r="C78" s="37" t="n">
        <v>15</v>
      </c>
      <c r="D78" s="37" t="s">
        <v>37</v>
      </c>
      <c r="E78" s="37" t="s">
        <v>48</v>
      </c>
      <c r="F78" s="37" t="s">
        <v>23</v>
      </c>
      <c r="G78" s="39" t="b">
        <f aca="false">TRUE()</f>
        <v>1</v>
      </c>
      <c r="H78" s="37" t="n">
        <v>507.19</v>
      </c>
      <c r="I78" s="37" t="n">
        <v>5</v>
      </c>
      <c r="J78" s="37" t="n">
        <v>53</v>
      </c>
      <c r="K78" s="37" t="n">
        <v>0</v>
      </c>
      <c r="L78" s="37" t="str">
        <f aca="false">IF(C78="","",IF(C78&lt;=5,"Night (00-05)",IF(C78&lt;=11,"Morning (06-11)",IF(C78&lt;=16,"Afternoon (12-16)",IF(C78&lt;=20,"Evening (17-20)","Late (21-23)")))))</f>
        <v>Afternoon (12-16)</v>
      </c>
    </row>
    <row r="79" customFormat="false" ht="15" hidden="false" customHeight="false" outlineLevel="0" collapsed="false">
      <c r="A79" s="37" t="s">
        <v>184</v>
      </c>
      <c r="B79" s="38" t="n">
        <v>46316</v>
      </c>
      <c r="C79" s="37" t="n">
        <v>2</v>
      </c>
      <c r="D79" s="37" t="s">
        <v>40</v>
      </c>
      <c r="E79" s="37" t="s">
        <v>48</v>
      </c>
      <c r="F79" s="37" t="s">
        <v>23</v>
      </c>
      <c r="G79" s="39" t="b">
        <f aca="false">TRUE()</f>
        <v>1</v>
      </c>
      <c r="H79" s="37" t="n">
        <v>740.81</v>
      </c>
      <c r="I79" s="37" t="n">
        <v>4</v>
      </c>
      <c r="J79" s="37" t="n">
        <v>28</v>
      </c>
      <c r="K79" s="37" t="n">
        <v>0</v>
      </c>
      <c r="L79" s="37" t="str">
        <f aca="false">IF(C79="","",IF(C79&lt;=5,"Night (00-05)",IF(C79&lt;=11,"Morning (06-11)",IF(C79&lt;=16,"Afternoon (12-16)",IF(C79&lt;=20,"Evening (17-20)","Late (21-23)")))))</f>
        <v>Night (00-05)</v>
      </c>
    </row>
    <row r="80" customFormat="false" ht="15" hidden="false" customHeight="false" outlineLevel="0" collapsed="false">
      <c r="A80" s="37" t="s">
        <v>185</v>
      </c>
      <c r="B80" s="38" t="n">
        <v>46315</v>
      </c>
      <c r="C80" s="37" t="n">
        <v>23</v>
      </c>
      <c r="D80" s="37" t="s">
        <v>39</v>
      </c>
      <c r="E80" s="37" t="s">
        <v>47</v>
      </c>
      <c r="F80" s="37" t="s">
        <v>23</v>
      </c>
      <c r="G80" s="39" t="b">
        <f aca="false">TRUE()</f>
        <v>1</v>
      </c>
      <c r="H80" s="37" t="n">
        <v>648.09</v>
      </c>
      <c r="I80" s="37" t="n">
        <v>4</v>
      </c>
      <c r="J80" s="37" t="n">
        <v>50</v>
      </c>
      <c r="K80" s="37" t="n">
        <v>0</v>
      </c>
      <c r="L80" s="37" t="str">
        <f aca="false">IF(C80="","",IF(C80&lt;=5,"Night (00-05)",IF(C80&lt;=11,"Morning (06-11)",IF(C80&lt;=16,"Afternoon (12-16)",IF(C80&lt;=20,"Evening (17-20)","Late (21-23)")))))</f>
        <v>Late (21-23)</v>
      </c>
    </row>
    <row r="81" customFormat="false" ht="15" hidden="false" customHeight="false" outlineLevel="0" collapsed="false">
      <c r="A81" s="37" t="s">
        <v>186</v>
      </c>
      <c r="B81" s="38" t="n">
        <v>46317</v>
      </c>
      <c r="C81" s="37" t="n">
        <v>16</v>
      </c>
      <c r="D81" s="37" t="s">
        <v>39</v>
      </c>
      <c r="E81" s="37" t="s">
        <v>47</v>
      </c>
      <c r="F81" s="37" t="s">
        <v>23</v>
      </c>
      <c r="G81" s="39" t="b">
        <f aca="false">TRUE()</f>
        <v>1</v>
      </c>
      <c r="H81" s="37" t="n">
        <v>627.85</v>
      </c>
      <c r="I81" s="37" t="n">
        <v>5</v>
      </c>
      <c r="J81" s="37" t="n">
        <v>24</v>
      </c>
      <c r="K81" s="37" t="n">
        <v>0</v>
      </c>
      <c r="L81" s="37" t="str">
        <f aca="false">IF(C81="","",IF(C81&lt;=5,"Night (00-05)",IF(C81&lt;=11,"Morning (06-11)",IF(C81&lt;=16,"Afternoon (12-16)",IF(C81&lt;=20,"Evening (17-20)","Late (21-23)")))))</f>
        <v>Afternoon (12-16)</v>
      </c>
    </row>
    <row r="82" customFormat="false" ht="15" hidden="false" customHeight="false" outlineLevel="0" collapsed="false">
      <c r="A82" s="37" t="s">
        <v>187</v>
      </c>
      <c r="B82" s="38" t="n">
        <v>46320</v>
      </c>
      <c r="C82" s="37" t="n">
        <v>13</v>
      </c>
      <c r="D82" s="37" t="s">
        <v>40</v>
      </c>
      <c r="E82" s="37" t="s">
        <v>47</v>
      </c>
      <c r="F82" s="37" t="s">
        <v>23</v>
      </c>
      <c r="G82" s="39" t="b">
        <f aca="false">TRUE()</f>
        <v>1</v>
      </c>
      <c r="H82" s="37" t="n">
        <v>1294.13</v>
      </c>
      <c r="I82" s="37" t="n">
        <v>5</v>
      </c>
      <c r="J82" s="37" t="n">
        <v>46</v>
      </c>
      <c r="K82" s="37" t="n">
        <v>0</v>
      </c>
      <c r="L82" s="37" t="str">
        <f aca="false">IF(C82="","",IF(C82&lt;=5,"Night (00-05)",IF(C82&lt;=11,"Morning (06-11)",IF(C82&lt;=16,"Afternoon (12-16)",IF(C82&lt;=20,"Evening (17-20)","Late (21-23)")))))</f>
        <v>Afternoon (12-16)</v>
      </c>
    </row>
    <row r="83" customFormat="false" ht="15" hidden="false" customHeight="false" outlineLevel="0" collapsed="false">
      <c r="A83" s="37" t="s">
        <v>188</v>
      </c>
      <c r="B83" s="38" t="n">
        <v>46322</v>
      </c>
      <c r="C83" s="37" t="n">
        <v>0</v>
      </c>
      <c r="D83" s="37" t="s">
        <v>39</v>
      </c>
      <c r="E83" s="37" t="s">
        <v>49</v>
      </c>
      <c r="F83" s="37" t="s">
        <v>23</v>
      </c>
      <c r="G83" s="39" t="b">
        <f aca="false">TRUE()</f>
        <v>1</v>
      </c>
      <c r="H83" s="37" t="n">
        <v>662.4</v>
      </c>
      <c r="I83" s="37" t="n">
        <v>4</v>
      </c>
      <c r="J83" s="37" t="n">
        <v>47</v>
      </c>
      <c r="K83" s="37" t="n">
        <v>0</v>
      </c>
      <c r="L83" s="37" t="str">
        <f aca="false">IF(C83="","",IF(C83&lt;=5,"Night (00-05)",IF(C83&lt;=11,"Morning (06-11)",IF(C83&lt;=16,"Afternoon (12-16)",IF(C83&lt;=20,"Evening (17-20)","Late (21-23)")))))</f>
        <v>Night (00-05)</v>
      </c>
    </row>
    <row r="84" customFormat="false" ht="15" hidden="false" customHeight="false" outlineLevel="0" collapsed="false">
      <c r="A84" s="37" t="s">
        <v>189</v>
      </c>
      <c r="B84" s="38" t="n">
        <v>46319</v>
      </c>
      <c r="C84" s="37" t="n">
        <v>13</v>
      </c>
      <c r="D84" s="37" t="s">
        <v>37</v>
      </c>
      <c r="E84" s="37" t="s">
        <v>48</v>
      </c>
      <c r="F84" s="37" t="s">
        <v>23</v>
      </c>
      <c r="G84" s="39" t="b">
        <f aca="false">TRUE()</f>
        <v>1</v>
      </c>
      <c r="H84" s="37" t="n">
        <v>531.32</v>
      </c>
      <c r="I84" s="37" t="n">
        <v>4</v>
      </c>
      <c r="J84" s="37" t="n">
        <v>35</v>
      </c>
      <c r="K84" s="37" t="n">
        <v>0</v>
      </c>
      <c r="L84" s="37" t="str">
        <f aca="false">IF(C84="","",IF(C84&lt;=5,"Night (00-05)",IF(C84&lt;=11,"Morning (06-11)",IF(C84&lt;=16,"Afternoon (12-16)",IF(C84&lt;=20,"Evening (17-20)","Late (21-23)")))))</f>
        <v>Afternoon (12-16)</v>
      </c>
    </row>
    <row r="85" customFormat="false" ht="15" hidden="false" customHeight="false" outlineLevel="0" collapsed="false">
      <c r="A85" s="37" t="s">
        <v>190</v>
      </c>
      <c r="B85" s="38" t="n">
        <v>46315</v>
      </c>
      <c r="C85" s="37" t="n">
        <v>16</v>
      </c>
      <c r="D85" s="37" t="s">
        <v>39</v>
      </c>
      <c r="E85" s="37" t="s">
        <v>46</v>
      </c>
      <c r="F85" s="37" t="s">
        <v>23</v>
      </c>
      <c r="G85" s="39" t="b">
        <f aca="false">TRUE()</f>
        <v>1</v>
      </c>
      <c r="H85" s="37" t="n">
        <v>312.06</v>
      </c>
      <c r="I85" s="37" t="n">
        <v>5</v>
      </c>
      <c r="J85" s="37" t="n">
        <v>38</v>
      </c>
      <c r="K85" s="37" t="n">
        <v>0</v>
      </c>
      <c r="L85" s="37" t="str">
        <f aca="false">IF(C85="","",IF(C85&lt;=5,"Night (00-05)",IF(C85&lt;=11,"Morning (06-11)",IF(C85&lt;=16,"Afternoon (12-16)",IF(C85&lt;=20,"Evening (17-20)","Late (21-23)")))))</f>
        <v>Afternoon (12-16)</v>
      </c>
    </row>
    <row r="86" customFormat="false" ht="15" hidden="false" customHeight="false" outlineLevel="0" collapsed="false">
      <c r="A86" s="37" t="s">
        <v>191</v>
      </c>
      <c r="B86" s="38" t="n">
        <v>46318</v>
      </c>
      <c r="C86" s="37" t="n">
        <v>14</v>
      </c>
      <c r="D86" s="37" t="s">
        <v>40</v>
      </c>
      <c r="E86" s="37" t="s">
        <v>48</v>
      </c>
      <c r="F86" s="37" t="s">
        <v>23</v>
      </c>
      <c r="G86" s="39" t="b">
        <f aca="false">TRUE()</f>
        <v>1</v>
      </c>
      <c r="H86" s="37" t="n">
        <v>839.11</v>
      </c>
      <c r="I86" s="37" t="n">
        <v>5</v>
      </c>
      <c r="J86" s="37" t="n">
        <v>29</v>
      </c>
      <c r="K86" s="37" t="n">
        <v>0</v>
      </c>
      <c r="L86" s="37" t="str">
        <f aca="false">IF(C86="","",IF(C86&lt;=5,"Night (00-05)",IF(C86&lt;=11,"Morning (06-11)",IF(C86&lt;=16,"Afternoon (12-16)",IF(C86&lt;=20,"Evening (17-20)","Late (21-23)")))))</f>
        <v>Afternoon (12-16)</v>
      </c>
    </row>
    <row r="87" customFormat="false" ht="15" hidden="false" customHeight="false" outlineLevel="0" collapsed="false">
      <c r="A87" s="37" t="s">
        <v>192</v>
      </c>
      <c r="B87" s="38" t="n">
        <v>46321</v>
      </c>
      <c r="C87" s="37" t="n">
        <v>16</v>
      </c>
      <c r="D87" s="37" t="s">
        <v>40</v>
      </c>
      <c r="E87" s="37" t="s">
        <v>46</v>
      </c>
      <c r="F87" s="37" t="s">
        <v>23</v>
      </c>
      <c r="G87" s="39" t="b">
        <f aca="false">TRUE()</f>
        <v>1</v>
      </c>
      <c r="H87" s="37" t="n">
        <v>850.32</v>
      </c>
      <c r="I87" s="37" t="n">
        <v>5</v>
      </c>
      <c r="J87" s="37" t="n">
        <v>39</v>
      </c>
      <c r="K87" s="37" t="n">
        <v>0</v>
      </c>
      <c r="L87" s="37" t="str">
        <f aca="false">IF(C87="","",IF(C87&lt;=5,"Night (00-05)",IF(C87&lt;=11,"Morning (06-11)",IF(C87&lt;=16,"Afternoon (12-16)",IF(C87&lt;=20,"Evening (17-20)","Late (21-23)")))))</f>
        <v>Afternoon (12-16)</v>
      </c>
    </row>
    <row r="88" customFormat="false" ht="15" hidden="false" customHeight="false" outlineLevel="0" collapsed="false">
      <c r="A88" s="37" t="s">
        <v>193</v>
      </c>
      <c r="B88" s="38" t="n">
        <v>46317</v>
      </c>
      <c r="C88" s="37" t="n">
        <v>22</v>
      </c>
      <c r="D88" s="37" t="s">
        <v>38</v>
      </c>
      <c r="E88" s="37" t="s">
        <v>47</v>
      </c>
      <c r="F88" s="37" t="s">
        <v>23</v>
      </c>
      <c r="G88" s="39" t="b">
        <f aca="false">TRUE()</f>
        <v>1</v>
      </c>
      <c r="H88" s="37" t="n">
        <v>1421.6</v>
      </c>
      <c r="I88" s="37" t="n">
        <v>2</v>
      </c>
      <c r="J88" s="37" t="n">
        <v>36</v>
      </c>
      <c r="K88" s="37" t="n">
        <v>0</v>
      </c>
      <c r="L88" s="37" t="str">
        <f aca="false">IF(C88="","",IF(C88&lt;=5,"Night (00-05)",IF(C88&lt;=11,"Morning (06-11)",IF(C88&lt;=16,"Afternoon (12-16)",IF(C88&lt;=20,"Evening (17-20)","Late (21-23)")))))</f>
        <v>Late (21-23)</v>
      </c>
    </row>
    <row r="89" customFormat="false" ht="15" hidden="false" customHeight="false" outlineLevel="0" collapsed="false">
      <c r="A89" s="37" t="s">
        <v>194</v>
      </c>
      <c r="B89" s="38" t="n">
        <v>46317</v>
      </c>
      <c r="C89" s="37" t="n">
        <v>5</v>
      </c>
      <c r="D89" s="37" t="s">
        <v>38</v>
      </c>
      <c r="E89" s="37" t="s">
        <v>46</v>
      </c>
      <c r="F89" s="37" t="s">
        <v>129</v>
      </c>
      <c r="G89" s="39" t="b">
        <f aca="false">FALSE()</f>
        <v>0</v>
      </c>
      <c r="H89" s="37" t="n">
        <v>1202.37</v>
      </c>
      <c r="K89" s="37" t="n">
        <v>0</v>
      </c>
      <c r="L89" s="37" t="str">
        <f aca="false">IF(C89="","",IF(C89&lt;=5,"Night (00-05)",IF(C89&lt;=11,"Morning (06-11)",IF(C89&lt;=16,"Afternoon (12-16)",IF(C89&lt;=20,"Evening (17-20)","Late (21-23)")))))</f>
        <v>Night (00-05)</v>
      </c>
    </row>
    <row r="90" customFormat="false" ht="15" hidden="false" customHeight="false" outlineLevel="0" collapsed="false">
      <c r="A90" s="37" t="s">
        <v>195</v>
      </c>
      <c r="B90" s="38" t="n">
        <v>46316</v>
      </c>
      <c r="C90" s="37" t="n">
        <v>21</v>
      </c>
      <c r="D90" s="37" t="s">
        <v>40</v>
      </c>
      <c r="E90" s="37" t="s">
        <v>48</v>
      </c>
      <c r="F90" s="37" t="s">
        <v>23</v>
      </c>
      <c r="G90" s="39" t="b">
        <f aca="false">TRUE()</f>
        <v>1</v>
      </c>
      <c r="H90" s="37" t="n">
        <v>1296.56</v>
      </c>
      <c r="I90" s="37" t="n">
        <v>5</v>
      </c>
      <c r="J90" s="37" t="n">
        <v>51</v>
      </c>
      <c r="K90" s="37" t="n">
        <v>0</v>
      </c>
      <c r="L90" s="37" t="str">
        <f aca="false">IF(C90="","",IF(C90&lt;=5,"Night (00-05)",IF(C90&lt;=11,"Morning (06-11)",IF(C90&lt;=16,"Afternoon (12-16)",IF(C90&lt;=20,"Evening (17-20)","Late (21-23)")))))</f>
        <v>Late (21-23)</v>
      </c>
    </row>
    <row r="91" customFormat="false" ht="15" hidden="false" customHeight="false" outlineLevel="0" collapsed="false">
      <c r="A91" s="37" t="s">
        <v>196</v>
      </c>
      <c r="B91" s="38" t="n">
        <v>46318</v>
      </c>
      <c r="C91" s="37" t="n">
        <v>19</v>
      </c>
      <c r="D91" s="37" t="s">
        <v>38</v>
      </c>
      <c r="E91" s="37" t="s">
        <v>48</v>
      </c>
      <c r="F91" s="37" t="s">
        <v>23</v>
      </c>
      <c r="G91" s="39" t="b">
        <f aca="false">TRUE()</f>
        <v>1</v>
      </c>
      <c r="H91" s="37" t="n">
        <v>1029.86</v>
      </c>
      <c r="I91" s="37" t="n">
        <v>5</v>
      </c>
      <c r="J91" s="37" t="n">
        <v>38</v>
      </c>
      <c r="K91" s="37" t="n">
        <v>0</v>
      </c>
      <c r="L91" s="37" t="str">
        <f aca="false">IF(C91="","",IF(C91&lt;=5,"Night (00-05)",IF(C91&lt;=11,"Morning (06-11)",IF(C91&lt;=16,"Afternoon (12-16)",IF(C91&lt;=20,"Evening (17-20)","Late (21-23)")))))</f>
        <v>Evening (17-20)</v>
      </c>
    </row>
    <row r="92" customFormat="false" ht="15" hidden="false" customHeight="false" outlineLevel="0" collapsed="false">
      <c r="A92" s="37" t="s">
        <v>197</v>
      </c>
      <c r="B92" s="38" t="n">
        <v>46319</v>
      </c>
      <c r="C92" s="37" t="n">
        <v>2</v>
      </c>
      <c r="D92" s="37" t="s">
        <v>39</v>
      </c>
      <c r="E92" s="37" t="s">
        <v>47</v>
      </c>
      <c r="F92" s="37" t="s">
        <v>23</v>
      </c>
      <c r="G92" s="39" t="b">
        <f aca="false">TRUE()</f>
        <v>1</v>
      </c>
      <c r="H92" s="37" t="n">
        <v>424.81</v>
      </c>
      <c r="I92" s="37" t="n">
        <v>5</v>
      </c>
      <c r="J92" s="37" t="n">
        <v>45</v>
      </c>
      <c r="K92" s="37" t="n">
        <v>0</v>
      </c>
      <c r="L92" s="37" t="str">
        <f aca="false">IF(C92="","",IF(C92&lt;=5,"Night (00-05)",IF(C92&lt;=11,"Morning (06-11)",IF(C92&lt;=16,"Afternoon (12-16)",IF(C92&lt;=20,"Evening (17-20)","Late (21-23)")))))</f>
        <v>Night (00-05)</v>
      </c>
    </row>
    <row r="93" customFormat="false" ht="15" hidden="false" customHeight="false" outlineLevel="0" collapsed="false">
      <c r="A93" s="37" t="s">
        <v>198</v>
      </c>
      <c r="B93" s="38" t="n">
        <v>46322</v>
      </c>
      <c r="C93" s="37" t="n">
        <v>6</v>
      </c>
      <c r="D93" s="37" t="s">
        <v>39</v>
      </c>
      <c r="E93" s="37" t="s">
        <v>49</v>
      </c>
      <c r="F93" s="37" t="s">
        <v>23</v>
      </c>
      <c r="G93" s="39" t="b">
        <f aca="false">TRUE()</f>
        <v>1</v>
      </c>
      <c r="H93" s="37" t="n">
        <v>320.68</v>
      </c>
      <c r="I93" s="37" t="n">
        <v>5</v>
      </c>
      <c r="J93" s="37" t="n">
        <v>51</v>
      </c>
      <c r="K93" s="37" t="n">
        <v>0</v>
      </c>
      <c r="L93" s="37" t="str">
        <f aca="false">IF(C93="","",IF(C93&lt;=5,"Night (00-05)",IF(C93&lt;=11,"Morning (06-11)",IF(C93&lt;=16,"Afternoon (12-16)",IF(C93&lt;=20,"Evening (17-20)","Late (21-23)")))))</f>
        <v>Morning (06-11)</v>
      </c>
    </row>
    <row r="94" customFormat="false" ht="15" hidden="false" customHeight="false" outlineLevel="0" collapsed="false">
      <c r="A94" s="37" t="s">
        <v>199</v>
      </c>
      <c r="B94" s="38" t="n">
        <v>46321</v>
      </c>
      <c r="C94" s="37" t="n">
        <v>13</v>
      </c>
      <c r="D94" s="37" t="s">
        <v>37</v>
      </c>
      <c r="E94" s="37" t="s">
        <v>46</v>
      </c>
      <c r="F94" s="37" t="s">
        <v>23</v>
      </c>
      <c r="G94" s="39" t="b">
        <f aca="false">TRUE()</f>
        <v>1</v>
      </c>
      <c r="H94" s="37" t="n">
        <v>618.06</v>
      </c>
      <c r="I94" s="37" t="n">
        <v>2</v>
      </c>
      <c r="J94" s="37" t="n">
        <v>27</v>
      </c>
      <c r="K94" s="37" t="n">
        <v>0</v>
      </c>
      <c r="L94" s="37" t="str">
        <f aca="false">IF(C94="","",IF(C94&lt;=5,"Night (00-05)",IF(C94&lt;=11,"Morning (06-11)",IF(C94&lt;=16,"Afternoon (12-16)",IF(C94&lt;=20,"Evening (17-20)","Late (21-23)")))))</f>
        <v>Afternoon (12-16)</v>
      </c>
    </row>
    <row r="95" customFormat="false" ht="15" hidden="false" customHeight="false" outlineLevel="0" collapsed="false">
      <c r="A95" s="37" t="s">
        <v>200</v>
      </c>
      <c r="B95" s="38" t="n">
        <v>46321</v>
      </c>
      <c r="C95" s="37" t="n">
        <v>0</v>
      </c>
      <c r="D95" s="37" t="s">
        <v>37</v>
      </c>
      <c r="E95" s="37" t="s">
        <v>46</v>
      </c>
      <c r="F95" s="37" t="s">
        <v>23</v>
      </c>
      <c r="G95" s="39" t="b">
        <f aca="false">TRUE()</f>
        <v>1</v>
      </c>
      <c r="H95" s="37" t="n">
        <v>674.42</v>
      </c>
      <c r="I95" s="37" t="n">
        <v>4</v>
      </c>
      <c r="J95" s="37" t="n">
        <v>25</v>
      </c>
      <c r="K95" s="37" t="n">
        <v>0</v>
      </c>
      <c r="L95" s="37" t="str">
        <f aca="false">IF(C95="","",IF(C95&lt;=5,"Night (00-05)",IF(C95&lt;=11,"Morning (06-11)",IF(C95&lt;=16,"Afternoon (12-16)",IF(C95&lt;=20,"Evening (17-20)","Late (21-23)")))))</f>
        <v>Night (00-05)</v>
      </c>
    </row>
    <row r="96" customFormat="false" ht="15" hidden="false" customHeight="false" outlineLevel="0" collapsed="false">
      <c r="A96" s="37" t="s">
        <v>201</v>
      </c>
      <c r="B96" s="38" t="n">
        <v>46322</v>
      </c>
      <c r="C96" s="37" t="n">
        <v>3</v>
      </c>
      <c r="D96" s="37" t="s">
        <v>37</v>
      </c>
      <c r="E96" s="37" t="s">
        <v>49</v>
      </c>
      <c r="F96" s="37" t="s">
        <v>23</v>
      </c>
      <c r="G96" s="39" t="b">
        <f aca="false">TRUE()</f>
        <v>1</v>
      </c>
      <c r="H96" s="37" t="n">
        <v>865.33</v>
      </c>
      <c r="I96" s="37" t="n">
        <v>4</v>
      </c>
      <c r="J96" s="37" t="n">
        <v>37</v>
      </c>
      <c r="K96" s="37" t="n">
        <v>0</v>
      </c>
      <c r="L96" s="37" t="str">
        <f aca="false">IF(C96="","",IF(C96&lt;=5,"Night (00-05)",IF(C96&lt;=11,"Morning (06-11)",IF(C96&lt;=16,"Afternoon (12-16)",IF(C96&lt;=20,"Evening (17-20)","Late (21-23)")))))</f>
        <v>Night (00-05)</v>
      </c>
    </row>
    <row r="97" customFormat="false" ht="15" hidden="false" customHeight="false" outlineLevel="0" collapsed="false">
      <c r="A97" s="37" t="s">
        <v>202</v>
      </c>
      <c r="B97" s="38" t="n">
        <v>46319</v>
      </c>
      <c r="C97" s="37" t="n">
        <v>6</v>
      </c>
      <c r="D97" s="37" t="s">
        <v>37</v>
      </c>
      <c r="E97" s="37" t="s">
        <v>49</v>
      </c>
      <c r="F97" s="37" t="s">
        <v>23</v>
      </c>
      <c r="G97" s="39" t="b">
        <f aca="false">TRUE()</f>
        <v>1</v>
      </c>
      <c r="H97" s="37" t="n">
        <v>494.31</v>
      </c>
      <c r="I97" s="37" t="n">
        <v>5</v>
      </c>
      <c r="J97" s="37" t="n">
        <v>28</v>
      </c>
      <c r="K97" s="37" t="n">
        <v>0</v>
      </c>
      <c r="L97" s="37" t="str">
        <f aca="false">IF(C97="","",IF(C97&lt;=5,"Night (00-05)",IF(C97&lt;=11,"Morning (06-11)",IF(C97&lt;=16,"Afternoon (12-16)",IF(C97&lt;=20,"Evening (17-20)","Late (21-23)")))))</f>
        <v>Morning (06-11)</v>
      </c>
    </row>
    <row r="98" customFormat="false" ht="15" hidden="false" customHeight="false" outlineLevel="0" collapsed="false">
      <c r="A98" s="37" t="s">
        <v>203</v>
      </c>
      <c r="B98" s="38" t="n">
        <v>46318</v>
      </c>
      <c r="C98" s="37" t="n">
        <v>2</v>
      </c>
      <c r="D98" s="37" t="s">
        <v>40</v>
      </c>
      <c r="E98" s="37" t="s">
        <v>46</v>
      </c>
      <c r="F98" s="37" t="s">
        <v>23</v>
      </c>
      <c r="G98" s="39" t="b">
        <f aca="false">FALSE()</f>
        <v>0</v>
      </c>
      <c r="H98" s="37" t="n">
        <v>1155.44</v>
      </c>
      <c r="I98" s="37" t="n">
        <v>2</v>
      </c>
      <c r="J98" s="37" t="n">
        <v>82</v>
      </c>
      <c r="K98" s="37" t="n">
        <v>1</v>
      </c>
      <c r="L98" s="37" t="str">
        <f aca="false">IF(C98="","",IF(C98&lt;=5,"Night (00-05)",IF(C98&lt;=11,"Morning (06-11)",IF(C98&lt;=16,"Afternoon (12-16)",IF(C98&lt;=20,"Evening (17-20)","Late (21-23)")))))</f>
        <v>Night (00-05)</v>
      </c>
    </row>
    <row r="99" customFormat="false" ht="15" hidden="false" customHeight="false" outlineLevel="0" collapsed="false">
      <c r="A99" s="37" t="s">
        <v>204</v>
      </c>
      <c r="B99" s="38" t="n">
        <v>46320</v>
      </c>
      <c r="C99" s="37" t="n">
        <v>22</v>
      </c>
      <c r="D99" s="37" t="s">
        <v>39</v>
      </c>
      <c r="E99" s="37" t="s">
        <v>46</v>
      </c>
      <c r="F99" s="37" t="s">
        <v>23</v>
      </c>
      <c r="G99" s="39" t="b">
        <f aca="false">TRUE()</f>
        <v>1</v>
      </c>
      <c r="H99" s="37" t="n">
        <v>431.98</v>
      </c>
      <c r="I99" s="37" t="n">
        <v>4</v>
      </c>
      <c r="J99" s="37" t="n">
        <v>44</v>
      </c>
      <c r="K99" s="37" t="n">
        <v>0</v>
      </c>
      <c r="L99" s="37" t="str">
        <f aca="false">IF(C99="","",IF(C99&lt;=5,"Night (00-05)",IF(C99&lt;=11,"Morning (06-11)",IF(C99&lt;=16,"Afternoon (12-16)",IF(C99&lt;=20,"Evening (17-20)","Late (21-23)")))))</f>
        <v>Late (21-23)</v>
      </c>
    </row>
    <row r="100" customFormat="false" ht="15" hidden="false" customHeight="false" outlineLevel="0" collapsed="false">
      <c r="A100" s="37" t="s">
        <v>205</v>
      </c>
      <c r="B100" s="38" t="n">
        <v>46318</v>
      </c>
      <c r="C100" s="37" t="n">
        <v>3</v>
      </c>
      <c r="D100" s="37" t="s">
        <v>39</v>
      </c>
      <c r="E100" s="37" t="s">
        <v>48</v>
      </c>
      <c r="F100" s="37" t="s">
        <v>23</v>
      </c>
      <c r="G100" s="39" t="b">
        <f aca="false">TRUE()</f>
        <v>1</v>
      </c>
      <c r="H100" s="37" t="n">
        <v>641.41</v>
      </c>
      <c r="I100" s="37" t="n">
        <v>5</v>
      </c>
      <c r="J100" s="37" t="n">
        <v>40</v>
      </c>
      <c r="K100" s="37" t="n">
        <v>0</v>
      </c>
      <c r="L100" s="37" t="str">
        <f aca="false">IF(C100="","",IF(C100&lt;=5,"Night (00-05)",IF(C100&lt;=11,"Morning (06-11)",IF(C100&lt;=16,"Afternoon (12-16)",IF(C100&lt;=20,"Evening (17-20)","Late (21-23)")))))</f>
        <v>Night (00-05)</v>
      </c>
    </row>
    <row r="101" customFormat="false" ht="15" hidden="false" customHeight="false" outlineLevel="0" collapsed="false">
      <c r="A101" s="37" t="s">
        <v>206</v>
      </c>
      <c r="B101" s="38" t="n">
        <v>46321</v>
      </c>
      <c r="C101" s="37" t="n">
        <v>4</v>
      </c>
      <c r="D101" s="37" t="s">
        <v>37</v>
      </c>
      <c r="E101" s="37" t="s">
        <v>49</v>
      </c>
      <c r="F101" s="37" t="s">
        <v>23</v>
      </c>
      <c r="G101" s="39" t="b">
        <f aca="false">TRUE()</f>
        <v>1</v>
      </c>
      <c r="H101" s="37" t="n">
        <v>881.41</v>
      </c>
      <c r="I101" s="37" t="n">
        <v>5</v>
      </c>
      <c r="J101" s="37" t="n">
        <v>41</v>
      </c>
      <c r="K101" s="37" t="n">
        <v>0</v>
      </c>
      <c r="L101" s="37" t="str">
        <f aca="false">IF(C101="","",IF(C101&lt;=5,"Night (00-05)",IF(C101&lt;=11,"Morning (06-11)",IF(C101&lt;=16,"Afternoon (12-16)",IF(C101&lt;=20,"Evening (17-20)","Late (21-23)")))))</f>
        <v>Night (00-05)</v>
      </c>
    </row>
    <row r="102" customFormat="false" ht="15" hidden="false" customHeight="false" outlineLevel="0" collapsed="false">
      <c r="A102" s="37" t="s">
        <v>207</v>
      </c>
      <c r="B102" s="38" t="n">
        <v>46322</v>
      </c>
      <c r="C102" s="37" t="n">
        <v>3</v>
      </c>
      <c r="D102" s="37" t="s">
        <v>39</v>
      </c>
      <c r="E102" s="37" t="s">
        <v>47</v>
      </c>
      <c r="F102" s="37" t="s">
        <v>23</v>
      </c>
      <c r="G102" s="39" t="b">
        <f aca="false">TRUE()</f>
        <v>1</v>
      </c>
      <c r="H102" s="37" t="n">
        <v>587.98</v>
      </c>
      <c r="I102" s="37" t="n">
        <v>3</v>
      </c>
      <c r="J102" s="37" t="n">
        <v>29</v>
      </c>
      <c r="K102" s="37" t="n">
        <v>0</v>
      </c>
      <c r="L102" s="37" t="str">
        <f aca="false">IF(C102="","",IF(C102&lt;=5,"Night (00-05)",IF(C102&lt;=11,"Morning (06-11)",IF(C102&lt;=16,"Afternoon (12-16)",IF(C102&lt;=20,"Evening (17-20)","Late (21-23)")))))</f>
        <v>Night (00-05)</v>
      </c>
    </row>
    <row r="103" customFormat="false" ht="15" hidden="false" customHeight="false" outlineLevel="0" collapsed="false">
      <c r="A103" s="37" t="s">
        <v>208</v>
      </c>
      <c r="B103" s="38" t="n">
        <v>46322</v>
      </c>
      <c r="C103" s="37" t="n">
        <v>5</v>
      </c>
      <c r="D103" s="37" t="s">
        <v>39</v>
      </c>
      <c r="E103" s="37" t="s">
        <v>47</v>
      </c>
      <c r="F103" s="37" t="s">
        <v>23</v>
      </c>
      <c r="G103" s="39" t="b">
        <f aca="false">TRUE()</f>
        <v>1</v>
      </c>
      <c r="H103" s="37" t="n">
        <v>639.71</v>
      </c>
      <c r="I103" s="37" t="n">
        <v>4</v>
      </c>
      <c r="J103" s="37" t="n">
        <v>54</v>
      </c>
      <c r="K103" s="37" t="n">
        <v>0</v>
      </c>
      <c r="L103" s="37" t="str">
        <f aca="false">IF(C103="","",IF(C103&lt;=5,"Night (00-05)",IF(C103&lt;=11,"Morning (06-11)",IF(C103&lt;=16,"Afternoon (12-16)",IF(C103&lt;=20,"Evening (17-20)","Late (21-23)")))))</f>
        <v>Night (00-05)</v>
      </c>
    </row>
    <row r="104" customFormat="false" ht="15" hidden="false" customHeight="false" outlineLevel="0" collapsed="false">
      <c r="A104" s="37" t="s">
        <v>209</v>
      </c>
      <c r="B104" s="38" t="n">
        <v>46318</v>
      </c>
      <c r="C104" s="37" t="n">
        <v>0</v>
      </c>
      <c r="D104" s="37" t="s">
        <v>39</v>
      </c>
      <c r="E104" s="37" t="s">
        <v>47</v>
      </c>
      <c r="F104" s="37" t="s">
        <v>23</v>
      </c>
      <c r="G104" s="39" t="b">
        <f aca="false">TRUE()</f>
        <v>1</v>
      </c>
      <c r="H104" s="37" t="n">
        <v>545.98</v>
      </c>
      <c r="I104" s="37" t="n">
        <v>5</v>
      </c>
      <c r="J104" s="37" t="n">
        <v>38</v>
      </c>
      <c r="K104" s="37" t="n">
        <v>0</v>
      </c>
      <c r="L104" s="37" t="str">
        <f aca="false">IF(C104="","",IF(C104&lt;=5,"Night (00-05)",IF(C104&lt;=11,"Morning (06-11)",IF(C104&lt;=16,"Afternoon (12-16)",IF(C104&lt;=20,"Evening (17-20)","Late (21-23)")))))</f>
        <v>Night (00-05)</v>
      </c>
    </row>
    <row r="105" customFormat="false" ht="15" hidden="false" customHeight="false" outlineLevel="0" collapsed="false">
      <c r="A105" s="37" t="s">
        <v>210</v>
      </c>
      <c r="B105" s="38" t="n">
        <v>46320</v>
      </c>
      <c r="C105" s="37" t="n">
        <v>15</v>
      </c>
      <c r="D105" s="37" t="s">
        <v>38</v>
      </c>
      <c r="E105" s="37" t="s">
        <v>49</v>
      </c>
      <c r="F105" s="37" t="s">
        <v>23</v>
      </c>
      <c r="G105" s="39" t="b">
        <f aca="false">TRUE()</f>
        <v>1</v>
      </c>
      <c r="H105" s="37" t="n">
        <v>915.46</v>
      </c>
      <c r="I105" s="37" t="n">
        <v>2</v>
      </c>
      <c r="J105" s="37" t="n">
        <v>21</v>
      </c>
      <c r="K105" s="37" t="n">
        <v>0</v>
      </c>
      <c r="L105" s="37" t="str">
        <f aca="false">IF(C105="","",IF(C105&lt;=5,"Night (00-05)",IF(C105&lt;=11,"Morning (06-11)",IF(C105&lt;=16,"Afternoon (12-16)",IF(C105&lt;=20,"Evening (17-20)","Late (21-23)")))))</f>
        <v>Afternoon (12-16)</v>
      </c>
    </row>
    <row r="106" customFormat="false" ht="15" hidden="false" customHeight="false" outlineLevel="0" collapsed="false">
      <c r="A106" s="37" t="s">
        <v>211</v>
      </c>
      <c r="B106" s="38" t="n">
        <v>46321</v>
      </c>
      <c r="C106" s="37" t="n">
        <v>13</v>
      </c>
      <c r="D106" s="37" t="s">
        <v>39</v>
      </c>
      <c r="E106" s="37" t="s">
        <v>48</v>
      </c>
      <c r="F106" s="37" t="s">
        <v>23</v>
      </c>
      <c r="G106" s="39" t="b">
        <f aca="false">TRUE()</f>
        <v>1</v>
      </c>
      <c r="H106" s="37" t="n">
        <v>396.68</v>
      </c>
      <c r="I106" s="37" t="n">
        <v>4</v>
      </c>
      <c r="J106" s="37" t="n">
        <v>31</v>
      </c>
      <c r="K106" s="37" t="n">
        <v>0</v>
      </c>
      <c r="L106" s="37" t="str">
        <f aca="false">IF(C106="","",IF(C106&lt;=5,"Night (00-05)",IF(C106&lt;=11,"Morning (06-11)",IF(C106&lt;=16,"Afternoon (12-16)",IF(C106&lt;=20,"Evening (17-20)","Late (21-23)")))))</f>
        <v>Afternoon (12-16)</v>
      </c>
    </row>
    <row r="107" customFormat="false" ht="15" hidden="false" customHeight="false" outlineLevel="0" collapsed="false">
      <c r="A107" s="37" t="s">
        <v>212</v>
      </c>
      <c r="B107" s="38" t="n">
        <v>46316</v>
      </c>
      <c r="C107" s="37" t="n">
        <v>0</v>
      </c>
      <c r="D107" s="37" t="s">
        <v>37</v>
      </c>
      <c r="E107" s="37" t="s">
        <v>49</v>
      </c>
      <c r="F107" s="37" t="s">
        <v>23</v>
      </c>
      <c r="G107" s="39" t="b">
        <f aca="false">TRUE()</f>
        <v>1</v>
      </c>
      <c r="H107" s="37" t="n">
        <v>855.41</v>
      </c>
      <c r="I107" s="37" t="n">
        <v>5</v>
      </c>
      <c r="J107" s="37" t="n">
        <v>49</v>
      </c>
      <c r="K107" s="37" t="n">
        <v>0</v>
      </c>
      <c r="L107" s="37" t="str">
        <f aca="false">IF(C107="","",IF(C107&lt;=5,"Night (00-05)",IF(C107&lt;=11,"Morning (06-11)",IF(C107&lt;=16,"Afternoon (12-16)",IF(C107&lt;=20,"Evening (17-20)","Late (21-23)")))))</f>
        <v>Night (00-05)</v>
      </c>
    </row>
    <row r="108" customFormat="false" ht="15" hidden="false" customHeight="false" outlineLevel="0" collapsed="false">
      <c r="A108" s="37" t="s">
        <v>213</v>
      </c>
      <c r="B108" s="38" t="n">
        <v>46318</v>
      </c>
      <c r="C108" s="37" t="n">
        <v>17</v>
      </c>
      <c r="D108" s="37" t="s">
        <v>39</v>
      </c>
      <c r="E108" s="37" t="s">
        <v>46</v>
      </c>
      <c r="F108" s="37" t="s">
        <v>23</v>
      </c>
      <c r="G108" s="39" t="b">
        <f aca="false">TRUE()</f>
        <v>1</v>
      </c>
      <c r="H108" s="37" t="n">
        <v>570.04</v>
      </c>
      <c r="I108" s="37" t="n">
        <v>5</v>
      </c>
      <c r="J108" s="37" t="n">
        <v>48</v>
      </c>
      <c r="K108" s="37" t="n">
        <v>0</v>
      </c>
      <c r="L108" s="37" t="str">
        <f aca="false">IF(C108="","",IF(C108&lt;=5,"Night (00-05)",IF(C108&lt;=11,"Morning (06-11)",IF(C108&lt;=16,"Afternoon (12-16)",IF(C108&lt;=20,"Evening (17-20)","Late (21-23)")))))</f>
        <v>Evening (17-20)</v>
      </c>
    </row>
    <row r="109" customFormat="false" ht="15" hidden="false" customHeight="false" outlineLevel="0" collapsed="false">
      <c r="A109" s="37" t="s">
        <v>214</v>
      </c>
      <c r="B109" s="38" t="n">
        <v>46319</v>
      </c>
      <c r="C109" s="37" t="n">
        <v>18</v>
      </c>
      <c r="D109" s="37" t="s">
        <v>40</v>
      </c>
      <c r="E109" s="37" t="s">
        <v>49</v>
      </c>
      <c r="F109" s="37" t="s">
        <v>23</v>
      </c>
      <c r="G109" s="39" t="b">
        <f aca="false">TRUE()</f>
        <v>1</v>
      </c>
      <c r="H109" s="37" t="n">
        <v>1175.24</v>
      </c>
      <c r="I109" s="37" t="n">
        <v>5</v>
      </c>
      <c r="J109" s="37" t="n">
        <v>44</v>
      </c>
      <c r="K109" s="37" t="n">
        <v>0</v>
      </c>
      <c r="L109" s="37" t="str">
        <f aca="false">IF(C109="","",IF(C109&lt;=5,"Night (00-05)",IF(C109&lt;=11,"Morning (06-11)",IF(C109&lt;=16,"Afternoon (12-16)",IF(C109&lt;=20,"Evening (17-20)","Late (21-23)")))))</f>
        <v>Evening (17-20)</v>
      </c>
    </row>
    <row r="110" customFormat="false" ht="15" hidden="false" customHeight="false" outlineLevel="0" collapsed="false">
      <c r="A110" s="37" t="s">
        <v>215</v>
      </c>
      <c r="B110" s="38" t="n">
        <v>46315</v>
      </c>
      <c r="C110" s="37" t="n">
        <v>17</v>
      </c>
      <c r="D110" s="37" t="s">
        <v>40</v>
      </c>
      <c r="E110" s="37" t="s">
        <v>46</v>
      </c>
      <c r="F110" s="37" t="s">
        <v>23</v>
      </c>
      <c r="G110" s="39" t="b">
        <f aca="false">TRUE()</f>
        <v>1</v>
      </c>
      <c r="H110" s="37" t="n">
        <v>516.55</v>
      </c>
      <c r="I110" s="37" t="n">
        <v>4</v>
      </c>
      <c r="J110" s="37" t="n">
        <v>45</v>
      </c>
      <c r="K110" s="37" t="n">
        <v>0</v>
      </c>
      <c r="L110" s="37" t="str">
        <f aca="false">IF(C110="","",IF(C110&lt;=5,"Night (00-05)",IF(C110&lt;=11,"Morning (06-11)",IF(C110&lt;=16,"Afternoon (12-16)",IF(C110&lt;=20,"Evening (17-20)","Late (21-23)")))))</f>
        <v>Evening (17-20)</v>
      </c>
    </row>
    <row r="111" customFormat="false" ht="15" hidden="false" customHeight="false" outlineLevel="0" collapsed="false">
      <c r="A111" s="37" t="s">
        <v>216</v>
      </c>
      <c r="B111" s="38" t="n">
        <v>46320</v>
      </c>
      <c r="C111" s="37" t="n">
        <v>3</v>
      </c>
      <c r="D111" s="37" t="s">
        <v>38</v>
      </c>
      <c r="E111" s="37" t="s">
        <v>49</v>
      </c>
      <c r="F111" s="37" t="s">
        <v>113</v>
      </c>
      <c r="G111" s="39" t="b">
        <f aca="false">TRUE()</f>
        <v>1</v>
      </c>
      <c r="H111" s="37" t="n">
        <v>1381.99</v>
      </c>
      <c r="K111" s="37" t="n">
        <v>0</v>
      </c>
      <c r="L111" s="37" t="str">
        <f aca="false">IF(C111="","",IF(C111&lt;=5,"Night (00-05)",IF(C111&lt;=11,"Morning (06-11)",IF(C111&lt;=16,"Afternoon (12-16)",IF(C111&lt;=20,"Evening (17-20)","Late (21-23)")))))</f>
        <v>Night (00-05)</v>
      </c>
    </row>
    <row r="112" customFormat="false" ht="15" hidden="false" customHeight="false" outlineLevel="0" collapsed="false">
      <c r="A112" s="37" t="s">
        <v>217</v>
      </c>
      <c r="B112" s="38" t="n">
        <v>46322</v>
      </c>
      <c r="C112" s="37" t="n">
        <v>2</v>
      </c>
      <c r="D112" s="37" t="s">
        <v>40</v>
      </c>
      <c r="E112" s="37" t="s">
        <v>48</v>
      </c>
      <c r="F112" s="37" t="s">
        <v>23</v>
      </c>
      <c r="G112" s="39" t="b">
        <f aca="false">TRUE()</f>
        <v>1</v>
      </c>
      <c r="H112" s="37" t="n">
        <v>1008.29</v>
      </c>
      <c r="I112" s="37" t="n">
        <v>5</v>
      </c>
      <c r="J112" s="37" t="n">
        <v>28</v>
      </c>
      <c r="K112" s="37" t="n">
        <v>0</v>
      </c>
      <c r="L112" s="37" t="str">
        <f aca="false">IF(C112="","",IF(C112&lt;=5,"Night (00-05)",IF(C112&lt;=11,"Morning (06-11)",IF(C112&lt;=16,"Afternoon (12-16)",IF(C112&lt;=20,"Evening (17-20)","Late (21-23)")))))</f>
        <v>Night (00-05)</v>
      </c>
    </row>
    <row r="113" customFormat="false" ht="15" hidden="false" customHeight="false" outlineLevel="0" collapsed="false">
      <c r="A113" s="37" t="s">
        <v>218</v>
      </c>
      <c r="B113" s="38" t="n">
        <v>46321</v>
      </c>
      <c r="C113" s="37" t="n">
        <v>0</v>
      </c>
      <c r="D113" s="37" t="s">
        <v>39</v>
      </c>
      <c r="E113" s="37" t="s">
        <v>47</v>
      </c>
      <c r="F113" s="37" t="s">
        <v>23</v>
      </c>
      <c r="G113" s="39" t="b">
        <f aca="false">TRUE()</f>
        <v>1</v>
      </c>
      <c r="H113" s="37" t="n">
        <v>530.83</v>
      </c>
      <c r="I113" s="37" t="n">
        <v>5</v>
      </c>
      <c r="J113" s="37" t="n">
        <v>25</v>
      </c>
      <c r="K113" s="37" t="n">
        <v>0</v>
      </c>
      <c r="L113" s="37" t="str">
        <f aca="false">IF(C113="","",IF(C113&lt;=5,"Night (00-05)",IF(C113&lt;=11,"Morning (06-11)",IF(C113&lt;=16,"Afternoon (12-16)",IF(C113&lt;=20,"Evening (17-20)","Late (21-23)")))))</f>
        <v>Night (00-05)</v>
      </c>
    </row>
    <row r="114" customFormat="false" ht="15" hidden="false" customHeight="false" outlineLevel="0" collapsed="false">
      <c r="A114" s="37" t="s">
        <v>219</v>
      </c>
      <c r="B114" s="38" t="n">
        <v>46318</v>
      </c>
      <c r="C114" s="37" t="n">
        <v>1</v>
      </c>
      <c r="D114" s="37" t="s">
        <v>37</v>
      </c>
      <c r="E114" s="37" t="s">
        <v>46</v>
      </c>
      <c r="F114" s="37" t="s">
        <v>113</v>
      </c>
      <c r="G114" s="39" t="b">
        <f aca="false">TRUE()</f>
        <v>1</v>
      </c>
      <c r="H114" s="37" t="n">
        <v>664.43</v>
      </c>
      <c r="K114" s="37" t="n">
        <v>0</v>
      </c>
      <c r="L114" s="37" t="str">
        <f aca="false">IF(C114="","",IF(C114&lt;=5,"Night (00-05)",IF(C114&lt;=11,"Morning (06-11)",IF(C114&lt;=16,"Afternoon (12-16)",IF(C114&lt;=20,"Evening (17-20)","Late (21-23)")))))</f>
        <v>Night (00-05)</v>
      </c>
    </row>
    <row r="115" customFormat="false" ht="15" hidden="false" customHeight="false" outlineLevel="0" collapsed="false">
      <c r="A115" s="37" t="s">
        <v>220</v>
      </c>
      <c r="B115" s="38" t="n">
        <v>46321</v>
      </c>
      <c r="C115" s="37" t="n">
        <v>16</v>
      </c>
      <c r="D115" s="37" t="s">
        <v>39</v>
      </c>
      <c r="E115" s="37" t="s">
        <v>46</v>
      </c>
      <c r="F115" s="37" t="s">
        <v>23</v>
      </c>
      <c r="G115" s="39" t="b">
        <f aca="false">TRUE()</f>
        <v>1</v>
      </c>
      <c r="H115" s="37" t="n">
        <v>597.62</v>
      </c>
      <c r="I115" s="37" t="n">
        <v>4</v>
      </c>
      <c r="J115" s="37" t="n">
        <v>27</v>
      </c>
      <c r="K115" s="37" t="n">
        <v>0</v>
      </c>
      <c r="L115" s="37" t="str">
        <f aca="false">IF(C115="","",IF(C115&lt;=5,"Night (00-05)",IF(C115&lt;=11,"Morning (06-11)",IF(C115&lt;=16,"Afternoon (12-16)",IF(C115&lt;=20,"Evening (17-20)","Late (21-23)")))))</f>
        <v>Afternoon (12-16)</v>
      </c>
    </row>
    <row r="116" customFormat="false" ht="15" hidden="false" customHeight="false" outlineLevel="0" collapsed="false">
      <c r="A116" s="37" t="s">
        <v>221</v>
      </c>
      <c r="B116" s="38" t="n">
        <v>46315</v>
      </c>
      <c r="C116" s="37" t="n">
        <v>16</v>
      </c>
      <c r="D116" s="37" t="s">
        <v>39</v>
      </c>
      <c r="E116" s="37" t="s">
        <v>46</v>
      </c>
      <c r="F116" s="37" t="s">
        <v>23</v>
      </c>
      <c r="G116" s="39" t="b">
        <f aca="false">TRUE()</f>
        <v>1</v>
      </c>
      <c r="H116" s="37" t="n">
        <v>335.12</v>
      </c>
      <c r="I116" s="37" t="n">
        <v>4</v>
      </c>
      <c r="J116" s="37" t="n">
        <v>36</v>
      </c>
      <c r="K116" s="37" t="n">
        <v>0</v>
      </c>
      <c r="L116" s="37" t="str">
        <f aca="false">IF(C116="","",IF(C116&lt;=5,"Night (00-05)",IF(C116&lt;=11,"Morning (06-11)",IF(C116&lt;=16,"Afternoon (12-16)",IF(C116&lt;=20,"Evening (17-20)","Late (21-23)")))))</f>
        <v>Afternoon (12-16)</v>
      </c>
    </row>
    <row r="117" customFormat="false" ht="15" hidden="false" customHeight="false" outlineLevel="0" collapsed="false">
      <c r="A117" s="37" t="s">
        <v>222</v>
      </c>
      <c r="B117" s="38" t="n">
        <v>46318</v>
      </c>
      <c r="C117" s="37" t="n">
        <v>19</v>
      </c>
      <c r="D117" s="37" t="s">
        <v>40</v>
      </c>
      <c r="E117" s="37" t="s">
        <v>49</v>
      </c>
      <c r="F117" s="37" t="s">
        <v>113</v>
      </c>
      <c r="G117" s="39" t="b">
        <f aca="false">TRUE()</f>
        <v>1</v>
      </c>
      <c r="H117" s="37" t="n">
        <v>1156.93</v>
      </c>
      <c r="K117" s="37" t="n">
        <v>0</v>
      </c>
      <c r="L117" s="37" t="str">
        <f aca="false">IF(C117="","",IF(C117&lt;=5,"Night (00-05)",IF(C117&lt;=11,"Morning (06-11)",IF(C117&lt;=16,"Afternoon (12-16)",IF(C117&lt;=20,"Evening (17-20)","Late (21-23)")))))</f>
        <v>Evening (17-20)</v>
      </c>
    </row>
    <row r="118" customFormat="false" ht="15" hidden="false" customHeight="false" outlineLevel="0" collapsed="false">
      <c r="A118" s="37" t="s">
        <v>223</v>
      </c>
      <c r="B118" s="38" t="n">
        <v>46316</v>
      </c>
      <c r="C118" s="37" t="n">
        <v>0</v>
      </c>
      <c r="D118" s="37" t="s">
        <v>40</v>
      </c>
      <c r="E118" s="37" t="s">
        <v>48</v>
      </c>
      <c r="F118" s="37" t="s">
        <v>23</v>
      </c>
      <c r="G118" s="39" t="b">
        <f aca="false">TRUE()</f>
        <v>1</v>
      </c>
      <c r="H118" s="37" t="n">
        <v>1017.12</v>
      </c>
      <c r="I118" s="37" t="n">
        <v>5</v>
      </c>
      <c r="J118" s="37" t="n">
        <v>49</v>
      </c>
      <c r="K118" s="37" t="n">
        <v>0</v>
      </c>
      <c r="L118" s="37" t="str">
        <f aca="false">IF(C118="","",IF(C118&lt;=5,"Night (00-05)",IF(C118&lt;=11,"Morning (06-11)",IF(C118&lt;=16,"Afternoon (12-16)",IF(C118&lt;=20,"Evening (17-20)","Late (21-23)")))))</f>
        <v>Night (00-05)</v>
      </c>
    </row>
    <row r="119" customFormat="false" ht="15" hidden="false" customHeight="false" outlineLevel="0" collapsed="false">
      <c r="A119" s="37" t="s">
        <v>224</v>
      </c>
      <c r="B119" s="38" t="n">
        <v>46318</v>
      </c>
      <c r="C119" s="37" t="n">
        <v>0</v>
      </c>
      <c r="D119" s="37" t="s">
        <v>38</v>
      </c>
      <c r="E119" s="37" t="s">
        <v>47</v>
      </c>
      <c r="F119" s="37" t="s">
        <v>23</v>
      </c>
      <c r="G119" s="39" t="b">
        <f aca="false">TRUE()</f>
        <v>1</v>
      </c>
      <c r="H119" s="37" t="n">
        <v>1012.06</v>
      </c>
      <c r="I119" s="37" t="n">
        <v>4</v>
      </c>
      <c r="J119" s="37" t="n">
        <v>26</v>
      </c>
      <c r="K119" s="37" t="n">
        <v>0</v>
      </c>
      <c r="L119" s="37" t="str">
        <f aca="false">IF(C119="","",IF(C119&lt;=5,"Night (00-05)",IF(C119&lt;=11,"Morning (06-11)",IF(C119&lt;=16,"Afternoon (12-16)",IF(C119&lt;=20,"Evening (17-20)","Late (21-23)")))))</f>
        <v>Night (00-05)</v>
      </c>
    </row>
    <row r="120" customFormat="false" ht="15" hidden="false" customHeight="false" outlineLevel="0" collapsed="false">
      <c r="A120" s="37" t="s">
        <v>225</v>
      </c>
      <c r="B120" s="38" t="n">
        <v>46319</v>
      </c>
      <c r="C120" s="37" t="n">
        <v>16</v>
      </c>
      <c r="D120" s="37" t="s">
        <v>39</v>
      </c>
      <c r="E120" s="37" t="s">
        <v>48</v>
      </c>
      <c r="F120" s="37" t="s">
        <v>23</v>
      </c>
      <c r="G120" s="39" t="b">
        <f aca="false">TRUE()</f>
        <v>1</v>
      </c>
      <c r="H120" s="37" t="n">
        <v>653.17</v>
      </c>
      <c r="I120" s="37" t="n">
        <v>5</v>
      </c>
      <c r="J120" s="37" t="n">
        <v>51</v>
      </c>
      <c r="K120" s="37" t="n">
        <v>0</v>
      </c>
      <c r="L120" s="37" t="str">
        <f aca="false">IF(C120="","",IF(C120&lt;=5,"Night (00-05)",IF(C120&lt;=11,"Morning (06-11)",IF(C120&lt;=16,"Afternoon (12-16)",IF(C120&lt;=20,"Evening (17-20)","Late (21-23)")))))</f>
        <v>Afternoon (12-16)</v>
      </c>
    </row>
    <row r="121" customFormat="false" ht="15" hidden="false" customHeight="false" outlineLevel="0" collapsed="false">
      <c r="A121" s="37" t="s">
        <v>226</v>
      </c>
      <c r="B121" s="38" t="n">
        <v>46317</v>
      </c>
      <c r="C121" s="37" t="n">
        <v>11</v>
      </c>
      <c r="D121" s="37" t="s">
        <v>39</v>
      </c>
      <c r="E121" s="37" t="s">
        <v>49</v>
      </c>
      <c r="F121" s="37" t="s">
        <v>23</v>
      </c>
      <c r="G121" s="39" t="b">
        <f aca="false">TRUE()</f>
        <v>1</v>
      </c>
      <c r="H121" s="37" t="n">
        <v>679.22</v>
      </c>
      <c r="I121" s="37" t="n">
        <v>5</v>
      </c>
      <c r="J121" s="37" t="n">
        <v>26</v>
      </c>
      <c r="K121" s="37" t="n">
        <v>0</v>
      </c>
      <c r="L121" s="37" t="str">
        <f aca="false">IF(C121="","",IF(C121&lt;=5,"Night (00-05)",IF(C121&lt;=11,"Morning (06-11)",IF(C121&lt;=16,"Afternoon (12-16)",IF(C121&lt;=20,"Evening (17-20)","Late (21-23)")))))</f>
        <v>Morning (06-11)</v>
      </c>
    </row>
    <row r="122" customFormat="false" ht="15" hidden="false" customHeight="false" outlineLevel="0" collapsed="false">
      <c r="A122" s="37" t="s">
        <v>227</v>
      </c>
      <c r="B122" s="38" t="n">
        <v>46317</v>
      </c>
      <c r="C122" s="37" t="n">
        <v>23</v>
      </c>
      <c r="D122" s="37" t="s">
        <v>38</v>
      </c>
      <c r="E122" s="37" t="s">
        <v>49</v>
      </c>
      <c r="F122" s="37" t="s">
        <v>129</v>
      </c>
      <c r="G122" s="39" t="b">
        <f aca="false">FALSE()</f>
        <v>0</v>
      </c>
      <c r="H122" s="37" t="n">
        <v>992.12</v>
      </c>
      <c r="K122" s="37" t="n">
        <v>0</v>
      </c>
      <c r="L122" s="37" t="str">
        <f aca="false">IF(C122="","",IF(C122&lt;=5,"Night (00-05)",IF(C122&lt;=11,"Morning (06-11)",IF(C122&lt;=16,"Afternoon (12-16)",IF(C122&lt;=20,"Evening (17-20)","Late (21-23)")))))</f>
        <v>Late (21-23)</v>
      </c>
    </row>
    <row r="123" customFormat="false" ht="15" hidden="false" customHeight="false" outlineLevel="0" collapsed="false">
      <c r="A123" s="37" t="s">
        <v>228</v>
      </c>
      <c r="B123" s="38" t="n">
        <v>46322</v>
      </c>
      <c r="C123" s="37" t="n">
        <v>2</v>
      </c>
      <c r="D123" s="37" t="s">
        <v>37</v>
      </c>
      <c r="E123" s="37" t="s">
        <v>47</v>
      </c>
      <c r="F123" s="37" t="s">
        <v>23</v>
      </c>
      <c r="G123" s="39" t="b">
        <f aca="false">TRUE()</f>
        <v>1</v>
      </c>
      <c r="H123" s="37" t="n">
        <v>424.29</v>
      </c>
      <c r="I123" s="37" t="n">
        <v>5</v>
      </c>
      <c r="J123" s="37" t="n">
        <v>28</v>
      </c>
      <c r="K123" s="37" t="n">
        <v>0</v>
      </c>
      <c r="L123" s="37" t="str">
        <f aca="false">IF(C123="","",IF(C123&lt;=5,"Night (00-05)",IF(C123&lt;=11,"Morning (06-11)",IF(C123&lt;=16,"Afternoon (12-16)",IF(C123&lt;=20,"Evening (17-20)","Late (21-23)")))))</f>
        <v>Night (00-05)</v>
      </c>
    </row>
    <row r="124" customFormat="false" ht="15" hidden="false" customHeight="false" outlineLevel="0" collapsed="false">
      <c r="A124" s="37" t="s">
        <v>229</v>
      </c>
      <c r="B124" s="38" t="n">
        <v>46316</v>
      </c>
      <c r="C124" s="37" t="n">
        <v>14</v>
      </c>
      <c r="D124" s="37" t="s">
        <v>37</v>
      </c>
      <c r="E124" s="37" t="s">
        <v>48</v>
      </c>
      <c r="F124" s="37" t="s">
        <v>23</v>
      </c>
      <c r="G124" s="39" t="b">
        <f aca="false">TRUE()</f>
        <v>1</v>
      </c>
      <c r="H124" s="37" t="n">
        <v>805.53</v>
      </c>
      <c r="I124" s="37" t="n">
        <v>5</v>
      </c>
      <c r="J124" s="37" t="n">
        <v>29</v>
      </c>
      <c r="K124" s="37" t="n">
        <v>0</v>
      </c>
      <c r="L124" s="37" t="str">
        <f aca="false">IF(C124="","",IF(C124&lt;=5,"Night (00-05)",IF(C124&lt;=11,"Morning (06-11)",IF(C124&lt;=16,"Afternoon (12-16)",IF(C124&lt;=20,"Evening (17-20)","Late (21-23)")))))</f>
        <v>Afternoon (12-16)</v>
      </c>
    </row>
    <row r="125" customFormat="false" ht="15" hidden="false" customHeight="false" outlineLevel="0" collapsed="false">
      <c r="A125" s="37" t="s">
        <v>230</v>
      </c>
      <c r="B125" s="38" t="n">
        <v>46319</v>
      </c>
      <c r="C125" s="37" t="n">
        <v>8</v>
      </c>
      <c r="D125" s="37" t="s">
        <v>37</v>
      </c>
      <c r="E125" s="37" t="s">
        <v>46</v>
      </c>
      <c r="F125" s="37" t="s">
        <v>23</v>
      </c>
      <c r="G125" s="39" t="b">
        <f aca="false">TRUE()</f>
        <v>1</v>
      </c>
      <c r="H125" s="37" t="n">
        <v>798.26</v>
      </c>
      <c r="I125" s="37" t="n">
        <v>3</v>
      </c>
      <c r="J125" s="37" t="n">
        <v>21</v>
      </c>
      <c r="K125" s="37" t="n">
        <v>0</v>
      </c>
      <c r="L125" s="37" t="str">
        <f aca="false">IF(C125="","",IF(C125&lt;=5,"Night (00-05)",IF(C125&lt;=11,"Morning (06-11)",IF(C125&lt;=16,"Afternoon (12-16)",IF(C125&lt;=20,"Evening (17-20)","Late (21-23)")))))</f>
        <v>Morning (06-11)</v>
      </c>
    </row>
    <row r="126" customFormat="false" ht="15" hidden="false" customHeight="false" outlineLevel="0" collapsed="false">
      <c r="A126" s="37" t="s">
        <v>231</v>
      </c>
      <c r="B126" s="38" t="n">
        <v>46318</v>
      </c>
      <c r="C126" s="37" t="n">
        <v>2</v>
      </c>
      <c r="D126" s="37" t="s">
        <v>40</v>
      </c>
      <c r="E126" s="37" t="s">
        <v>47</v>
      </c>
      <c r="F126" s="37" t="s">
        <v>23</v>
      </c>
      <c r="G126" s="39" t="b">
        <f aca="false">TRUE()</f>
        <v>1</v>
      </c>
      <c r="H126" s="37" t="n">
        <v>638.4</v>
      </c>
      <c r="I126" s="37" t="n">
        <v>4</v>
      </c>
      <c r="J126" s="37" t="n">
        <v>46</v>
      </c>
      <c r="K126" s="37" t="n">
        <v>0</v>
      </c>
      <c r="L126" s="37" t="str">
        <f aca="false">IF(C126="","",IF(C126&lt;=5,"Night (00-05)",IF(C126&lt;=11,"Morning (06-11)",IF(C126&lt;=16,"Afternoon (12-16)",IF(C126&lt;=20,"Evening (17-20)","Late (21-23)")))))</f>
        <v>Night (00-05)</v>
      </c>
    </row>
    <row r="127" customFormat="false" ht="15" hidden="false" customHeight="false" outlineLevel="0" collapsed="false">
      <c r="A127" s="37" t="s">
        <v>232</v>
      </c>
      <c r="B127" s="38" t="n">
        <v>46320</v>
      </c>
      <c r="C127" s="37" t="n">
        <v>14</v>
      </c>
      <c r="D127" s="37" t="s">
        <v>40</v>
      </c>
      <c r="E127" s="37" t="s">
        <v>47</v>
      </c>
      <c r="F127" s="37" t="s">
        <v>23</v>
      </c>
      <c r="G127" s="39" t="b">
        <f aca="false">TRUE()</f>
        <v>1</v>
      </c>
      <c r="H127" s="37" t="n">
        <v>860.6</v>
      </c>
      <c r="I127" s="37" t="n">
        <v>5</v>
      </c>
      <c r="J127" s="37" t="n">
        <v>22</v>
      </c>
      <c r="K127" s="37" t="n">
        <v>0</v>
      </c>
      <c r="L127" s="37" t="str">
        <f aca="false">IF(C127="","",IF(C127&lt;=5,"Night (00-05)",IF(C127&lt;=11,"Morning (06-11)",IF(C127&lt;=16,"Afternoon (12-16)",IF(C127&lt;=20,"Evening (17-20)","Late (21-23)")))))</f>
        <v>Afternoon (12-16)</v>
      </c>
    </row>
    <row r="128" customFormat="false" ht="15" hidden="false" customHeight="false" outlineLevel="0" collapsed="false">
      <c r="A128" s="37" t="s">
        <v>233</v>
      </c>
      <c r="B128" s="38" t="n">
        <v>46322</v>
      </c>
      <c r="C128" s="37" t="n">
        <v>0</v>
      </c>
      <c r="D128" s="37" t="s">
        <v>38</v>
      </c>
      <c r="E128" s="37" t="s">
        <v>47</v>
      </c>
      <c r="F128" s="37" t="s">
        <v>23</v>
      </c>
      <c r="G128" s="39" t="b">
        <f aca="false">TRUE()</f>
        <v>1</v>
      </c>
      <c r="H128" s="37" t="n">
        <v>1498.01</v>
      </c>
      <c r="I128" s="37" t="n">
        <v>5</v>
      </c>
      <c r="J128" s="37" t="n">
        <v>47</v>
      </c>
      <c r="K128" s="37" t="n">
        <v>0</v>
      </c>
      <c r="L128" s="37" t="str">
        <f aca="false">IF(C128="","",IF(C128&lt;=5,"Night (00-05)",IF(C128&lt;=11,"Morning (06-11)",IF(C128&lt;=16,"Afternoon (12-16)",IF(C128&lt;=20,"Evening (17-20)","Late (21-23)")))))</f>
        <v>Night (00-05)</v>
      </c>
    </row>
    <row r="129" customFormat="false" ht="15" hidden="false" customHeight="false" outlineLevel="0" collapsed="false">
      <c r="A129" s="37" t="s">
        <v>234</v>
      </c>
      <c r="B129" s="38" t="n">
        <v>46319</v>
      </c>
      <c r="C129" s="37" t="n">
        <v>1</v>
      </c>
      <c r="D129" s="37" t="s">
        <v>38</v>
      </c>
      <c r="E129" s="37" t="s">
        <v>46</v>
      </c>
      <c r="F129" s="37" t="s">
        <v>23</v>
      </c>
      <c r="G129" s="39" t="b">
        <f aca="false">TRUE()</f>
        <v>1</v>
      </c>
      <c r="H129" s="37" t="n">
        <v>1224.81</v>
      </c>
      <c r="I129" s="37" t="n">
        <v>5</v>
      </c>
      <c r="J129" s="37" t="n">
        <v>37</v>
      </c>
      <c r="K129" s="37" t="n">
        <v>0</v>
      </c>
      <c r="L129" s="37" t="str">
        <f aca="false">IF(C129="","",IF(C129&lt;=5,"Night (00-05)",IF(C129&lt;=11,"Morning (06-11)",IF(C129&lt;=16,"Afternoon (12-16)",IF(C129&lt;=20,"Evening (17-20)","Late (21-23)")))))</f>
        <v>Night (00-05)</v>
      </c>
    </row>
    <row r="130" customFormat="false" ht="15" hidden="false" customHeight="false" outlineLevel="0" collapsed="false">
      <c r="A130" s="37" t="s">
        <v>235</v>
      </c>
      <c r="B130" s="38" t="n">
        <v>46319</v>
      </c>
      <c r="C130" s="37" t="n">
        <v>23</v>
      </c>
      <c r="D130" s="37" t="s">
        <v>40</v>
      </c>
      <c r="E130" s="37" t="s">
        <v>49</v>
      </c>
      <c r="F130" s="37" t="s">
        <v>23</v>
      </c>
      <c r="G130" s="39" t="b">
        <f aca="false">TRUE()</f>
        <v>1</v>
      </c>
      <c r="H130" s="37" t="n">
        <v>903.44</v>
      </c>
      <c r="I130" s="37" t="n">
        <v>5</v>
      </c>
      <c r="J130" s="37" t="n">
        <v>27</v>
      </c>
      <c r="K130" s="37" t="n">
        <v>0</v>
      </c>
      <c r="L130" s="37" t="str">
        <f aca="false">IF(C130="","",IF(C130&lt;=5,"Night (00-05)",IF(C130&lt;=11,"Morning (06-11)",IF(C130&lt;=16,"Afternoon (12-16)",IF(C130&lt;=20,"Evening (17-20)","Late (21-23)")))))</f>
        <v>Late (21-23)</v>
      </c>
    </row>
    <row r="131" customFormat="false" ht="15" hidden="false" customHeight="false" outlineLevel="0" collapsed="false">
      <c r="A131" s="37" t="s">
        <v>236</v>
      </c>
      <c r="B131" s="38" t="n">
        <v>46321</v>
      </c>
      <c r="C131" s="37" t="n">
        <v>3</v>
      </c>
      <c r="D131" s="37" t="s">
        <v>37</v>
      </c>
      <c r="E131" s="37" t="s">
        <v>49</v>
      </c>
      <c r="F131" s="37" t="s">
        <v>23</v>
      </c>
      <c r="G131" s="39" t="b">
        <f aca="false">TRUE()</f>
        <v>1</v>
      </c>
      <c r="H131" s="37" t="n">
        <v>624.78</v>
      </c>
      <c r="I131" s="37" t="n">
        <v>5</v>
      </c>
      <c r="J131" s="37" t="n">
        <v>41</v>
      </c>
      <c r="K131" s="37" t="n">
        <v>0</v>
      </c>
      <c r="L131" s="37" t="str">
        <f aca="false">IF(C131="","",IF(C131&lt;=5,"Night (00-05)",IF(C131&lt;=11,"Morning (06-11)",IF(C131&lt;=16,"Afternoon (12-16)",IF(C131&lt;=20,"Evening (17-20)","Late (21-23)")))))</f>
        <v>Night (00-05)</v>
      </c>
    </row>
    <row r="132" customFormat="false" ht="15" hidden="false" customHeight="false" outlineLevel="0" collapsed="false">
      <c r="A132" s="37" t="s">
        <v>237</v>
      </c>
      <c r="B132" s="38" t="n">
        <v>46318</v>
      </c>
      <c r="C132" s="37" t="n">
        <v>20</v>
      </c>
      <c r="D132" s="37" t="s">
        <v>39</v>
      </c>
      <c r="E132" s="37" t="s">
        <v>46</v>
      </c>
      <c r="F132" s="37" t="s">
        <v>23</v>
      </c>
      <c r="G132" s="39" t="b">
        <f aca="false">TRUE()</f>
        <v>1</v>
      </c>
      <c r="H132" s="37" t="n">
        <v>565.04</v>
      </c>
      <c r="I132" s="37" t="n">
        <v>5</v>
      </c>
      <c r="J132" s="37" t="n">
        <v>29</v>
      </c>
      <c r="K132" s="37" t="n">
        <v>0</v>
      </c>
      <c r="L132" s="37" t="str">
        <f aca="false">IF(C132="","",IF(C132&lt;=5,"Night (00-05)",IF(C132&lt;=11,"Morning (06-11)",IF(C132&lt;=16,"Afternoon (12-16)",IF(C132&lt;=20,"Evening (17-20)","Late (21-23)")))))</f>
        <v>Evening (17-20)</v>
      </c>
    </row>
    <row r="133" customFormat="false" ht="15" hidden="false" customHeight="false" outlineLevel="0" collapsed="false">
      <c r="A133" s="37" t="s">
        <v>238</v>
      </c>
      <c r="B133" s="38" t="n">
        <v>46318</v>
      </c>
      <c r="C133" s="37" t="n">
        <v>14</v>
      </c>
      <c r="D133" s="37" t="s">
        <v>38</v>
      </c>
      <c r="E133" s="37" t="s">
        <v>49</v>
      </c>
      <c r="F133" s="37" t="s">
        <v>23</v>
      </c>
      <c r="G133" s="39" t="b">
        <f aca="false">TRUE()</f>
        <v>1</v>
      </c>
      <c r="H133" s="37" t="n">
        <v>866.6</v>
      </c>
      <c r="I133" s="37" t="n">
        <v>5</v>
      </c>
      <c r="J133" s="37" t="n">
        <v>28</v>
      </c>
      <c r="K133" s="37" t="n">
        <v>0</v>
      </c>
      <c r="L133" s="37" t="str">
        <f aca="false">IF(C133="","",IF(C133&lt;=5,"Night (00-05)",IF(C133&lt;=11,"Morning (06-11)",IF(C133&lt;=16,"Afternoon (12-16)",IF(C133&lt;=20,"Evening (17-20)","Late (21-23)")))))</f>
        <v>Afternoon (12-16)</v>
      </c>
    </row>
    <row r="134" customFormat="false" ht="15" hidden="false" customHeight="false" outlineLevel="0" collapsed="false">
      <c r="A134" s="37" t="s">
        <v>239</v>
      </c>
      <c r="B134" s="38" t="n">
        <v>46320</v>
      </c>
      <c r="C134" s="37" t="n">
        <v>5</v>
      </c>
      <c r="D134" s="37" t="s">
        <v>38</v>
      </c>
      <c r="E134" s="37" t="s">
        <v>49</v>
      </c>
      <c r="F134" s="37" t="s">
        <v>23</v>
      </c>
      <c r="G134" s="39" t="b">
        <f aca="false">TRUE()</f>
        <v>1</v>
      </c>
      <c r="H134" s="37" t="n">
        <v>1046.52</v>
      </c>
      <c r="I134" s="37" t="n">
        <v>5</v>
      </c>
      <c r="J134" s="37" t="n">
        <v>47</v>
      </c>
      <c r="K134" s="37" t="n">
        <v>0</v>
      </c>
      <c r="L134" s="37" t="str">
        <f aca="false">IF(C134="","",IF(C134&lt;=5,"Night (00-05)",IF(C134&lt;=11,"Morning (06-11)",IF(C134&lt;=16,"Afternoon (12-16)",IF(C134&lt;=20,"Evening (17-20)","Late (21-23)")))))</f>
        <v>Night (00-05)</v>
      </c>
    </row>
    <row r="135" customFormat="false" ht="15" hidden="false" customHeight="false" outlineLevel="0" collapsed="false">
      <c r="A135" s="37" t="s">
        <v>240</v>
      </c>
      <c r="B135" s="38" t="n">
        <v>46320</v>
      </c>
      <c r="C135" s="37" t="n">
        <v>13</v>
      </c>
      <c r="D135" s="37" t="s">
        <v>40</v>
      </c>
      <c r="E135" s="37" t="s">
        <v>46</v>
      </c>
      <c r="F135" s="37" t="s">
        <v>23</v>
      </c>
      <c r="G135" s="39" t="b">
        <f aca="false">TRUE()</f>
        <v>1</v>
      </c>
      <c r="H135" s="37" t="n">
        <v>581.88</v>
      </c>
      <c r="I135" s="37" t="n">
        <v>5</v>
      </c>
      <c r="J135" s="37" t="n">
        <v>29</v>
      </c>
      <c r="K135" s="37" t="n">
        <v>0</v>
      </c>
      <c r="L135" s="37" t="str">
        <f aca="false">IF(C135="","",IF(C135&lt;=5,"Night (00-05)",IF(C135&lt;=11,"Morning (06-11)",IF(C135&lt;=16,"Afternoon (12-16)",IF(C135&lt;=20,"Evening (17-20)","Late (21-23)")))))</f>
        <v>Afternoon (12-16)</v>
      </c>
    </row>
    <row r="136" customFormat="false" ht="15" hidden="false" customHeight="false" outlineLevel="0" collapsed="false">
      <c r="A136" s="37" t="s">
        <v>241</v>
      </c>
      <c r="B136" s="38" t="n">
        <v>46317</v>
      </c>
      <c r="C136" s="37" t="n">
        <v>3</v>
      </c>
      <c r="D136" s="37" t="s">
        <v>40</v>
      </c>
      <c r="E136" s="37" t="s">
        <v>47</v>
      </c>
      <c r="F136" s="37" t="s">
        <v>23</v>
      </c>
      <c r="G136" s="39" t="b">
        <f aca="false">TRUE()</f>
        <v>1</v>
      </c>
      <c r="H136" s="37" t="n">
        <v>1109.08</v>
      </c>
      <c r="I136" s="37" t="n">
        <v>5</v>
      </c>
      <c r="J136" s="37" t="n">
        <v>47</v>
      </c>
      <c r="K136" s="37" t="n">
        <v>0</v>
      </c>
      <c r="L136" s="37" t="str">
        <f aca="false">IF(C136="","",IF(C136&lt;=5,"Night (00-05)",IF(C136&lt;=11,"Morning (06-11)",IF(C136&lt;=16,"Afternoon (12-16)",IF(C136&lt;=20,"Evening (17-20)","Late (21-23)")))))</f>
        <v>Night (00-05)</v>
      </c>
    </row>
    <row r="137" customFormat="false" ht="15" hidden="false" customHeight="false" outlineLevel="0" collapsed="false">
      <c r="A137" s="37" t="s">
        <v>242</v>
      </c>
      <c r="B137" s="38" t="n">
        <v>46322</v>
      </c>
      <c r="C137" s="37" t="n">
        <v>2</v>
      </c>
      <c r="D137" s="37" t="s">
        <v>38</v>
      </c>
      <c r="E137" s="37" t="s">
        <v>46</v>
      </c>
      <c r="F137" s="37" t="s">
        <v>23</v>
      </c>
      <c r="G137" s="39" t="b">
        <f aca="false">FALSE()</f>
        <v>0</v>
      </c>
      <c r="H137" s="37" t="n">
        <v>819.27</v>
      </c>
      <c r="I137" s="37" t="n">
        <v>2</v>
      </c>
      <c r="J137" s="37" t="n">
        <v>66</v>
      </c>
      <c r="K137" s="37" t="n">
        <v>1</v>
      </c>
      <c r="L137" s="37" t="str">
        <f aca="false">IF(C137="","",IF(C137&lt;=5,"Night (00-05)",IF(C137&lt;=11,"Morning (06-11)",IF(C137&lt;=16,"Afternoon (12-16)",IF(C137&lt;=20,"Evening (17-20)","Late (21-23)")))))</f>
        <v>Night (00-05)</v>
      </c>
    </row>
    <row r="138" customFormat="false" ht="15" hidden="false" customHeight="false" outlineLevel="0" collapsed="false">
      <c r="A138" s="37" t="s">
        <v>243</v>
      </c>
      <c r="B138" s="38" t="n">
        <v>46317</v>
      </c>
      <c r="C138" s="37" t="n">
        <v>3</v>
      </c>
      <c r="D138" s="37" t="s">
        <v>39</v>
      </c>
      <c r="E138" s="37" t="s">
        <v>47</v>
      </c>
      <c r="F138" s="37" t="s">
        <v>23</v>
      </c>
      <c r="G138" s="39" t="b">
        <f aca="false">TRUE()</f>
        <v>1</v>
      </c>
      <c r="H138" s="37" t="n">
        <v>355.75</v>
      </c>
      <c r="I138" s="37" t="n">
        <v>3</v>
      </c>
      <c r="J138" s="37" t="n">
        <v>21</v>
      </c>
      <c r="K138" s="37" t="n">
        <v>0</v>
      </c>
      <c r="L138" s="37" t="str">
        <f aca="false">IF(C138="","",IF(C138&lt;=5,"Night (00-05)",IF(C138&lt;=11,"Morning (06-11)",IF(C138&lt;=16,"Afternoon (12-16)",IF(C138&lt;=20,"Evening (17-20)","Late (21-23)")))))</f>
        <v>Night (00-05)</v>
      </c>
    </row>
    <row r="139" customFormat="false" ht="15" hidden="false" customHeight="false" outlineLevel="0" collapsed="false">
      <c r="A139" s="37" t="s">
        <v>244</v>
      </c>
      <c r="B139" s="38" t="n">
        <v>46319</v>
      </c>
      <c r="C139" s="37" t="n">
        <v>17</v>
      </c>
      <c r="D139" s="37" t="s">
        <v>40</v>
      </c>
      <c r="E139" s="37" t="s">
        <v>48</v>
      </c>
      <c r="F139" s="37" t="s">
        <v>23</v>
      </c>
      <c r="G139" s="39" t="b">
        <f aca="false">TRUE()</f>
        <v>1</v>
      </c>
      <c r="H139" s="37" t="n">
        <v>795.04</v>
      </c>
      <c r="I139" s="37" t="n">
        <v>5</v>
      </c>
      <c r="J139" s="37" t="n">
        <v>25</v>
      </c>
      <c r="K139" s="37" t="n">
        <v>0</v>
      </c>
      <c r="L139" s="37" t="str">
        <f aca="false">IF(C139="","",IF(C139&lt;=5,"Night (00-05)",IF(C139&lt;=11,"Morning (06-11)",IF(C139&lt;=16,"Afternoon (12-16)",IF(C139&lt;=20,"Evening (17-20)","Late (21-23)")))))</f>
        <v>Evening (17-20)</v>
      </c>
    </row>
    <row r="140" customFormat="false" ht="15" hidden="false" customHeight="false" outlineLevel="0" collapsed="false">
      <c r="A140" s="37" t="s">
        <v>245</v>
      </c>
      <c r="B140" s="38" t="n">
        <v>46316</v>
      </c>
      <c r="C140" s="37" t="n">
        <v>16</v>
      </c>
      <c r="D140" s="37" t="s">
        <v>38</v>
      </c>
      <c r="E140" s="37" t="s">
        <v>46</v>
      </c>
      <c r="F140" s="37" t="s">
        <v>23</v>
      </c>
      <c r="G140" s="39" t="b">
        <f aca="false">TRUE()</f>
        <v>1</v>
      </c>
      <c r="H140" s="37" t="n">
        <v>1109.18</v>
      </c>
      <c r="I140" s="37" t="n">
        <v>4</v>
      </c>
      <c r="J140" s="37" t="n">
        <v>48</v>
      </c>
      <c r="K140" s="37" t="n">
        <v>0</v>
      </c>
      <c r="L140" s="37" t="str">
        <f aca="false">IF(C140="","",IF(C140&lt;=5,"Night (00-05)",IF(C140&lt;=11,"Morning (06-11)",IF(C140&lt;=16,"Afternoon (12-16)",IF(C140&lt;=20,"Evening (17-20)","Late (21-23)")))))</f>
        <v>Afternoon (12-16)</v>
      </c>
    </row>
    <row r="141" customFormat="false" ht="15" hidden="false" customHeight="false" outlineLevel="0" collapsed="false">
      <c r="A141" s="37" t="s">
        <v>246</v>
      </c>
      <c r="B141" s="38" t="n">
        <v>46317</v>
      </c>
      <c r="C141" s="37" t="n">
        <v>1</v>
      </c>
      <c r="D141" s="37" t="s">
        <v>39</v>
      </c>
      <c r="E141" s="37" t="s">
        <v>47</v>
      </c>
      <c r="F141" s="37" t="s">
        <v>23</v>
      </c>
      <c r="G141" s="39" t="b">
        <f aca="false">TRUE()</f>
        <v>1</v>
      </c>
      <c r="H141" s="37" t="n">
        <v>412.3</v>
      </c>
      <c r="I141" s="37" t="n">
        <v>4</v>
      </c>
      <c r="J141" s="37" t="n">
        <v>51</v>
      </c>
      <c r="K141" s="37" t="n">
        <v>0</v>
      </c>
      <c r="L141" s="37" t="str">
        <f aca="false">IF(C141="","",IF(C141&lt;=5,"Night (00-05)",IF(C141&lt;=11,"Morning (06-11)",IF(C141&lt;=16,"Afternoon (12-16)",IF(C141&lt;=20,"Evening (17-20)","Late (21-23)")))))</f>
        <v>Night (00-05)</v>
      </c>
    </row>
    <row r="142" customFormat="false" ht="15" hidden="false" customHeight="false" outlineLevel="0" collapsed="false">
      <c r="A142" s="37" t="s">
        <v>247</v>
      </c>
      <c r="B142" s="38" t="n">
        <v>46317</v>
      </c>
      <c r="C142" s="37" t="n">
        <v>13</v>
      </c>
      <c r="D142" s="37" t="s">
        <v>38</v>
      </c>
      <c r="E142" s="37" t="s">
        <v>47</v>
      </c>
      <c r="F142" s="37" t="s">
        <v>113</v>
      </c>
      <c r="G142" s="39" t="b">
        <f aca="false">TRUE()</f>
        <v>1</v>
      </c>
      <c r="H142" s="37" t="n">
        <v>942.1</v>
      </c>
      <c r="K142" s="37" t="n">
        <v>0</v>
      </c>
      <c r="L142" s="37" t="str">
        <f aca="false">IF(C142="","",IF(C142&lt;=5,"Night (00-05)",IF(C142&lt;=11,"Morning (06-11)",IF(C142&lt;=16,"Afternoon (12-16)",IF(C142&lt;=20,"Evening (17-20)","Late (21-23)")))))</f>
        <v>Afternoon (12-16)</v>
      </c>
    </row>
    <row r="143" customFormat="false" ht="15" hidden="false" customHeight="false" outlineLevel="0" collapsed="false">
      <c r="A143" s="37" t="s">
        <v>248</v>
      </c>
      <c r="B143" s="38" t="n">
        <v>46321</v>
      </c>
      <c r="C143" s="37" t="n">
        <v>16</v>
      </c>
      <c r="D143" s="37" t="s">
        <v>40</v>
      </c>
      <c r="E143" s="37" t="s">
        <v>47</v>
      </c>
      <c r="F143" s="37" t="s">
        <v>23</v>
      </c>
      <c r="G143" s="39" t="b">
        <f aca="false">TRUE()</f>
        <v>1</v>
      </c>
      <c r="H143" s="37" t="n">
        <v>505.18</v>
      </c>
      <c r="I143" s="37" t="n">
        <v>3</v>
      </c>
      <c r="J143" s="37" t="n">
        <v>31</v>
      </c>
      <c r="K143" s="37" t="n">
        <v>0</v>
      </c>
      <c r="L143" s="37" t="str">
        <f aca="false">IF(C143="","",IF(C143&lt;=5,"Night (00-05)",IF(C143&lt;=11,"Morning (06-11)",IF(C143&lt;=16,"Afternoon (12-16)",IF(C143&lt;=20,"Evening (17-20)","Late (21-23)")))))</f>
        <v>Afternoon (12-16)</v>
      </c>
    </row>
    <row r="144" customFormat="false" ht="15" hidden="false" customHeight="false" outlineLevel="0" collapsed="false">
      <c r="A144" s="37" t="s">
        <v>249</v>
      </c>
      <c r="B144" s="38" t="n">
        <v>46320</v>
      </c>
      <c r="C144" s="37" t="n">
        <v>1</v>
      </c>
      <c r="D144" s="37" t="s">
        <v>40</v>
      </c>
      <c r="E144" s="37" t="s">
        <v>47</v>
      </c>
      <c r="F144" s="37" t="s">
        <v>23</v>
      </c>
      <c r="G144" s="39" t="b">
        <f aca="false">TRUE()</f>
        <v>1</v>
      </c>
      <c r="H144" s="37" t="n">
        <v>816.66</v>
      </c>
      <c r="I144" s="37" t="n">
        <v>1</v>
      </c>
      <c r="J144" s="37" t="n">
        <v>47</v>
      </c>
      <c r="K144" s="37" t="n">
        <v>0</v>
      </c>
      <c r="L144" s="37" t="str">
        <f aca="false">IF(C144="","",IF(C144&lt;=5,"Night (00-05)",IF(C144&lt;=11,"Morning (06-11)",IF(C144&lt;=16,"Afternoon (12-16)",IF(C144&lt;=20,"Evening (17-20)","Late (21-23)")))))</f>
        <v>Night (00-05)</v>
      </c>
    </row>
    <row r="145" customFormat="false" ht="15" hidden="false" customHeight="false" outlineLevel="0" collapsed="false">
      <c r="A145" s="37" t="s">
        <v>250</v>
      </c>
      <c r="B145" s="38" t="n">
        <v>46316</v>
      </c>
      <c r="C145" s="37" t="n">
        <v>3</v>
      </c>
      <c r="D145" s="37" t="s">
        <v>39</v>
      </c>
      <c r="E145" s="37" t="s">
        <v>49</v>
      </c>
      <c r="F145" s="37" t="s">
        <v>23</v>
      </c>
      <c r="G145" s="39" t="b">
        <f aca="false">TRUE()</f>
        <v>1</v>
      </c>
      <c r="H145" s="37" t="n">
        <v>414.81</v>
      </c>
      <c r="I145" s="37" t="n">
        <v>4</v>
      </c>
      <c r="J145" s="37" t="n">
        <v>40</v>
      </c>
      <c r="K145" s="37" t="n">
        <v>0</v>
      </c>
      <c r="L145" s="37" t="str">
        <f aca="false">IF(C145="","",IF(C145&lt;=5,"Night (00-05)",IF(C145&lt;=11,"Morning (06-11)",IF(C145&lt;=16,"Afternoon (12-16)",IF(C145&lt;=20,"Evening (17-20)","Late (21-23)")))))</f>
        <v>Night (00-05)</v>
      </c>
    </row>
    <row r="146" customFormat="false" ht="15" hidden="false" customHeight="false" outlineLevel="0" collapsed="false">
      <c r="A146" s="37" t="s">
        <v>251</v>
      </c>
      <c r="B146" s="38" t="n">
        <v>46319</v>
      </c>
      <c r="C146" s="37" t="n">
        <v>21</v>
      </c>
      <c r="D146" s="37" t="s">
        <v>40</v>
      </c>
      <c r="E146" s="37" t="s">
        <v>47</v>
      </c>
      <c r="F146" s="37" t="s">
        <v>23</v>
      </c>
      <c r="G146" s="39" t="b">
        <f aca="false">TRUE()</f>
        <v>1</v>
      </c>
      <c r="H146" s="37" t="n">
        <v>848.37</v>
      </c>
      <c r="I146" s="37" t="n">
        <v>5</v>
      </c>
      <c r="J146" s="37" t="n">
        <v>47</v>
      </c>
      <c r="K146" s="37" t="n">
        <v>0</v>
      </c>
      <c r="L146" s="37" t="str">
        <f aca="false">IF(C146="","",IF(C146&lt;=5,"Night (00-05)",IF(C146&lt;=11,"Morning (06-11)",IF(C146&lt;=16,"Afternoon (12-16)",IF(C146&lt;=20,"Evening (17-20)","Late (21-23)")))))</f>
        <v>Late (21-23)</v>
      </c>
    </row>
    <row r="147" customFormat="false" ht="15" hidden="false" customHeight="false" outlineLevel="0" collapsed="false">
      <c r="A147" s="37" t="s">
        <v>252</v>
      </c>
      <c r="B147" s="38" t="n">
        <v>46319</v>
      </c>
      <c r="C147" s="37" t="n">
        <v>14</v>
      </c>
      <c r="D147" s="37" t="s">
        <v>40</v>
      </c>
      <c r="E147" s="37" t="s">
        <v>48</v>
      </c>
      <c r="F147" s="37" t="s">
        <v>23</v>
      </c>
      <c r="G147" s="39" t="b">
        <f aca="false">TRUE()</f>
        <v>1</v>
      </c>
      <c r="H147" s="37" t="n">
        <v>765.45</v>
      </c>
      <c r="I147" s="37" t="n">
        <v>5</v>
      </c>
      <c r="J147" s="37" t="n">
        <v>52</v>
      </c>
      <c r="K147" s="37" t="n">
        <v>0</v>
      </c>
      <c r="L147" s="37" t="str">
        <f aca="false">IF(C147="","",IF(C147&lt;=5,"Night (00-05)",IF(C147&lt;=11,"Morning (06-11)",IF(C147&lt;=16,"Afternoon (12-16)",IF(C147&lt;=20,"Evening (17-20)","Late (21-23)")))))</f>
        <v>Afternoon (12-16)</v>
      </c>
    </row>
    <row r="148" customFormat="false" ht="15" hidden="false" customHeight="false" outlineLevel="0" collapsed="false">
      <c r="A148" s="37" t="s">
        <v>253</v>
      </c>
      <c r="B148" s="38" t="n">
        <v>46319</v>
      </c>
      <c r="C148" s="37" t="n">
        <v>22</v>
      </c>
      <c r="D148" s="37" t="s">
        <v>40</v>
      </c>
      <c r="E148" s="37" t="s">
        <v>46</v>
      </c>
      <c r="F148" s="37" t="s">
        <v>23</v>
      </c>
      <c r="G148" s="39" t="b">
        <f aca="false">TRUE()</f>
        <v>1</v>
      </c>
      <c r="H148" s="37" t="n">
        <v>1080.9</v>
      </c>
      <c r="I148" s="37" t="n">
        <v>4</v>
      </c>
      <c r="J148" s="37" t="n">
        <v>29</v>
      </c>
      <c r="K148" s="37" t="n">
        <v>0</v>
      </c>
      <c r="L148" s="37" t="str">
        <f aca="false">IF(C148="","",IF(C148&lt;=5,"Night (00-05)",IF(C148&lt;=11,"Morning (06-11)",IF(C148&lt;=16,"Afternoon (12-16)",IF(C148&lt;=20,"Evening (17-20)","Late (21-23)")))))</f>
        <v>Late (21-23)</v>
      </c>
    </row>
    <row r="149" customFormat="false" ht="15" hidden="false" customHeight="false" outlineLevel="0" collapsed="false">
      <c r="A149" s="37" t="s">
        <v>254</v>
      </c>
      <c r="B149" s="38" t="n">
        <v>46316</v>
      </c>
      <c r="C149" s="37" t="n">
        <v>17</v>
      </c>
      <c r="D149" s="37" t="s">
        <v>37</v>
      </c>
      <c r="E149" s="37" t="s">
        <v>47</v>
      </c>
      <c r="F149" s="37" t="s">
        <v>23</v>
      </c>
      <c r="G149" s="39" t="b">
        <f aca="false">TRUE()</f>
        <v>1</v>
      </c>
      <c r="H149" s="37" t="n">
        <v>487.57</v>
      </c>
      <c r="I149" s="37" t="n">
        <v>4</v>
      </c>
      <c r="J149" s="37" t="n">
        <v>51</v>
      </c>
      <c r="K149" s="37" t="n">
        <v>0</v>
      </c>
      <c r="L149" s="37" t="str">
        <f aca="false">IF(C149="","",IF(C149&lt;=5,"Night (00-05)",IF(C149&lt;=11,"Morning (06-11)",IF(C149&lt;=16,"Afternoon (12-16)",IF(C149&lt;=20,"Evening (17-20)","Late (21-23)")))))</f>
        <v>Evening (17-20)</v>
      </c>
    </row>
    <row r="150" customFormat="false" ht="15" hidden="false" customHeight="false" outlineLevel="0" collapsed="false">
      <c r="A150" s="37" t="s">
        <v>255</v>
      </c>
      <c r="B150" s="38" t="n">
        <v>46320</v>
      </c>
      <c r="C150" s="37" t="n">
        <v>1</v>
      </c>
      <c r="D150" s="37" t="s">
        <v>40</v>
      </c>
      <c r="E150" s="37" t="s">
        <v>46</v>
      </c>
      <c r="F150" s="37" t="s">
        <v>23</v>
      </c>
      <c r="G150" s="39" t="b">
        <f aca="false">TRUE()</f>
        <v>1</v>
      </c>
      <c r="H150" s="37" t="n">
        <v>619.77</v>
      </c>
      <c r="I150" s="37" t="n">
        <v>5</v>
      </c>
      <c r="J150" s="37" t="n">
        <v>48</v>
      </c>
      <c r="K150" s="37" t="n">
        <v>0</v>
      </c>
      <c r="L150" s="37" t="str">
        <f aca="false">IF(C150="","",IF(C150&lt;=5,"Night (00-05)",IF(C150&lt;=11,"Morning (06-11)",IF(C150&lt;=16,"Afternoon (12-16)",IF(C150&lt;=20,"Evening (17-20)","Late (21-23)")))))</f>
        <v>Night (00-05)</v>
      </c>
    </row>
    <row r="151" customFormat="false" ht="15" hidden="false" customHeight="false" outlineLevel="0" collapsed="false">
      <c r="A151" s="37" t="s">
        <v>256</v>
      </c>
      <c r="B151" s="38" t="n">
        <v>46321</v>
      </c>
      <c r="C151" s="37" t="n">
        <v>17</v>
      </c>
      <c r="D151" s="37" t="s">
        <v>38</v>
      </c>
      <c r="E151" s="37" t="s">
        <v>46</v>
      </c>
      <c r="F151" s="37" t="s">
        <v>23</v>
      </c>
      <c r="G151" s="39" t="b">
        <f aca="false">TRUE()</f>
        <v>1</v>
      </c>
      <c r="H151" s="37" t="n">
        <v>1122.22</v>
      </c>
      <c r="I151" s="37" t="n">
        <v>5</v>
      </c>
      <c r="J151" s="37" t="n">
        <v>43</v>
      </c>
      <c r="K151" s="37" t="n">
        <v>0</v>
      </c>
      <c r="L151" s="37" t="str">
        <f aca="false">IF(C151="","",IF(C151&lt;=5,"Night (00-05)",IF(C151&lt;=11,"Morning (06-11)",IF(C151&lt;=16,"Afternoon (12-16)",IF(C151&lt;=20,"Evening (17-20)","Late (21-23)")))))</f>
        <v>Evening (17-20)</v>
      </c>
    </row>
    <row r="152" customFormat="false" ht="15" hidden="false" customHeight="false" outlineLevel="0" collapsed="false">
      <c r="A152" s="37" t="s">
        <v>257</v>
      </c>
      <c r="B152" s="38" t="n">
        <v>46316</v>
      </c>
      <c r="C152" s="37" t="n">
        <v>0</v>
      </c>
      <c r="D152" s="37" t="s">
        <v>39</v>
      </c>
      <c r="E152" s="37" t="s">
        <v>49</v>
      </c>
      <c r="F152" s="37" t="s">
        <v>113</v>
      </c>
      <c r="G152" s="39" t="b">
        <f aca="false">TRUE()</f>
        <v>1</v>
      </c>
      <c r="H152" s="37" t="n">
        <v>531.13</v>
      </c>
      <c r="K152" s="37" t="n">
        <v>0</v>
      </c>
      <c r="L152" s="37" t="str">
        <f aca="false">IF(C152="","",IF(C152&lt;=5,"Night (00-05)",IF(C152&lt;=11,"Morning (06-11)",IF(C152&lt;=16,"Afternoon (12-16)",IF(C152&lt;=20,"Evening (17-20)","Late (21-23)")))))</f>
        <v>Night (00-05)</v>
      </c>
    </row>
    <row r="153" customFormat="false" ht="15" hidden="false" customHeight="false" outlineLevel="0" collapsed="false">
      <c r="A153" s="37" t="s">
        <v>258</v>
      </c>
      <c r="B153" s="38" t="n">
        <v>46321</v>
      </c>
      <c r="C153" s="37" t="n">
        <v>3</v>
      </c>
      <c r="D153" s="37" t="s">
        <v>37</v>
      </c>
      <c r="E153" s="37" t="s">
        <v>46</v>
      </c>
      <c r="F153" s="37" t="s">
        <v>113</v>
      </c>
      <c r="G153" s="39" t="b">
        <f aca="false">TRUE()</f>
        <v>1</v>
      </c>
      <c r="H153" s="37" t="n">
        <v>701.5</v>
      </c>
      <c r="K153" s="37" t="n">
        <v>0</v>
      </c>
      <c r="L153" s="37" t="str">
        <f aca="false">IF(C153="","",IF(C153&lt;=5,"Night (00-05)",IF(C153&lt;=11,"Morning (06-11)",IF(C153&lt;=16,"Afternoon (12-16)",IF(C153&lt;=20,"Evening (17-20)","Late (21-23)")))))</f>
        <v>Night (00-05)</v>
      </c>
    </row>
    <row r="154" customFormat="false" ht="15" hidden="false" customHeight="false" outlineLevel="0" collapsed="false">
      <c r="A154" s="37" t="s">
        <v>259</v>
      </c>
      <c r="B154" s="38" t="n">
        <v>46318</v>
      </c>
      <c r="C154" s="37" t="n">
        <v>15</v>
      </c>
      <c r="D154" s="37" t="s">
        <v>40</v>
      </c>
      <c r="E154" s="37" t="s">
        <v>47</v>
      </c>
      <c r="F154" s="37" t="s">
        <v>23</v>
      </c>
      <c r="G154" s="39" t="b">
        <f aca="false">TRUE()</f>
        <v>1</v>
      </c>
      <c r="H154" s="37" t="n">
        <v>902.64</v>
      </c>
      <c r="I154" s="37" t="n">
        <v>5</v>
      </c>
      <c r="J154" s="37" t="n">
        <v>35</v>
      </c>
      <c r="K154" s="37" t="n">
        <v>0</v>
      </c>
      <c r="L154" s="37" t="str">
        <f aca="false">IF(C154="","",IF(C154&lt;=5,"Night (00-05)",IF(C154&lt;=11,"Morning (06-11)",IF(C154&lt;=16,"Afternoon (12-16)",IF(C154&lt;=20,"Evening (17-20)","Late (21-23)")))))</f>
        <v>Afternoon (12-16)</v>
      </c>
    </row>
    <row r="155" customFormat="false" ht="15" hidden="false" customHeight="false" outlineLevel="0" collapsed="false">
      <c r="A155" s="37" t="s">
        <v>260</v>
      </c>
      <c r="B155" s="38" t="n">
        <v>46318</v>
      </c>
      <c r="C155" s="37" t="n">
        <v>22</v>
      </c>
      <c r="D155" s="37" t="s">
        <v>40</v>
      </c>
      <c r="E155" s="37" t="s">
        <v>46</v>
      </c>
      <c r="F155" s="37" t="s">
        <v>23</v>
      </c>
      <c r="G155" s="39" t="b">
        <f aca="false">TRUE()</f>
        <v>1</v>
      </c>
      <c r="H155" s="37" t="n">
        <v>1233.35</v>
      </c>
      <c r="I155" s="37" t="n">
        <v>5</v>
      </c>
      <c r="J155" s="37" t="n">
        <v>41</v>
      </c>
      <c r="K155" s="37" t="n">
        <v>0</v>
      </c>
      <c r="L155" s="37" t="str">
        <f aca="false">IF(C155="","",IF(C155&lt;=5,"Night (00-05)",IF(C155&lt;=11,"Morning (06-11)",IF(C155&lt;=16,"Afternoon (12-16)",IF(C155&lt;=20,"Evening (17-20)","Late (21-23)")))))</f>
        <v>Late (21-23)</v>
      </c>
    </row>
    <row r="156" customFormat="false" ht="15" hidden="false" customHeight="false" outlineLevel="0" collapsed="false">
      <c r="A156" s="37" t="s">
        <v>261</v>
      </c>
      <c r="B156" s="38" t="n">
        <v>46316</v>
      </c>
      <c r="C156" s="37" t="n">
        <v>2</v>
      </c>
      <c r="D156" s="37" t="s">
        <v>38</v>
      </c>
      <c r="E156" s="37" t="s">
        <v>46</v>
      </c>
      <c r="F156" s="37" t="s">
        <v>113</v>
      </c>
      <c r="G156" s="39" t="b">
        <f aca="false">FALSE()</f>
        <v>0</v>
      </c>
      <c r="H156" s="37" t="n">
        <v>865.15</v>
      </c>
      <c r="K156" s="37" t="n">
        <v>0</v>
      </c>
      <c r="L156" s="37" t="str">
        <f aca="false">IF(C156="","",IF(C156&lt;=5,"Night (00-05)",IF(C156&lt;=11,"Morning (06-11)",IF(C156&lt;=16,"Afternoon (12-16)",IF(C156&lt;=20,"Evening (17-20)","Late (21-23)")))))</f>
        <v>Night (00-05)</v>
      </c>
    </row>
    <row r="157" customFormat="false" ht="15" hidden="false" customHeight="false" outlineLevel="0" collapsed="false">
      <c r="A157" s="37" t="s">
        <v>262</v>
      </c>
      <c r="B157" s="38" t="n">
        <v>46318</v>
      </c>
      <c r="C157" s="37" t="n">
        <v>1</v>
      </c>
      <c r="D157" s="37" t="s">
        <v>37</v>
      </c>
      <c r="E157" s="37" t="s">
        <v>46</v>
      </c>
      <c r="F157" s="37" t="s">
        <v>23</v>
      </c>
      <c r="G157" s="39" t="b">
        <f aca="false">TRUE()</f>
        <v>1</v>
      </c>
      <c r="H157" s="37" t="n">
        <v>439.75</v>
      </c>
      <c r="I157" s="37" t="n">
        <v>4</v>
      </c>
      <c r="J157" s="37" t="n">
        <v>42</v>
      </c>
      <c r="K157" s="37" t="n">
        <v>0</v>
      </c>
      <c r="L157" s="37" t="str">
        <f aca="false">IF(C157="","",IF(C157&lt;=5,"Night (00-05)",IF(C157&lt;=11,"Morning (06-11)",IF(C157&lt;=16,"Afternoon (12-16)",IF(C157&lt;=20,"Evening (17-20)","Late (21-23)")))))</f>
        <v>Night (00-05)</v>
      </c>
    </row>
    <row r="158" customFormat="false" ht="15" hidden="false" customHeight="false" outlineLevel="0" collapsed="false">
      <c r="A158" s="37" t="s">
        <v>263</v>
      </c>
      <c r="B158" s="38" t="n">
        <v>46321</v>
      </c>
      <c r="C158" s="37" t="n">
        <v>1</v>
      </c>
      <c r="D158" s="37" t="s">
        <v>38</v>
      </c>
      <c r="E158" s="37" t="s">
        <v>46</v>
      </c>
      <c r="F158" s="37" t="s">
        <v>23</v>
      </c>
      <c r="G158" s="39" t="b">
        <f aca="false">TRUE()</f>
        <v>1</v>
      </c>
      <c r="H158" s="37" t="n">
        <v>1190.25</v>
      </c>
      <c r="I158" s="37" t="n">
        <v>5</v>
      </c>
      <c r="J158" s="37" t="n">
        <v>41</v>
      </c>
      <c r="K158" s="37" t="n">
        <v>0</v>
      </c>
      <c r="L158" s="37" t="str">
        <f aca="false">IF(C158="","",IF(C158&lt;=5,"Night (00-05)",IF(C158&lt;=11,"Morning (06-11)",IF(C158&lt;=16,"Afternoon (12-16)",IF(C158&lt;=20,"Evening (17-20)","Late (21-23)")))))</f>
        <v>Night (00-05)</v>
      </c>
    </row>
    <row r="159" customFormat="false" ht="15" hidden="false" customHeight="false" outlineLevel="0" collapsed="false">
      <c r="A159" s="37" t="s">
        <v>264</v>
      </c>
      <c r="B159" s="38" t="n">
        <v>46321</v>
      </c>
      <c r="C159" s="37" t="n">
        <v>1</v>
      </c>
      <c r="D159" s="37" t="s">
        <v>38</v>
      </c>
      <c r="E159" s="37" t="s">
        <v>49</v>
      </c>
      <c r="F159" s="37" t="s">
        <v>23</v>
      </c>
      <c r="G159" s="39" t="b">
        <f aca="false">TRUE()</f>
        <v>1</v>
      </c>
      <c r="H159" s="37" t="n">
        <v>1154.94</v>
      </c>
      <c r="I159" s="37" t="n">
        <v>4</v>
      </c>
      <c r="J159" s="37" t="n">
        <v>39</v>
      </c>
      <c r="K159" s="37" t="n">
        <v>0</v>
      </c>
      <c r="L159" s="37" t="str">
        <f aca="false">IF(C159="","",IF(C159&lt;=5,"Night (00-05)",IF(C159&lt;=11,"Morning (06-11)",IF(C159&lt;=16,"Afternoon (12-16)",IF(C159&lt;=20,"Evening (17-20)","Late (21-23)")))))</f>
        <v>Night (00-05)</v>
      </c>
    </row>
    <row r="160" customFormat="false" ht="15" hidden="false" customHeight="false" outlineLevel="0" collapsed="false">
      <c r="A160" s="37" t="s">
        <v>265</v>
      </c>
      <c r="B160" s="38" t="n">
        <v>46316</v>
      </c>
      <c r="C160" s="37" t="n">
        <v>18</v>
      </c>
      <c r="D160" s="37" t="s">
        <v>37</v>
      </c>
      <c r="E160" s="37" t="s">
        <v>48</v>
      </c>
      <c r="F160" s="37" t="s">
        <v>23</v>
      </c>
      <c r="G160" s="39" t="b">
        <f aca="false">TRUE()</f>
        <v>1</v>
      </c>
      <c r="H160" s="37" t="n">
        <v>898.99</v>
      </c>
      <c r="I160" s="37" t="n">
        <v>5</v>
      </c>
      <c r="J160" s="37" t="n">
        <v>38</v>
      </c>
      <c r="K160" s="37" t="n">
        <v>0</v>
      </c>
      <c r="L160" s="37" t="str">
        <f aca="false">IF(C160="","",IF(C160&lt;=5,"Night (00-05)",IF(C160&lt;=11,"Morning (06-11)",IF(C160&lt;=16,"Afternoon (12-16)",IF(C160&lt;=20,"Evening (17-20)","Late (21-23)")))))</f>
        <v>Evening (17-20)</v>
      </c>
    </row>
    <row r="161" customFormat="false" ht="15" hidden="false" customHeight="false" outlineLevel="0" collapsed="false">
      <c r="A161" s="37" t="s">
        <v>266</v>
      </c>
      <c r="B161" s="38" t="n">
        <v>46315</v>
      </c>
      <c r="C161" s="37" t="n">
        <v>22</v>
      </c>
      <c r="D161" s="37" t="s">
        <v>38</v>
      </c>
      <c r="E161" s="37" t="s">
        <v>46</v>
      </c>
      <c r="F161" s="37" t="s">
        <v>23</v>
      </c>
      <c r="G161" s="39" t="b">
        <f aca="false">TRUE()</f>
        <v>1</v>
      </c>
      <c r="H161" s="37" t="n">
        <v>1412.47</v>
      </c>
      <c r="I161" s="37" t="n">
        <v>4</v>
      </c>
      <c r="J161" s="37" t="n">
        <v>44</v>
      </c>
      <c r="K161" s="37" t="n">
        <v>0</v>
      </c>
      <c r="L161" s="37" t="str">
        <f aca="false">IF(C161="","",IF(C161&lt;=5,"Night (00-05)",IF(C161&lt;=11,"Morning (06-11)",IF(C161&lt;=16,"Afternoon (12-16)",IF(C161&lt;=20,"Evening (17-20)","Late (21-23)")))))</f>
        <v>Late (21-23)</v>
      </c>
    </row>
    <row r="162" customFormat="false" ht="15" hidden="false" customHeight="false" outlineLevel="0" collapsed="false">
      <c r="A162" s="37" t="s">
        <v>267</v>
      </c>
      <c r="B162" s="38" t="n">
        <v>46317</v>
      </c>
      <c r="C162" s="37" t="n">
        <v>2</v>
      </c>
      <c r="D162" s="37" t="s">
        <v>37</v>
      </c>
      <c r="E162" s="37" t="s">
        <v>49</v>
      </c>
      <c r="F162" s="37" t="s">
        <v>23</v>
      </c>
      <c r="G162" s="39" t="b">
        <f aca="false">TRUE()</f>
        <v>1</v>
      </c>
      <c r="H162" s="37" t="n">
        <v>420.85</v>
      </c>
      <c r="I162" s="37" t="n">
        <v>5</v>
      </c>
      <c r="J162" s="37" t="n">
        <v>35</v>
      </c>
      <c r="K162" s="37" t="n">
        <v>0</v>
      </c>
      <c r="L162" s="37" t="str">
        <f aca="false">IF(C162="","",IF(C162&lt;=5,"Night (00-05)",IF(C162&lt;=11,"Morning (06-11)",IF(C162&lt;=16,"Afternoon (12-16)",IF(C162&lt;=20,"Evening (17-20)","Late (21-23)")))))</f>
        <v>Night (00-05)</v>
      </c>
    </row>
    <row r="163" customFormat="false" ht="15" hidden="false" customHeight="false" outlineLevel="0" collapsed="false">
      <c r="A163" s="37" t="s">
        <v>268</v>
      </c>
      <c r="B163" s="38" t="n">
        <v>46319</v>
      </c>
      <c r="C163" s="37" t="n">
        <v>18</v>
      </c>
      <c r="D163" s="37" t="s">
        <v>39</v>
      </c>
      <c r="E163" s="37" t="s">
        <v>48</v>
      </c>
      <c r="F163" s="37" t="s">
        <v>23</v>
      </c>
      <c r="G163" s="39" t="b">
        <f aca="false">TRUE()</f>
        <v>1</v>
      </c>
      <c r="H163" s="37" t="n">
        <v>512.6</v>
      </c>
      <c r="I163" s="37" t="n">
        <v>5</v>
      </c>
      <c r="J163" s="37" t="n">
        <v>50</v>
      </c>
      <c r="K163" s="37" t="n">
        <v>0</v>
      </c>
      <c r="L163" s="37" t="str">
        <f aca="false">IF(C163="","",IF(C163&lt;=5,"Night (00-05)",IF(C163&lt;=11,"Morning (06-11)",IF(C163&lt;=16,"Afternoon (12-16)",IF(C163&lt;=20,"Evening (17-20)","Late (21-23)")))))</f>
        <v>Evening (17-20)</v>
      </c>
    </row>
    <row r="164" customFormat="false" ht="15" hidden="false" customHeight="false" outlineLevel="0" collapsed="false">
      <c r="A164" s="37" t="s">
        <v>269</v>
      </c>
      <c r="B164" s="38" t="n">
        <v>46316</v>
      </c>
      <c r="C164" s="37" t="n">
        <v>19</v>
      </c>
      <c r="D164" s="37" t="s">
        <v>39</v>
      </c>
      <c r="E164" s="37" t="s">
        <v>46</v>
      </c>
      <c r="F164" s="37" t="s">
        <v>23</v>
      </c>
      <c r="G164" s="39" t="b">
        <f aca="false">TRUE()</f>
        <v>1</v>
      </c>
      <c r="H164" s="37" t="n">
        <v>610.25</v>
      </c>
      <c r="I164" s="37" t="n">
        <v>5</v>
      </c>
      <c r="J164" s="37" t="n">
        <v>46</v>
      </c>
      <c r="K164" s="37" t="n">
        <v>0</v>
      </c>
      <c r="L164" s="37" t="str">
        <f aca="false">IF(C164="","",IF(C164&lt;=5,"Night (00-05)",IF(C164&lt;=11,"Morning (06-11)",IF(C164&lt;=16,"Afternoon (12-16)",IF(C164&lt;=20,"Evening (17-20)","Late (21-23)")))))</f>
        <v>Evening (17-20)</v>
      </c>
    </row>
    <row r="165" customFormat="false" ht="15" hidden="false" customHeight="false" outlineLevel="0" collapsed="false">
      <c r="A165" s="37" t="s">
        <v>270</v>
      </c>
      <c r="B165" s="38" t="n">
        <v>46321</v>
      </c>
      <c r="C165" s="37" t="n">
        <v>16</v>
      </c>
      <c r="D165" s="37" t="s">
        <v>40</v>
      </c>
      <c r="E165" s="37" t="s">
        <v>47</v>
      </c>
      <c r="F165" s="37" t="s">
        <v>23</v>
      </c>
      <c r="G165" s="39" t="b">
        <f aca="false">TRUE()</f>
        <v>1</v>
      </c>
      <c r="H165" s="37" t="n">
        <v>1011.94</v>
      </c>
      <c r="I165" s="37" t="n">
        <v>5</v>
      </c>
      <c r="J165" s="37" t="n">
        <v>55</v>
      </c>
      <c r="K165" s="37" t="n">
        <v>0</v>
      </c>
      <c r="L165" s="37" t="str">
        <f aca="false">IF(C165="","",IF(C165&lt;=5,"Night (00-05)",IF(C165&lt;=11,"Morning (06-11)",IF(C165&lt;=16,"Afternoon (12-16)",IF(C165&lt;=20,"Evening (17-20)","Late (21-23)")))))</f>
        <v>Afternoon (12-16)</v>
      </c>
    </row>
    <row r="166" customFormat="false" ht="15" hidden="false" customHeight="false" outlineLevel="0" collapsed="false">
      <c r="A166" s="37" t="s">
        <v>271</v>
      </c>
      <c r="B166" s="38" t="n">
        <v>46321</v>
      </c>
      <c r="C166" s="37" t="n">
        <v>3</v>
      </c>
      <c r="D166" s="37" t="s">
        <v>40</v>
      </c>
      <c r="E166" s="37" t="s">
        <v>47</v>
      </c>
      <c r="F166" s="37" t="s">
        <v>23</v>
      </c>
      <c r="G166" s="39" t="b">
        <f aca="false">TRUE()</f>
        <v>1</v>
      </c>
      <c r="H166" s="37" t="n">
        <v>1109.49</v>
      </c>
      <c r="I166" s="37" t="n">
        <v>3</v>
      </c>
      <c r="J166" s="37" t="n">
        <v>52</v>
      </c>
      <c r="K166" s="37" t="n">
        <v>0</v>
      </c>
      <c r="L166" s="37" t="str">
        <f aca="false">IF(C166="","",IF(C166&lt;=5,"Night (00-05)",IF(C166&lt;=11,"Morning (06-11)",IF(C166&lt;=16,"Afternoon (12-16)",IF(C166&lt;=20,"Evening (17-20)","Late (21-23)")))))</f>
        <v>Night (00-05)</v>
      </c>
    </row>
    <row r="167" customFormat="false" ht="15" hidden="false" customHeight="false" outlineLevel="0" collapsed="false">
      <c r="A167" s="37" t="s">
        <v>272</v>
      </c>
      <c r="B167" s="38" t="n">
        <v>46318</v>
      </c>
      <c r="C167" s="37" t="n">
        <v>15</v>
      </c>
      <c r="D167" s="37" t="s">
        <v>39</v>
      </c>
      <c r="E167" s="37" t="s">
        <v>46</v>
      </c>
      <c r="F167" s="37" t="s">
        <v>23</v>
      </c>
      <c r="G167" s="39" t="b">
        <f aca="false">TRUE()</f>
        <v>1</v>
      </c>
      <c r="H167" s="37" t="n">
        <v>671.19</v>
      </c>
      <c r="I167" s="37" t="n">
        <v>4</v>
      </c>
      <c r="J167" s="37" t="n">
        <v>45</v>
      </c>
      <c r="K167" s="37" t="n">
        <v>0</v>
      </c>
      <c r="L167" s="37" t="str">
        <f aca="false">IF(C167="","",IF(C167&lt;=5,"Night (00-05)",IF(C167&lt;=11,"Morning (06-11)",IF(C167&lt;=16,"Afternoon (12-16)",IF(C167&lt;=20,"Evening (17-20)","Late (21-23)")))))</f>
        <v>Afternoon (12-16)</v>
      </c>
    </row>
    <row r="168" customFormat="false" ht="15" hidden="false" customHeight="false" outlineLevel="0" collapsed="false">
      <c r="A168" s="37" t="s">
        <v>273</v>
      </c>
      <c r="B168" s="38" t="n">
        <v>46316</v>
      </c>
      <c r="C168" s="37" t="n">
        <v>19</v>
      </c>
      <c r="D168" s="37" t="s">
        <v>37</v>
      </c>
      <c r="E168" s="37" t="s">
        <v>47</v>
      </c>
      <c r="F168" s="37" t="s">
        <v>23</v>
      </c>
      <c r="G168" s="39" t="b">
        <f aca="false">TRUE()</f>
        <v>1</v>
      </c>
      <c r="H168" s="37" t="n">
        <v>558.34</v>
      </c>
      <c r="I168" s="37" t="n">
        <v>5</v>
      </c>
      <c r="J168" s="37" t="n">
        <v>41</v>
      </c>
      <c r="K168" s="37" t="n">
        <v>0</v>
      </c>
      <c r="L168" s="37" t="str">
        <f aca="false">IF(C168="","",IF(C168&lt;=5,"Night (00-05)",IF(C168&lt;=11,"Morning (06-11)",IF(C168&lt;=16,"Afternoon (12-16)",IF(C168&lt;=20,"Evening (17-20)","Late (21-23)")))))</f>
        <v>Evening (17-20)</v>
      </c>
    </row>
    <row r="169" customFormat="false" ht="15" hidden="false" customHeight="false" outlineLevel="0" collapsed="false">
      <c r="A169" s="37" t="s">
        <v>274</v>
      </c>
      <c r="B169" s="38" t="n">
        <v>46316</v>
      </c>
      <c r="C169" s="37" t="n">
        <v>12</v>
      </c>
      <c r="D169" s="37" t="s">
        <v>39</v>
      </c>
      <c r="E169" s="37" t="s">
        <v>48</v>
      </c>
      <c r="F169" s="37" t="s">
        <v>23</v>
      </c>
      <c r="G169" s="39" t="b">
        <f aca="false">TRUE()</f>
        <v>1</v>
      </c>
      <c r="H169" s="37" t="n">
        <v>602.54</v>
      </c>
      <c r="I169" s="37" t="n">
        <v>5</v>
      </c>
      <c r="J169" s="37" t="n">
        <v>20</v>
      </c>
      <c r="K169" s="37" t="n">
        <v>0</v>
      </c>
      <c r="L169" s="37" t="str">
        <f aca="false">IF(C169="","",IF(C169&lt;=5,"Night (00-05)",IF(C169&lt;=11,"Morning (06-11)",IF(C169&lt;=16,"Afternoon (12-16)",IF(C169&lt;=20,"Evening (17-20)","Late (21-23)")))))</f>
        <v>Afternoon (12-16)</v>
      </c>
    </row>
    <row r="170" customFormat="false" ht="15" hidden="false" customHeight="false" outlineLevel="0" collapsed="false">
      <c r="A170" s="37" t="s">
        <v>275</v>
      </c>
      <c r="B170" s="38" t="n">
        <v>46315</v>
      </c>
      <c r="C170" s="37" t="n">
        <v>17</v>
      </c>
      <c r="D170" s="37" t="s">
        <v>39</v>
      </c>
      <c r="E170" s="37" t="s">
        <v>47</v>
      </c>
      <c r="F170" s="37" t="s">
        <v>23</v>
      </c>
      <c r="G170" s="39" t="b">
        <f aca="false">TRUE()</f>
        <v>1</v>
      </c>
      <c r="H170" s="37" t="n">
        <v>609.47</v>
      </c>
      <c r="I170" s="37" t="n">
        <v>2</v>
      </c>
      <c r="J170" s="37" t="n">
        <v>27</v>
      </c>
      <c r="K170" s="37" t="n">
        <v>0</v>
      </c>
      <c r="L170" s="37" t="str">
        <f aca="false">IF(C170="","",IF(C170&lt;=5,"Night (00-05)",IF(C170&lt;=11,"Morning (06-11)",IF(C170&lt;=16,"Afternoon (12-16)",IF(C170&lt;=20,"Evening (17-20)","Late (21-23)")))))</f>
        <v>Evening (17-20)</v>
      </c>
    </row>
    <row r="171" customFormat="false" ht="15" hidden="false" customHeight="false" outlineLevel="0" collapsed="false">
      <c r="A171" s="37" t="s">
        <v>276</v>
      </c>
      <c r="B171" s="38" t="n">
        <v>46319</v>
      </c>
      <c r="C171" s="37" t="n">
        <v>0</v>
      </c>
      <c r="D171" s="37" t="s">
        <v>38</v>
      </c>
      <c r="E171" s="37" t="s">
        <v>47</v>
      </c>
      <c r="F171" s="37" t="s">
        <v>23</v>
      </c>
      <c r="G171" s="39" t="b">
        <f aca="false">TRUE()</f>
        <v>1</v>
      </c>
      <c r="H171" s="37" t="n">
        <v>1384.68</v>
      </c>
      <c r="I171" s="37" t="n">
        <v>1</v>
      </c>
      <c r="J171" s="37" t="n">
        <v>54</v>
      </c>
      <c r="K171" s="37" t="n">
        <v>0</v>
      </c>
      <c r="L171" s="37" t="str">
        <f aca="false">IF(C171="","",IF(C171&lt;=5,"Night (00-05)",IF(C171&lt;=11,"Morning (06-11)",IF(C171&lt;=16,"Afternoon (12-16)",IF(C171&lt;=20,"Evening (17-20)","Late (21-23)")))))</f>
        <v>Night (00-05)</v>
      </c>
    </row>
    <row r="172" customFormat="false" ht="15" hidden="false" customHeight="false" outlineLevel="0" collapsed="false">
      <c r="A172" s="37" t="s">
        <v>277</v>
      </c>
      <c r="B172" s="38" t="n">
        <v>46319</v>
      </c>
      <c r="C172" s="37" t="n">
        <v>23</v>
      </c>
      <c r="D172" s="37" t="s">
        <v>40</v>
      </c>
      <c r="E172" s="37" t="s">
        <v>49</v>
      </c>
      <c r="F172" s="37" t="s">
        <v>23</v>
      </c>
      <c r="G172" s="39" t="b">
        <f aca="false">TRUE()</f>
        <v>1</v>
      </c>
      <c r="H172" s="37" t="n">
        <v>500.25</v>
      </c>
      <c r="I172" s="37" t="n">
        <v>4</v>
      </c>
      <c r="J172" s="37" t="n">
        <v>46</v>
      </c>
      <c r="K172" s="37" t="n">
        <v>0</v>
      </c>
      <c r="L172" s="37" t="str">
        <f aca="false">IF(C172="","",IF(C172&lt;=5,"Night (00-05)",IF(C172&lt;=11,"Morning (06-11)",IF(C172&lt;=16,"Afternoon (12-16)",IF(C172&lt;=20,"Evening (17-20)","Late (21-23)")))))</f>
        <v>Late (21-23)</v>
      </c>
    </row>
    <row r="173" customFormat="false" ht="15" hidden="false" customHeight="false" outlineLevel="0" collapsed="false">
      <c r="A173" s="37" t="s">
        <v>278</v>
      </c>
      <c r="B173" s="38" t="n">
        <v>46320</v>
      </c>
      <c r="C173" s="37" t="n">
        <v>14</v>
      </c>
      <c r="D173" s="37" t="s">
        <v>38</v>
      </c>
      <c r="E173" s="37" t="s">
        <v>49</v>
      </c>
      <c r="F173" s="37" t="s">
        <v>23</v>
      </c>
      <c r="G173" s="39" t="b">
        <f aca="false">TRUE()</f>
        <v>1</v>
      </c>
      <c r="H173" s="37" t="n">
        <v>1410.33</v>
      </c>
      <c r="I173" s="37" t="n">
        <v>5</v>
      </c>
      <c r="J173" s="37" t="n">
        <v>44</v>
      </c>
      <c r="K173" s="37" t="n">
        <v>0</v>
      </c>
      <c r="L173" s="37" t="str">
        <f aca="false">IF(C173="","",IF(C173&lt;=5,"Night (00-05)",IF(C173&lt;=11,"Morning (06-11)",IF(C173&lt;=16,"Afternoon (12-16)",IF(C173&lt;=20,"Evening (17-20)","Late (21-23)")))))</f>
        <v>Afternoon (12-16)</v>
      </c>
    </row>
    <row r="174" customFormat="false" ht="15" hidden="false" customHeight="false" outlineLevel="0" collapsed="false">
      <c r="A174" s="37" t="s">
        <v>279</v>
      </c>
      <c r="B174" s="38" t="n">
        <v>46318</v>
      </c>
      <c r="C174" s="37" t="n">
        <v>1</v>
      </c>
      <c r="D174" s="37" t="s">
        <v>38</v>
      </c>
      <c r="E174" s="37" t="s">
        <v>46</v>
      </c>
      <c r="F174" s="37" t="s">
        <v>23</v>
      </c>
      <c r="G174" s="39" t="b">
        <f aca="false">TRUE()</f>
        <v>1</v>
      </c>
      <c r="H174" s="37" t="n">
        <v>967.79</v>
      </c>
      <c r="I174" s="37" t="n">
        <v>5</v>
      </c>
      <c r="J174" s="37" t="n">
        <v>26</v>
      </c>
      <c r="K174" s="37" t="n">
        <v>0</v>
      </c>
      <c r="L174" s="37" t="str">
        <f aca="false">IF(C174="","",IF(C174&lt;=5,"Night (00-05)",IF(C174&lt;=11,"Morning (06-11)",IF(C174&lt;=16,"Afternoon (12-16)",IF(C174&lt;=20,"Evening (17-20)","Late (21-23)")))))</f>
        <v>Night (00-05)</v>
      </c>
    </row>
    <row r="175" customFormat="false" ht="15" hidden="false" customHeight="false" outlineLevel="0" collapsed="false">
      <c r="A175" s="37" t="s">
        <v>280</v>
      </c>
      <c r="B175" s="38" t="n">
        <v>46321</v>
      </c>
      <c r="C175" s="37" t="n">
        <v>1</v>
      </c>
      <c r="D175" s="37" t="s">
        <v>40</v>
      </c>
      <c r="E175" s="37" t="s">
        <v>46</v>
      </c>
      <c r="F175" s="37" t="s">
        <v>23</v>
      </c>
      <c r="G175" s="39" t="b">
        <f aca="false">TRUE()</f>
        <v>1</v>
      </c>
      <c r="H175" s="37" t="n">
        <v>1149.81</v>
      </c>
      <c r="I175" s="37" t="n">
        <v>5</v>
      </c>
      <c r="J175" s="37" t="n">
        <v>49</v>
      </c>
      <c r="K175" s="37" t="n">
        <v>0</v>
      </c>
      <c r="L175" s="37" t="str">
        <f aca="false">IF(C175="","",IF(C175&lt;=5,"Night (00-05)",IF(C175&lt;=11,"Morning (06-11)",IF(C175&lt;=16,"Afternoon (12-16)",IF(C175&lt;=20,"Evening (17-20)","Late (21-23)")))))</f>
        <v>Night (00-05)</v>
      </c>
    </row>
    <row r="176" customFormat="false" ht="15" hidden="false" customHeight="false" outlineLevel="0" collapsed="false">
      <c r="A176" s="37" t="s">
        <v>281</v>
      </c>
      <c r="B176" s="38" t="n">
        <v>46319</v>
      </c>
      <c r="C176" s="37" t="n">
        <v>0</v>
      </c>
      <c r="D176" s="37" t="s">
        <v>38</v>
      </c>
      <c r="E176" s="37" t="s">
        <v>49</v>
      </c>
      <c r="F176" s="37" t="s">
        <v>23</v>
      </c>
      <c r="G176" s="39" t="b">
        <f aca="false">TRUE()</f>
        <v>1</v>
      </c>
      <c r="H176" s="37" t="n">
        <v>824.89</v>
      </c>
      <c r="I176" s="37" t="n">
        <v>5</v>
      </c>
      <c r="J176" s="37" t="n">
        <v>32</v>
      </c>
      <c r="K176" s="37" t="n">
        <v>0</v>
      </c>
      <c r="L176" s="37" t="str">
        <f aca="false">IF(C176="","",IF(C176&lt;=5,"Night (00-05)",IF(C176&lt;=11,"Morning (06-11)",IF(C176&lt;=16,"Afternoon (12-16)",IF(C176&lt;=20,"Evening (17-20)","Late (21-23)")))))</f>
        <v>Night (00-05)</v>
      </c>
    </row>
    <row r="177" customFormat="false" ht="15" hidden="false" customHeight="false" outlineLevel="0" collapsed="false">
      <c r="A177" s="37" t="s">
        <v>282</v>
      </c>
      <c r="B177" s="38" t="n">
        <v>46318</v>
      </c>
      <c r="C177" s="37" t="n">
        <v>4</v>
      </c>
      <c r="D177" s="37" t="s">
        <v>39</v>
      </c>
      <c r="E177" s="37" t="s">
        <v>46</v>
      </c>
      <c r="F177" s="37" t="s">
        <v>113</v>
      </c>
      <c r="G177" s="39" t="b">
        <f aca="false">FALSE()</f>
        <v>0</v>
      </c>
      <c r="H177" s="37" t="n">
        <v>313.65</v>
      </c>
      <c r="K177" s="37" t="n">
        <v>0</v>
      </c>
      <c r="L177" s="37" t="str">
        <f aca="false">IF(C177="","",IF(C177&lt;=5,"Night (00-05)",IF(C177&lt;=11,"Morning (06-11)",IF(C177&lt;=16,"Afternoon (12-16)",IF(C177&lt;=20,"Evening (17-20)","Late (21-23)")))))</f>
        <v>Night (00-05)</v>
      </c>
    </row>
    <row r="178" customFormat="false" ht="15" hidden="false" customHeight="false" outlineLevel="0" collapsed="false">
      <c r="A178" s="37" t="s">
        <v>283</v>
      </c>
      <c r="B178" s="38" t="n">
        <v>46318</v>
      </c>
      <c r="C178" s="37" t="n">
        <v>3</v>
      </c>
      <c r="D178" s="37" t="s">
        <v>40</v>
      </c>
      <c r="E178" s="37" t="s">
        <v>46</v>
      </c>
      <c r="F178" s="37" t="s">
        <v>23</v>
      </c>
      <c r="G178" s="39" t="b">
        <f aca="false">FALSE()</f>
        <v>0</v>
      </c>
      <c r="H178" s="37" t="n">
        <v>598.58</v>
      </c>
      <c r="I178" s="37" t="n">
        <v>2</v>
      </c>
      <c r="J178" s="37" t="n">
        <v>92</v>
      </c>
      <c r="K178" s="37" t="n">
        <v>1</v>
      </c>
      <c r="L178" s="37" t="str">
        <f aca="false">IF(C178="","",IF(C178&lt;=5,"Night (00-05)",IF(C178&lt;=11,"Morning (06-11)",IF(C178&lt;=16,"Afternoon (12-16)",IF(C178&lt;=20,"Evening (17-20)","Late (21-23)")))))</f>
        <v>Night (00-05)</v>
      </c>
    </row>
    <row r="179" customFormat="false" ht="15" hidden="false" customHeight="false" outlineLevel="0" collapsed="false">
      <c r="A179" s="37" t="s">
        <v>284</v>
      </c>
      <c r="B179" s="38" t="n">
        <v>46318</v>
      </c>
      <c r="C179" s="37" t="n">
        <v>18</v>
      </c>
      <c r="D179" s="37" t="s">
        <v>39</v>
      </c>
      <c r="E179" s="37" t="s">
        <v>46</v>
      </c>
      <c r="F179" s="37" t="s">
        <v>23</v>
      </c>
      <c r="G179" s="39" t="b">
        <f aca="false">TRUE()</f>
        <v>1</v>
      </c>
      <c r="H179" s="37" t="n">
        <v>668.72</v>
      </c>
      <c r="I179" s="37" t="n">
        <v>5</v>
      </c>
      <c r="J179" s="37" t="n">
        <v>25</v>
      </c>
      <c r="K179" s="37" t="n">
        <v>0</v>
      </c>
      <c r="L179" s="37" t="str">
        <f aca="false">IF(C179="","",IF(C179&lt;=5,"Night (00-05)",IF(C179&lt;=11,"Morning (06-11)",IF(C179&lt;=16,"Afternoon (12-16)",IF(C179&lt;=20,"Evening (17-20)","Late (21-23)")))))</f>
        <v>Evening (17-20)</v>
      </c>
    </row>
    <row r="180" customFormat="false" ht="15" hidden="false" customHeight="false" outlineLevel="0" collapsed="false">
      <c r="A180" s="37" t="s">
        <v>285</v>
      </c>
      <c r="B180" s="38" t="n">
        <v>46315</v>
      </c>
      <c r="C180" s="37" t="n">
        <v>20</v>
      </c>
      <c r="D180" s="37" t="s">
        <v>40</v>
      </c>
      <c r="E180" s="37" t="s">
        <v>46</v>
      </c>
      <c r="F180" s="37" t="s">
        <v>23</v>
      </c>
      <c r="G180" s="39" t="b">
        <f aca="false">TRUE()</f>
        <v>1</v>
      </c>
      <c r="H180" s="37" t="n">
        <v>581.08</v>
      </c>
      <c r="I180" s="37" t="n">
        <v>4</v>
      </c>
      <c r="J180" s="37" t="n">
        <v>38</v>
      </c>
      <c r="K180" s="37" t="n">
        <v>0</v>
      </c>
      <c r="L180" s="37" t="str">
        <f aca="false">IF(C180="","",IF(C180&lt;=5,"Night (00-05)",IF(C180&lt;=11,"Morning (06-11)",IF(C180&lt;=16,"Afternoon (12-16)",IF(C180&lt;=20,"Evening (17-20)","Late (21-23)")))))</f>
        <v>Evening (17-20)</v>
      </c>
    </row>
    <row r="181" customFormat="false" ht="15" hidden="false" customHeight="false" outlineLevel="0" collapsed="false">
      <c r="A181" s="37" t="s">
        <v>286</v>
      </c>
      <c r="B181" s="38" t="n">
        <v>46320</v>
      </c>
      <c r="C181" s="37" t="n">
        <v>1</v>
      </c>
      <c r="D181" s="37" t="s">
        <v>39</v>
      </c>
      <c r="E181" s="37" t="s">
        <v>46</v>
      </c>
      <c r="F181" s="37" t="s">
        <v>23</v>
      </c>
      <c r="G181" s="39" t="b">
        <f aca="false">TRUE()</f>
        <v>1</v>
      </c>
      <c r="H181" s="37" t="n">
        <v>477.85</v>
      </c>
      <c r="I181" s="37" t="n">
        <v>5</v>
      </c>
      <c r="J181" s="37" t="n">
        <v>42</v>
      </c>
      <c r="K181" s="37" t="n">
        <v>0</v>
      </c>
      <c r="L181" s="37" t="str">
        <f aca="false">IF(C181="","",IF(C181&lt;=5,"Night (00-05)",IF(C181&lt;=11,"Morning (06-11)",IF(C181&lt;=16,"Afternoon (12-16)",IF(C181&lt;=20,"Evening (17-20)","Late (21-23)")))))</f>
        <v>Night (00-05)</v>
      </c>
    </row>
    <row r="182" customFormat="false" ht="15" hidden="false" customHeight="false" outlineLevel="0" collapsed="false">
      <c r="A182" s="37" t="s">
        <v>287</v>
      </c>
      <c r="B182" s="38" t="n">
        <v>46318</v>
      </c>
      <c r="C182" s="37" t="n">
        <v>17</v>
      </c>
      <c r="D182" s="37" t="s">
        <v>38</v>
      </c>
      <c r="E182" s="37" t="s">
        <v>49</v>
      </c>
      <c r="F182" s="37" t="s">
        <v>23</v>
      </c>
      <c r="G182" s="39" t="b">
        <f aca="false">TRUE()</f>
        <v>1</v>
      </c>
      <c r="H182" s="37" t="n">
        <v>1053.32</v>
      </c>
      <c r="I182" s="37" t="n">
        <v>5</v>
      </c>
      <c r="J182" s="37" t="n">
        <v>30</v>
      </c>
      <c r="K182" s="37" t="n">
        <v>0</v>
      </c>
      <c r="L182" s="37" t="str">
        <f aca="false">IF(C182="","",IF(C182&lt;=5,"Night (00-05)",IF(C182&lt;=11,"Morning (06-11)",IF(C182&lt;=16,"Afternoon (12-16)",IF(C182&lt;=20,"Evening (17-20)","Late (21-23)")))))</f>
        <v>Evening (17-20)</v>
      </c>
    </row>
    <row r="183" customFormat="false" ht="15" hidden="false" customHeight="false" outlineLevel="0" collapsed="false">
      <c r="A183" s="37" t="s">
        <v>288</v>
      </c>
      <c r="B183" s="38" t="n">
        <v>46317</v>
      </c>
      <c r="C183" s="37" t="n">
        <v>3</v>
      </c>
      <c r="D183" s="37" t="s">
        <v>39</v>
      </c>
      <c r="E183" s="37" t="s">
        <v>47</v>
      </c>
      <c r="F183" s="37" t="s">
        <v>23</v>
      </c>
      <c r="G183" s="39" t="b">
        <f aca="false">TRUE()</f>
        <v>1</v>
      </c>
      <c r="H183" s="37" t="n">
        <v>349.49</v>
      </c>
      <c r="I183" s="37" t="n">
        <v>4</v>
      </c>
      <c r="J183" s="37" t="n">
        <v>43</v>
      </c>
      <c r="K183" s="37" t="n">
        <v>0</v>
      </c>
      <c r="L183" s="37" t="str">
        <f aca="false">IF(C183="","",IF(C183&lt;=5,"Night (00-05)",IF(C183&lt;=11,"Morning (06-11)",IF(C183&lt;=16,"Afternoon (12-16)",IF(C183&lt;=20,"Evening (17-20)","Late (21-23)")))))</f>
        <v>Night (00-05)</v>
      </c>
    </row>
    <row r="184" customFormat="false" ht="15" hidden="false" customHeight="false" outlineLevel="0" collapsed="false">
      <c r="A184" s="37" t="s">
        <v>289</v>
      </c>
      <c r="B184" s="38" t="n">
        <v>46319</v>
      </c>
      <c r="C184" s="37" t="n">
        <v>11</v>
      </c>
      <c r="D184" s="37" t="s">
        <v>39</v>
      </c>
      <c r="E184" s="37" t="s">
        <v>46</v>
      </c>
      <c r="F184" s="37" t="s">
        <v>23</v>
      </c>
      <c r="G184" s="39" t="b">
        <f aca="false">TRUE()</f>
        <v>1</v>
      </c>
      <c r="H184" s="37" t="n">
        <v>447.81</v>
      </c>
      <c r="I184" s="37" t="n">
        <v>4</v>
      </c>
      <c r="J184" s="37" t="n">
        <v>28</v>
      </c>
      <c r="K184" s="37" t="n">
        <v>0</v>
      </c>
      <c r="L184" s="37" t="str">
        <f aca="false">IF(C184="","",IF(C184&lt;=5,"Night (00-05)",IF(C184&lt;=11,"Morning (06-11)",IF(C184&lt;=16,"Afternoon (12-16)",IF(C184&lt;=20,"Evening (17-20)","Late (21-23)")))))</f>
        <v>Morning (06-11)</v>
      </c>
    </row>
    <row r="185" customFormat="false" ht="15" hidden="false" customHeight="false" outlineLevel="0" collapsed="false">
      <c r="A185" s="37" t="s">
        <v>290</v>
      </c>
      <c r="B185" s="38" t="n">
        <v>46318</v>
      </c>
      <c r="C185" s="37" t="n">
        <v>18</v>
      </c>
      <c r="D185" s="37" t="s">
        <v>38</v>
      </c>
      <c r="E185" s="37" t="s">
        <v>47</v>
      </c>
      <c r="F185" s="37" t="s">
        <v>23</v>
      </c>
      <c r="G185" s="39" t="b">
        <f aca="false">TRUE()</f>
        <v>1</v>
      </c>
      <c r="H185" s="37" t="n">
        <v>1313.97</v>
      </c>
      <c r="I185" s="37" t="n">
        <v>5</v>
      </c>
      <c r="J185" s="37" t="n">
        <v>44</v>
      </c>
      <c r="K185" s="37" t="n">
        <v>0</v>
      </c>
      <c r="L185" s="37" t="str">
        <f aca="false">IF(C185="","",IF(C185&lt;=5,"Night (00-05)",IF(C185&lt;=11,"Morning (06-11)",IF(C185&lt;=16,"Afternoon (12-16)",IF(C185&lt;=20,"Evening (17-20)","Late (21-23)")))))</f>
        <v>Evening (17-20)</v>
      </c>
    </row>
    <row r="186" customFormat="false" ht="15" hidden="false" customHeight="false" outlineLevel="0" collapsed="false">
      <c r="A186" s="37" t="s">
        <v>291</v>
      </c>
      <c r="B186" s="38" t="n">
        <v>46315</v>
      </c>
      <c r="C186" s="37" t="n">
        <v>17</v>
      </c>
      <c r="D186" s="37" t="s">
        <v>39</v>
      </c>
      <c r="E186" s="37" t="s">
        <v>48</v>
      </c>
      <c r="F186" s="37" t="s">
        <v>23</v>
      </c>
      <c r="G186" s="39" t="b">
        <f aca="false">TRUE()</f>
        <v>1</v>
      </c>
      <c r="H186" s="37" t="n">
        <v>697.55</v>
      </c>
      <c r="I186" s="37" t="n">
        <v>4</v>
      </c>
      <c r="J186" s="37" t="n">
        <v>51</v>
      </c>
      <c r="K186" s="37" t="n">
        <v>0</v>
      </c>
      <c r="L186" s="37" t="str">
        <f aca="false">IF(C186="","",IF(C186&lt;=5,"Night (00-05)",IF(C186&lt;=11,"Morning (06-11)",IF(C186&lt;=16,"Afternoon (12-16)",IF(C186&lt;=20,"Evening (17-20)","Late (21-23)")))))</f>
        <v>Evening (17-20)</v>
      </c>
    </row>
    <row r="187" customFormat="false" ht="15" hidden="false" customHeight="false" outlineLevel="0" collapsed="false">
      <c r="A187" s="37" t="s">
        <v>292</v>
      </c>
      <c r="B187" s="38" t="n">
        <v>46317</v>
      </c>
      <c r="C187" s="37" t="n">
        <v>3</v>
      </c>
      <c r="D187" s="37" t="s">
        <v>39</v>
      </c>
      <c r="E187" s="37" t="s">
        <v>47</v>
      </c>
      <c r="F187" s="37" t="s">
        <v>129</v>
      </c>
      <c r="G187" s="39" t="b">
        <f aca="false">FALSE()</f>
        <v>0</v>
      </c>
      <c r="H187" s="37" t="n">
        <v>623.21</v>
      </c>
      <c r="K187" s="37" t="n">
        <v>0</v>
      </c>
      <c r="L187" s="37" t="str">
        <f aca="false">IF(C187="","",IF(C187&lt;=5,"Night (00-05)",IF(C187&lt;=11,"Morning (06-11)",IF(C187&lt;=16,"Afternoon (12-16)",IF(C187&lt;=20,"Evening (17-20)","Late (21-23)")))))</f>
        <v>Night (00-05)</v>
      </c>
    </row>
    <row r="188" customFormat="false" ht="15" hidden="false" customHeight="false" outlineLevel="0" collapsed="false">
      <c r="A188" s="37" t="s">
        <v>293</v>
      </c>
      <c r="B188" s="38" t="n">
        <v>46318</v>
      </c>
      <c r="C188" s="37" t="n">
        <v>0</v>
      </c>
      <c r="D188" s="37" t="s">
        <v>40</v>
      </c>
      <c r="E188" s="37" t="s">
        <v>46</v>
      </c>
      <c r="F188" s="37" t="s">
        <v>23</v>
      </c>
      <c r="G188" s="39" t="b">
        <f aca="false">TRUE()</f>
        <v>1</v>
      </c>
      <c r="H188" s="37" t="n">
        <v>1180.09</v>
      </c>
      <c r="I188" s="37" t="n">
        <v>5</v>
      </c>
      <c r="J188" s="37" t="n">
        <v>31</v>
      </c>
      <c r="K188" s="37" t="n">
        <v>0</v>
      </c>
      <c r="L188" s="37" t="str">
        <f aca="false">IF(C188="","",IF(C188&lt;=5,"Night (00-05)",IF(C188&lt;=11,"Morning (06-11)",IF(C188&lt;=16,"Afternoon (12-16)",IF(C188&lt;=20,"Evening (17-20)","Late (21-23)")))))</f>
        <v>Night (00-05)</v>
      </c>
    </row>
    <row r="189" customFormat="false" ht="15" hidden="false" customHeight="false" outlineLevel="0" collapsed="false">
      <c r="A189" s="37" t="s">
        <v>294</v>
      </c>
      <c r="B189" s="38" t="n">
        <v>46319</v>
      </c>
      <c r="C189" s="37" t="n">
        <v>17</v>
      </c>
      <c r="D189" s="37" t="s">
        <v>37</v>
      </c>
      <c r="E189" s="37" t="s">
        <v>48</v>
      </c>
      <c r="F189" s="37" t="s">
        <v>23</v>
      </c>
      <c r="G189" s="39" t="b">
        <f aca="false">TRUE()</f>
        <v>1</v>
      </c>
      <c r="H189" s="37" t="n">
        <v>794.19</v>
      </c>
      <c r="I189" s="37" t="n">
        <v>5</v>
      </c>
      <c r="J189" s="37" t="n">
        <v>55</v>
      </c>
      <c r="K189" s="37" t="n">
        <v>0</v>
      </c>
      <c r="L189" s="37" t="str">
        <f aca="false">IF(C189="","",IF(C189&lt;=5,"Night (00-05)",IF(C189&lt;=11,"Morning (06-11)",IF(C189&lt;=16,"Afternoon (12-16)",IF(C189&lt;=20,"Evening (17-20)","Late (21-23)")))))</f>
        <v>Evening (17-20)</v>
      </c>
    </row>
    <row r="190" customFormat="false" ht="15" hidden="false" customHeight="false" outlineLevel="0" collapsed="false">
      <c r="A190" s="37" t="s">
        <v>295</v>
      </c>
      <c r="B190" s="38" t="n">
        <v>46319</v>
      </c>
      <c r="C190" s="37" t="n">
        <v>2</v>
      </c>
      <c r="D190" s="37" t="s">
        <v>38</v>
      </c>
      <c r="E190" s="37" t="s">
        <v>47</v>
      </c>
      <c r="F190" s="37" t="s">
        <v>129</v>
      </c>
      <c r="G190" s="39" t="b">
        <f aca="false">FALSE()</f>
        <v>0</v>
      </c>
      <c r="H190" s="37" t="n">
        <v>1015.5</v>
      </c>
      <c r="K190" s="37" t="n">
        <v>0</v>
      </c>
      <c r="L190" s="37" t="str">
        <f aca="false">IF(C190="","",IF(C190&lt;=5,"Night (00-05)",IF(C190&lt;=11,"Morning (06-11)",IF(C190&lt;=16,"Afternoon (12-16)",IF(C190&lt;=20,"Evening (17-20)","Late (21-23)")))))</f>
        <v>Night (00-05)</v>
      </c>
    </row>
    <row r="191" customFormat="false" ht="15" hidden="false" customHeight="false" outlineLevel="0" collapsed="false">
      <c r="A191" s="37" t="s">
        <v>296</v>
      </c>
      <c r="B191" s="38" t="n">
        <v>46320</v>
      </c>
      <c r="C191" s="37" t="n">
        <v>21</v>
      </c>
      <c r="D191" s="37" t="s">
        <v>39</v>
      </c>
      <c r="E191" s="37" t="s">
        <v>47</v>
      </c>
      <c r="F191" s="37" t="s">
        <v>23</v>
      </c>
      <c r="G191" s="39" t="b">
        <f aca="false">TRUE()</f>
        <v>1</v>
      </c>
      <c r="H191" s="37" t="n">
        <v>349.13</v>
      </c>
      <c r="I191" s="37" t="n">
        <v>4</v>
      </c>
      <c r="J191" s="37" t="n">
        <v>24</v>
      </c>
      <c r="K191" s="37" t="n">
        <v>0</v>
      </c>
      <c r="L191" s="37" t="str">
        <f aca="false">IF(C191="","",IF(C191&lt;=5,"Night (00-05)",IF(C191&lt;=11,"Morning (06-11)",IF(C191&lt;=16,"Afternoon (12-16)",IF(C191&lt;=20,"Evening (17-20)","Late (21-23)")))))</f>
        <v>Late (21-23)</v>
      </c>
    </row>
    <row r="192" customFormat="false" ht="15" hidden="false" customHeight="false" outlineLevel="0" collapsed="false">
      <c r="A192" s="37" t="s">
        <v>297</v>
      </c>
      <c r="B192" s="38" t="n">
        <v>46320</v>
      </c>
      <c r="C192" s="37" t="n">
        <v>22</v>
      </c>
      <c r="D192" s="37" t="s">
        <v>37</v>
      </c>
      <c r="E192" s="37" t="s">
        <v>48</v>
      </c>
      <c r="F192" s="37" t="s">
        <v>113</v>
      </c>
      <c r="G192" s="39" t="b">
        <f aca="false">TRUE()</f>
        <v>1</v>
      </c>
      <c r="H192" s="37" t="n">
        <v>615.31</v>
      </c>
      <c r="K192" s="37" t="n">
        <v>0</v>
      </c>
      <c r="L192" s="37" t="str">
        <f aca="false">IF(C192="","",IF(C192&lt;=5,"Night (00-05)",IF(C192&lt;=11,"Morning (06-11)",IF(C192&lt;=16,"Afternoon (12-16)",IF(C192&lt;=20,"Evening (17-20)","Late (21-23)")))))</f>
        <v>Late (21-23)</v>
      </c>
    </row>
    <row r="193" customFormat="false" ht="15" hidden="false" customHeight="false" outlineLevel="0" collapsed="false">
      <c r="A193" s="37" t="s">
        <v>298</v>
      </c>
      <c r="B193" s="38" t="n">
        <v>46316</v>
      </c>
      <c r="C193" s="37" t="n">
        <v>2</v>
      </c>
      <c r="D193" s="37" t="s">
        <v>40</v>
      </c>
      <c r="E193" s="37" t="s">
        <v>48</v>
      </c>
      <c r="F193" s="37" t="s">
        <v>113</v>
      </c>
      <c r="G193" s="39" t="b">
        <f aca="false">TRUE()</f>
        <v>1</v>
      </c>
      <c r="H193" s="37" t="n">
        <v>628.57</v>
      </c>
      <c r="K193" s="37" t="n">
        <v>0</v>
      </c>
      <c r="L193" s="37" t="str">
        <f aca="false">IF(C193="","",IF(C193&lt;=5,"Night (00-05)",IF(C193&lt;=11,"Morning (06-11)",IF(C193&lt;=16,"Afternoon (12-16)",IF(C193&lt;=20,"Evening (17-20)","Late (21-23)")))))</f>
        <v>Night (00-05)</v>
      </c>
    </row>
    <row r="194" customFormat="false" ht="15" hidden="false" customHeight="false" outlineLevel="0" collapsed="false">
      <c r="A194" s="37" t="s">
        <v>299</v>
      </c>
      <c r="B194" s="38" t="n">
        <v>46316</v>
      </c>
      <c r="C194" s="37" t="n">
        <v>18</v>
      </c>
      <c r="D194" s="37" t="s">
        <v>40</v>
      </c>
      <c r="E194" s="37" t="s">
        <v>47</v>
      </c>
      <c r="F194" s="37" t="s">
        <v>23</v>
      </c>
      <c r="G194" s="39" t="b">
        <f aca="false">TRUE()</f>
        <v>1</v>
      </c>
      <c r="H194" s="37" t="n">
        <v>699.48</v>
      </c>
      <c r="I194" s="37" t="n">
        <v>4</v>
      </c>
      <c r="J194" s="37" t="n">
        <v>55</v>
      </c>
      <c r="K194" s="37" t="n">
        <v>0</v>
      </c>
      <c r="L194" s="37" t="str">
        <f aca="false">IF(C194="","",IF(C194&lt;=5,"Night (00-05)",IF(C194&lt;=11,"Morning (06-11)",IF(C194&lt;=16,"Afternoon (12-16)",IF(C194&lt;=20,"Evening (17-20)","Late (21-23)")))))</f>
        <v>Evening (17-20)</v>
      </c>
    </row>
    <row r="195" customFormat="false" ht="15" hidden="false" customHeight="false" outlineLevel="0" collapsed="false">
      <c r="A195" s="37" t="s">
        <v>300</v>
      </c>
      <c r="B195" s="38" t="n">
        <v>46320</v>
      </c>
      <c r="C195" s="37" t="n">
        <v>18</v>
      </c>
      <c r="D195" s="37" t="s">
        <v>37</v>
      </c>
      <c r="E195" s="37" t="s">
        <v>48</v>
      </c>
      <c r="F195" s="37" t="s">
        <v>23</v>
      </c>
      <c r="G195" s="39" t="b">
        <f aca="false">TRUE()</f>
        <v>1</v>
      </c>
      <c r="H195" s="37" t="n">
        <v>484.6</v>
      </c>
      <c r="I195" s="37" t="n">
        <v>5</v>
      </c>
      <c r="J195" s="37" t="n">
        <v>41</v>
      </c>
      <c r="K195" s="37" t="n">
        <v>0</v>
      </c>
      <c r="L195" s="37" t="str">
        <f aca="false">IF(C195="","",IF(C195&lt;=5,"Night (00-05)",IF(C195&lt;=11,"Morning (06-11)",IF(C195&lt;=16,"Afternoon (12-16)",IF(C195&lt;=20,"Evening (17-20)","Late (21-23)")))))</f>
        <v>Evening (17-20)</v>
      </c>
    </row>
    <row r="196" customFormat="false" ht="15" hidden="false" customHeight="false" outlineLevel="0" collapsed="false">
      <c r="A196" s="37" t="s">
        <v>301</v>
      </c>
      <c r="B196" s="38" t="n">
        <v>46319</v>
      </c>
      <c r="C196" s="37" t="n">
        <v>12</v>
      </c>
      <c r="D196" s="37" t="s">
        <v>38</v>
      </c>
      <c r="E196" s="37" t="s">
        <v>47</v>
      </c>
      <c r="F196" s="37" t="s">
        <v>23</v>
      </c>
      <c r="G196" s="39" t="b">
        <f aca="false">TRUE()</f>
        <v>1</v>
      </c>
      <c r="H196" s="37" t="n">
        <v>1462.98</v>
      </c>
      <c r="I196" s="37" t="n">
        <v>5</v>
      </c>
      <c r="J196" s="37" t="n">
        <v>36</v>
      </c>
      <c r="K196" s="37" t="n">
        <v>0</v>
      </c>
      <c r="L196" s="37" t="str">
        <f aca="false">IF(C196="","",IF(C196&lt;=5,"Night (00-05)",IF(C196&lt;=11,"Morning (06-11)",IF(C196&lt;=16,"Afternoon (12-16)",IF(C196&lt;=20,"Evening (17-20)","Late (21-23)")))))</f>
        <v>Afternoon (12-16)</v>
      </c>
    </row>
    <row r="197" customFormat="false" ht="15" hidden="false" customHeight="false" outlineLevel="0" collapsed="false">
      <c r="A197" s="37" t="s">
        <v>302</v>
      </c>
      <c r="B197" s="38" t="n">
        <v>46321</v>
      </c>
      <c r="C197" s="37" t="n">
        <v>23</v>
      </c>
      <c r="D197" s="37" t="s">
        <v>38</v>
      </c>
      <c r="E197" s="37" t="s">
        <v>49</v>
      </c>
      <c r="F197" s="37" t="s">
        <v>23</v>
      </c>
      <c r="G197" s="39" t="b">
        <f aca="false">TRUE()</f>
        <v>1</v>
      </c>
      <c r="H197" s="37" t="n">
        <v>1421.3</v>
      </c>
      <c r="I197" s="37" t="n">
        <v>4</v>
      </c>
      <c r="J197" s="37" t="n">
        <v>39</v>
      </c>
      <c r="K197" s="37" t="n">
        <v>0</v>
      </c>
      <c r="L197" s="37" t="str">
        <f aca="false">IF(C197="","",IF(C197&lt;=5,"Night (00-05)",IF(C197&lt;=11,"Morning (06-11)",IF(C197&lt;=16,"Afternoon (12-16)",IF(C197&lt;=20,"Evening (17-20)","Late (21-23)")))))</f>
        <v>Late (21-23)</v>
      </c>
    </row>
    <row r="198" customFormat="false" ht="15" hidden="false" customHeight="false" outlineLevel="0" collapsed="false">
      <c r="A198" s="37" t="s">
        <v>303</v>
      </c>
      <c r="B198" s="38" t="n">
        <v>46322</v>
      </c>
      <c r="C198" s="37" t="n">
        <v>2</v>
      </c>
      <c r="D198" s="37" t="s">
        <v>39</v>
      </c>
      <c r="E198" s="37" t="s">
        <v>47</v>
      </c>
      <c r="F198" s="37" t="s">
        <v>23</v>
      </c>
      <c r="G198" s="39" t="b">
        <f aca="false">TRUE()</f>
        <v>1</v>
      </c>
      <c r="H198" s="37" t="n">
        <v>574.45</v>
      </c>
      <c r="I198" s="37" t="n">
        <v>4</v>
      </c>
      <c r="J198" s="37" t="n">
        <v>46</v>
      </c>
      <c r="K198" s="37" t="n">
        <v>0</v>
      </c>
      <c r="L198" s="37" t="str">
        <f aca="false">IF(C198="","",IF(C198&lt;=5,"Night (00-05)",IF(C198&lt;=11,"Morning (06-11)",IF(C198&lt;=16,"Afternoon (12-16)",IF(C198&lt;=20,"Evening (17-20)","Late (21-23)")))))</f>
        <v>Night (00-05)</v>
      </c>
    </row>
    <row r="199" customFormat="false" ht="15" hidden="false" customHeight="false" outlineLevel="0" collapsed="false">
      <c r="A199" s="37" t="s">
        <v>304</v>
      </c>
      <c r="B199" s="38" t="n">
        <v>46316</v>
      </c>
      <c r="C199" s="37" t="n">
        <v>18</v>
      </c>
      <c r="D199" s="37" t="s">
        <v>40</v>
      </c>
      <c r="E199" s="37" t="s">
        <v>46</v>
      </c>
      <c r="F199" s="37" t="s">
        <v>23</v>
      </c>
      <c r="G199" s="39" t="b">
        <f aca="false">TRUE()</f>
        <v>1</v>
      </c>
      <c r="H199" s="37" t="n">
        <v>1279.3</v>
      </c>
      <c r="I199" s="37" t="n">
        <v>4</v>
      </c>
      <c r="J199" s="37" t="n">
        <v>43</v>
      </c>
      <c r="K199" s="37" t="n">
        <v>0</v>
      </c>
      <c r="L199" s="37" t="str">
        <f aca="false">IF(C199="","",IF(C199&lt;=5,"Night (00-05)",IF(C199&lt;=11,"Morning (06-11)",IF(C199&lt;=16,"Afternoon (12-16)",IF(C199&lt;=20,"Evening (17-20)","Late (21-23)")))))</f>
        <v>Evening (17-20)</v>
      </c>
    </row>
    <row r="200" customFormat="false" ht="15" hidden="false" customHeight="false" outlineLevel="0" collapsed="false">
      <c r="A200" s="37" t="s">
        <v>305</v>
      </c>
      <c r="B200" s="38" t="n">
        <v>46315</v>
      </c>
      <c r="C200" s="37" t="n">
        <v>18</v>
      </c>
      <c r="D200" s="37" t="s">
        <v>40</v>
      </c>
      <c r="E200" s="37" t="s">
        <v>49</v>
      </c>
      <c r="F200" s="37" t="s">
        <v>23</v>
      </c>
      <c r="G200" s="39" t="b">
        <f aca="false">TRUE()</f>
        <v>1</v>
      </c>
      <c r="H200" s="37" t="n">
        <v>697.34</v>
      </c>
      <c r="I200" s="37" t="n">
        <v>5</v>
      </c>
      <c r="J200" s="37" t="n">
        <v>38</v>
      </c>
      <c r="K200" s="37" t="n">
        <v>0</v>
      </c>
      <c r="L200" s="37" t="str">
        <f aca="false">IF(C200="","",IF(C200&lt;=5,"Night (00-05)",IF(C200&lt;=11,"Morning (06-11)",IF(C200&lt;=16,"Afternoon (12-16)",IF(C200&lt;=20,"Evening (17-20)","Late (21-23)")))))</f>
        <v>Evening (17-20)</v>
      </c>
    </row>
    <row r="201" customFormat="false" ht="15" hidden="false" customHeight="false" outlineLevel="0" collapsed="false">
      <c r="A201" s="37" t="s">
        <v>306</v>
      </c>
      <c r="B201" s="38" t="n">
        <v>46322</v>
      </c>
      <c r="C201" s="37" t="n">
        <v>0</v>
      </c>
      <c r="D201" s="37" t="s">
        <v>37</v>
      </c>
      <c r="E201" s="37" t="s">
        <v>46</v>
      </c>
      <c r="F201" s="37" t="s">
        <v>23</v>
      </c>
      <c r="G201" s="39" t="b">
        <f aca="false">TRUE()</f>
        <v>1</v>
      </c>
      <c r="H201" s="37" t="n">
        <v>865.88</v>
      </c>
      <c r="I201" s="37" t="n">
        <v>5</v>
      </c>
      <c r="J201" s="37" t="n">
        <v>32</v>
      </c>
      <c r="K201" s="37" t="n">
        <v>0</v>
      </c>
      <c r="L201" s="37" t="str">
        <f aca="false">IF(C201="","",IF(C201&lt;=5,"Night (00-05)",IF(C201&lt;=11,"Morning (06-11)",IF(C201&lt;=16,"Afternoon (12-16)",IF(C201&lt;=20,"Evening (17-20)","Late (21-23)")))))</f>
        <v>Night (00-05)</v>
      </c>
    </row>
    <row r="202" customFormat="false" ht="15" hidden="false" customHeight="false" outlineLevel="0" collapsed="false">
      <c r="A202" s="37" t="s">
        <v>307</v>
      </c>
      <c r="B202" s="38" t="n">
        <v>46319</v>
      </c>
      <c r="C202" s="37" t="n">
        <v>7</v>
      </c>
      <c r="D202" s="37" t="s">
        <v>40</v>
      </c>
      <c r="E202" s="37" t="s">
        <v>49</v>
      </c>
      <c r="F202" s="37" t="s">
        <v>113</v>
      </c>
      <c r="G202" s="39" t="b">
        <f aca="false">TRUE()</f>
        <v>1</v>
      </c>
      <c r="H202" s="37" t="n">
        <v>517.54</v>
      </c>
      <c r="K202" s="37" t="n">
        <v>0</v>
      </c>
      <c r="L202" s="37" t="str">
        <f aca="false">IF(C202="","",IF(C202&lt;=5,"Night (00-05)",IF(C202&lt;=11,"Morning (06-11)",IF(C202&lt;=16,"Afternoon (12-16)",IF(C202&lt;=20,"Evening (17-20)","Late (21-23)")))))</f>
        <v>Morning (06-11)</v>
      </c>
    </row>
    <row r="203" customFormat="false" ht="15" hidden="false" customHeight="false" outlineLevel="0" collapsed="false">
      <c r="A203" s="37" t="s">
        <v>308</v>
      </c>
      <c r="B203" s="38" t="n">
        <v>46319</v>
      </c>
      <c r="C203" s="37" t="n">
        <v>21</v>
      </c>
      <c r="D203" s="37" t="s">
        <v>40</v>
      </c>
      <c r="E203" s="37" t="s">
        <v>47</v>
      </c>
      <c r="F203" s="37" t="s">
        <v>23</v>
      </c>
      <c r="G203" s="39" t="b">
        <f aca="false">TRUE()</f>
        <v>1</v>
      </c>
      <c r="H203" s="37" t="n">
        <v>539.43</v>
      </c>
      <c r="I203" s="37" t="n">
        <v>4</v>
      </c>
      <c r="J203" s="37" t="n">
        <v>50</v>
      </c>
      <c r="K203" s="37" t="n">
        <v>0</v>
      </c>
      <c r="L203" s="37" t="str">
        <f aca="false">IF(C203="","",IF(C203&lt;=5,"Night (00-05)",IF(C203&lt;=11,"Morning (06-11)",IF(C203&lt;=16,"Afternoon (12-16)",IF(C203&lt;=20,"Evening (17-20)","Late (21-23)")))))</f>
        <v>Late (21-23)</v>
      </c>
    </row>
    <row r="204" customFormat="false" ht="15" hidden="false" customHeight="false" outlineLevel="0" collapsed="false">
      <c r="A204" s="37" t="s">
        <v>309</v>
      </c>
      <c r="B204" s="38" t="n">
        <v>46316</v>
      </c>
      <c r="C204" s="37" t="n">
        <v>3</v>
      </c>
      <c r="D204" s="37" t="s">
        <v>40</v>
      </c>
      <c r="E204" s="37" t="s">
        <v>46</v>
      </c>
      <c r="F204" s="37" t="s">
        <v>23</v>
      </c>
      <c r="G204" s="39" t="b">
        <f aca="false">FALSE()</f>
        <v>0</v>
      </c>
      <c r="H204" s="37" t="n">
        <v>1110.09</v>
      </c>
      <c r="I204" s="37" t="n">
        <v>5</v>
      </c>
      <c r="J204" s="37" t="n">
        <v>48</v>
      </c>
      <c r="K204" s="37" t="n">
        <v>0</v>
      </c>
      <c r="L204" s="37" t="str">
        <f aca="false">IF(C204="","",IF(C204&lt;=5,"Night (00-05)",IF(C204&lt;=11,"Morning (06-11)",IF(C204&lt;=16,"Afternoon (12-16)",IF(C204&lt;=20,"Evening (17-20)","Late (21-23)")))))</f>
        <v>Night (00-05)</v>
      </c>
    </row>
    <row r="205" customFormat="false" ht="15" hidden="false" customHeight="false" outlineLevel="0" collapsed="false">
      <c r="A205" s="37" t="s">
        <v>310</v>
      </c>
      <c r="B205" s="38" t="n">
        <v>46316</v>
      </c>
      <c r="C205" s="37" t="n">
        <v>19</v>
      </c>
      <c r="D205" s="37" t="s">
        <v>39</v>
      </c>
      <c r="E205" s="37" t="s">
        <v>49</v>
      </c>
      <c r="F205" s="37" t="s">
        <v>23</v>
      </c>
      <c r="G205" s="39" t="b">
        <f aca="false">TRUE()</f>
        <v>1</v>
      </c>
      <c r="H205" s="37" t="n">
        <v>604.76</v>
      </c>
      <c r="I205" s="37" t="n">
        <v>3</v>
      </c>
      <c r="J205" s="37" t="n">
        <v>27</v>
      </c>
      <c r="K205" s="37" t="n">
        <v>0</v>
      </c>
      <c r="L205" s="37" t="str">
        <f aca="false">IF(C205="","",IF(C205&lt;=5,"Night (00-05)",IF(C205&lt;=11,"Morning (06-11)",IF(C205&lt;=16,"Afternoon (12-16)",IF(C205&lt;=20,"Evening (17-20)","Late (21-23)")))))</f>
        <v>Evening (17-20)</v>
      </c>
    </row>
    <row r="206" customFormat="false" ht="15" hidden="false" customHeight="false" outlineLevel="0" collapsed="false">
      <c r="A206" s="37" t="s">
        <v>311</v>
      </c>
      <c r="B206" s="38" t="n">
        <v>46315</v>
      </c>
      <c r="C206" s="37" t="n">
        <v>19</v>
      </c>
      <c r="D206" s="37" t="s">
        <v>40</v>
      </c>
      <c r="E206" s="37" t="s">
        <v>48</v>
      </c>
      <c r="F206" s="37" t="s">
        <v>23</v>
      </c>
      <c r="G206" s="39" t="b">
        <f aca="false">TRUE()</f>
        <v>1</v>
      </c>
      <c r="H206" s="37" t="n">
        <v>658.25</v>
      </c>
      <c r="I206" s="37" t="n">
        <v>2</v>
      </c>
      <c r="J206" s="37" t="n">
        <v>52</v>
      </c>
      <c r="K206" s="37" t="n">
        <v>0</v>
      </c>
      <c r="L206" s="37" t="str">
        <f aca="false">IF(C206="","",IF(C206&lt;=5,"Night (00-05)",IF(C206&lt;=11,"Morning (06-11)",IF(C206&lt;=16,"Afternoon (12-16)",IF(C206&lt;=20,"Evening (17-20)","Late (21-23)")))))</f>
        <v>Evening (17-20)</v>
      </c>
    </row>
    <row r="207" customFormat="false" ht="15" hidden="false" customHeight="false" outlineLevel="0" collapsed="false">
      <c r="A207" s="37" t="s">
        <v>312</v>
      </c>
      <c r="B207" s="38" t="n">
        <v>46315</v>
      </c>
      <c r="C207" s="37" t="n">
        <v>16</v>
      </c>
      <c r="D207" s="37" t="s">
        <v>39</v>
      </c>
      <c r="E207" s="37" t="s">
        <v>49</v>
      </c>
      <c r="F207" s="37" t="s">
        <v>113</v>
      </c>
      <c r="G207" s="39" t="b">
        <f aca="false">TRUE()</f>
        <v>1</v>
      </c>
      <c r="H207" s="37" t="n">
        <v>358.58</v>
      </c>
      <c r="K207" s="37" t="n">
        <v>0</v>
      </c>
      <c r="L207" s="37" t="str">
        <f aca="false">IF(C207="","",IF(C207&lt;=5,"Night (00-05)",IF(C207&lt;=11,"Morning (06-11)",IF(C207&lt;=16,"Afternoon (12-16)",IF(C207&lt;=20,"Evening (17-20)","Late (21-23)")))))</f>
        <v>Afternoon (12-16)</v>
      </c>
    </row>
    <row r="208" customFormat="false" ht="15" hidden="false" customHeight="false" outlineLevel="0" collapsed="false">
      <c r="A208" s="37" t="s">
        <v>313</v>
      </c>
      <c r="B208" s="38" t="n">
        <v>46316</v>
      </c>
      <c r="C208" s="37" t="n">
        <v>18</v>
      </c>
      <c r="D208" s="37" t="s">
        <v>37</v>
      </c>
      <c r="E208" s="37" t="s">
        <v>49</v>
      </c>
      <c r="F208" s="37" t="s">
        <v>23</v>
      </c>
      <c r="G208" s="39" t="b">
        <f aca="false">TRUE()</f>
        <v>1</v>
      </c>
      <c r="H208" s="37" t="n">
        <v>894.31</v>
      </c>
      <c r="I208" s="37" t="n">
        <v>5</v>
      </c>
      <c r="J208" s="37" t="n">
        <v>39</v>
      </c>
      <c r="K208" s="37" t="n">
        <v>0</v>
      </c>
      <c r="L208" s="37" t="str">
        <f aca="false">IF(C208="","",IF(C208&lt;=5,"Night (00-05)",IF(C208&lt;=11,"Morning (06-11)",IF(C208&lt;=16,"Afternoon (12-16)",IF(C208&lt;=20,"Evening (17-20)","Late (21-23)")))))</f>
        <v>Evening (17-20)</v>
      </c>
    </row>
    <row r="209" customFormat="false" ht="15" hidden="false" customHeight="false" outlineLevel="0" collapsed="false">
      <c r="A209" s="37" t="s">
        <v>314</v>
      </c>
      <c r="B209" s="38" t="n">
        <v>46320</v>
      </c>
      <c r="C209" s="37" t="n">
        <v>2</v>
      </c>
      <c r="D209" s="37" t="s">
        <v>40</v>
      </c>
      <c r="E209" s="37" t="s">
        <v>49</v>
      </c>
      <c r="F209" s="37" t="s">
        <v>23</v>
      </c>
      <c r="G209" s="39" t="b">
        <f aca="false">TRUE()</f>
        <v>1</v>
      </c>
      <c r="H209" s="37" t="n">
        <v>1151.6</v>
      </c>
      <c r="I209" s="37" t="n">
        <v>5</v>
      </c>
      <c r="J209" s="37" t="n">
        <v>27</v>
      </c>
      <c r="K209" s="37" t="n">
        <v>0</v>
      </c>
      <c r="L209" s="37" t="str">
        <f aca="false">IF(C209="","",IF(C209&lt;=5,"Night (00-05)",IF(C209&lt;=11,"Morning (06-11)",IF(C209&lt;=16,"Afternoon (12-16)",IF(C209&lt;=20,"Evening (17-20)","Late (21-23)")))))</f>
        <v>Night (00-05)</v>
      </c>
    </row>
    <row r="210" customFormat="false" ht="15" hidden="false" customHeight="false" outlineLevel="0" collapsed="false">
      <c r="A210" s="37" t="s">
        <v>315</v>
      </c>
      <c r="B210" s="38" t="n">
        <v>46319</v>
      </c>
      <c r="C210" s="37" t="n">
        <v>18</v>
      </c>
      <c r="D210" s="37" t="s">
        <v>38</v>
      </c>
      <c r="E210" s="37" t="s">
        <v>49</v>
      </c>
      <c r="F210" s="37" t="s">
        <v>23</v>
      </c>
      <c r="G210" s="39" t="b">
        <f aca="false">TRUE()</f>
        <v>1</v>
      </c>
      <c r="H210" s="37" t="n">
        <v>984.87</v>
      </c>
      <c r="I210" s="37" t="n">
        <v>5</v>
      </c>
      <c r="J210" s="37" t="n">
        <v>34</v>
      </c>
      <c r="K210" s="37" t="n">
        <v>0</v>
      </c>
      <c r="L210" s="37" t="str">
        <f aca="false">IF(C210="","",IF(C210&lt;=5,"Night (00-05)",IF(C210&lt;=11,"Morning (06-11)",IF(C210&lt;=16,"Afternoon (12-16)",IF(C210&lt;=20,"Evening (17-20)","Late (21-23)")))))</f>
        <v>Evening (17-20)</v>
      </c>
    </row>
    <row r="211" customFormat="false" ht="15" hidden="false" customHeight="false" outlineLevel="0" collapsed="false">
      <c r="A211" s="37" t="s">
        <v>316</v>
      </c>
      <c r="B211" s="38" t="n">
        <v>46319</v>
      </c>
      <c r="C211" s="37" t="n">
        <v>21</v>
      </c>
      <c r="D211" s="37" t="s">
        <v>39</v>
      </c>
      <c r="E211" s="37" t="s">
        <v>48</v>
      </c>
      <c r="F211" s="37" t="s">
        <v>23</v>
      </c>
      <c r="G211" s="39" t="b">
        <f aca="false">TRUE()</f>
        <v>1</v>
      </c>
      <c r="H211" s="37" t="n">
        <v>627.66</v>
      </c>
      <c r="I211" s="37" t="n">
        <v>4</v>
      </c>
      <c r="J211" s="37" t="n">
        <v>27</v>
      </c>
      <c r="K211" s="37" t="n">
        <v>0</v>
      </c>
      <c r="L211" s="37" t="str">
        <f aca="false">IF(C211="","",IF(C211&lt;=5,"Night (00-05)",IF(C211&lt;=11,"Morning (06-11)",IF(C211&lt;=16,"Afternoon (12-16)",IF(C211&lt;=20,"Evening (17-20)","Late (21-23)")))))</f>
        <v>Late (21-23)</v>
      </c>
    </row>
    <row r="212" customFormat="false" ht="15" hidden="false" customHeight="false" outlineLevel="0" collapsed="false">
      <c r="A212" s="37" t="s">
        <v>317</v>
      </c>
      <c r="B212" s="38" t="n">
        <v>46318</v>
      </c>
      <c r="C212" s="37" t="n">
        <v>18</v>
      </c>
      <c r="D212" s="37" t="s">
        <v>37</v>
      </c>
      <c r="E212" s="37" t="s">
        <v>49</v>
      </c>
      <c r="F212" s="37" t="s">
        <v>23</v>
      </c>
      <c r="G212" s="39" t="b">
        <f aca="false">TRUE()</f>
        <v>1</v>
      </c>
      <c r="H212" s="37" t="n">
        <v>649.91</v>
      </c>
      <c r="I212" s="37" t="n">
        <v>5</v>
      </c>
      <c r="J212" s="37" t="n">
        <v>50</v>
      </c>
      <c r="K212" s="37" t="n">
        <v>0</v>
      </c>
      <c r="L212" s="37" t="str">
        <f aca="false">IF(C212="","",IF(C212&lt;=5,"Night (00-05)",IF(C212&lt;=11,"Morning (06-11)",IF(C212&lt;=16,"Afternoon (12-16)",IF(C212&lt;=20,"Evening (17-20)","Late (21-23)")))))</f>
        <v>Evening (17-20)</v>
      </c>
    </row>
    <row r="213" customFormat="false" ht="15" hidden="false" customHeight="false" outlineLevel="0" collapsed="false">
      <c r="A213" s="37" t="s">
        <v>318</v>
      </c>
      <c r="B213" s="38" t="n">
        <v>46321</v>
      </c>
      <c r="C213" s="37" t="n">
        <v>1</v>
      </c>
      <c r="D213" s="37" t="s">
        <v>37</v>
      </c>
      <c r="E213" s="37" t="s">
        <v>46</v>
      </c>
      <c r="F213" s="37" t="s">
        <v>23</v>
      </c>
      <c r="G213" s="39" t="b">
        <f aca="false">TRUE()</f>
        <v>1</v>
      </c>
      <c r="H213" s="37" t="n">
        <v>898.06</v>
      </c>
      <c r="I213" s="37" t="n">
        <v>4</v>
      </c>
      <c r="J213" s="37" t="n">
        <v>44</v>
      </c>
      <c r="K213" s="37" t="n">
        <v>0</v>
      </c>
      <c r="L213" s="37" t="str">
        <f aca="false">IF(C213="","",IF(C213&lt;=5,"Night (00-05)",IF(C213&lt;=11,"Morning (06-11)",IF(C213&lt;=16,"Afternoon (12-16)",IF(C213&lt;=20,"Evening (17-20)","Late (21-23)")))))</f>
        <v>Night (00-05)</v>
      </c>
    </row>
    <row r="214" customFormat="false" ht="15" hidden="false" customHeight="false" outlineLevel="0" collapsed="false">
      <c r="A214" s="37" t="s">
        <v>319</v>
      </c>
      <c r="B214" s="38" t="n">
        <v>46316</v>
      </c>
      <c r="C214" s="37" t="n">
        <v>21</v>
      </c>
      <c r="D214" s="37" t="s">
        <v>40</v>
      </c>
      <c r="E214" s="37" t="s">
        <v>46</v>
      </c>
      <c r="F214" s="37" t="s">
        <v>23</v>
      </c>
      <c r="G214" s="39" t="b">
        <f aca="false">TRUE()</f>
        <v>1</v>
      </c>
      <c r="H214" s="37" t="n">
        <v>987.06</v>
      </c>
      <c r="I214" s="37" t="n">
        <v>4</v>
      </c>
      <c r="J214" s="37" t="n">
        <v>35</v>
      </c>
      <c r="K214" s="37" t="n">
        <v>0</v>
      </c>
      <c r="L214" s="37" t="str">
        <f aca="false">IF(C214="","",IF(C214&lt;=5,"Night (00-05)",IF(C214&lt;=11,"Morning (06-11)",IF(C214&lt;=16,"Afternoon (12-16)",IF(C214&lt;=20,"Evening (17-20)","Late (21-23)")))))</f>
        <v>Late (21-23)</v>
      </c>
    </row>
    <row r="215" customFormat="false" ht="15" hidden="false" customHeight="false" outlineLevel="0" collapsed="false">
      <c r="A215" s="37" t="s">
        <v>320</v>
      </c>
      <c r="B215" s="38" t="n">
        <v>46317</v>
      </c>
      <c r="C215" s="37" t="n">
        <v>17</v>
      </c>
      <c r="D215" s="37" t="s">
        <v>40</v>
      </c>
      <c r="E215" s="37" t="s">
        <v>48</v>
      </c>
      <c r="F215" s="37" t="s">
        <v>23</v>
      </c>
      <c r="G215" s="39" t="b">
        <f aca="false">TRUE()</f>
        <v>1</v>
      </c>
      <c r="H215" s="37" t="n">
        <v>1051.19</v>
      </c>
      <c r="I215" s="37" t="n">
        <v>4</v>
      </c>
      <c r="J215" s="37" t="n">
        <v>50</v>
      </c>
      <c r="K215" s="37" t="n">
        <v>0</v>
      </c>
      <c r="L215" s="37" t="str">
        <f aca="false">IF(C215="","",IF(C215&lt;=5,"Night (00-05)",IF(C215&lt;=11,"Morning (06-11)",IF(C215&lt;=16,"Afternoon (12-16)",IF(C215&lt;=20,"Evening (17-20)","Late (21-23)")))))</f>
        <v>Evening (17-20)</v>
      </c>
    </row>
    <row r="216" customFormat="false" ht="15" hidden="false" customHeight="false" outlineLevel="0" collapsed="false">
      <c r="A216" s="37" t="s">
        <v>321</v>
      </c>
      <c r="B216" s="38" t="n">
        <v>46322</v>
      </c>
      <c r="C216" s="37" t="n">
        <v>1</v>
      </c>
      <c r="D216" s="37" t="s">
        <v>39</v>
      </c>
      <c r="E216" s="37" t="s">
        <v>49</v>
      </c>
      <c r="F216" s="37" t="s">
        <v>113</v>
      </c>
      <c r="G216" s="39" t="b">
        <f aca="false">TRUE()</f>
        <v>1</v>
      </c>
      <c r="H216" s="37" t="n">
        <v>626.35</v>
      </c>
      <c r="K216" s="37" t="n">
        <v>0</v>
      </c>
      <c r="L216" s="37" t="str">
        <f aca="false">IF(C216="","",IF(C216&lt;=5,"Night (00-05)",IF(C216&lt;=11,"Morning (06-11)",IF(C216&lt;=16,"Afternoon (12-16)",IF(C216&lt;=20,"Evening (17-20)","Late (21-23)")))))</f>
        <v>Night (00-05)</v>
      </c>
    </row>
    <row r="217" customFormat="false" ht="15" hidden="false" customHeight="false" outlineLevel="0" collapsed="false">
      <c r="A217" s="37" t="s">
        <v>322</v>
      </c>
      <c r="B217" s="38" t="n">
        <v>46321</v>
      </c>
      <c r="C217" s="37" t="n">
        <v>16</v>
      </c>
      <c r="D217" s="37" t="s">
        <v>38</v>
      </c>
      <c r="E217" s="37" t="s">
        <v>46</v>
      </c>
      <c r="F217" s="37" t="s">
        <v>23</v>
      </c>
      <c r="G217" s="39" t="b">
        <f aca="false">TRUE()</f>
        <v>1</v>
      </c>
      <c r="H217" s="37" t="n">
        <v>1445.81</v>
      </c>
      <c r="I217" s="37" t="n">
        <v>4</v>
      </c>
      <c r="J217" s="37" t="n">
        <v>50</v>
      </c>
      <c r="K217" s="37" t="n">
        <v>0</v>
      </c>
      <c r="L217" s="37" t="str">
        <f aca="false">IF(C217="","",IF(C217&lt;=5,"Night (00-05)",IF(C217&lt;=11,"Morning (06-11)",IF(C217&lt;=16,"Afternoon (12-16)",IF(C217&lt;=20,"Evening (17-20)","Late (21-23)")))))</f>
        <v>Afternoon (12-16)</v>
      </c>
    </row>
    <row r="218" customFormat="false" ht="15" hidden="false" customHeight="false" outlineLevel="0" collapsed="false">
      <c r="A218" s="37" t="s">
        <v>323</v>
      </c>
      <c r="B218" s="38" t="n">
        <v>46321</v>
      </c>
      <c r="C218" s="37" t="n">
        <v>22</v>
      </c>
      <c r="D218" s="37" t="s">
        <v>40</v>
      </c>
      <c r="E218" s="37" t="s">
        <v>48</v>
      </c>
      <c r="F218" s="37" t="s">
        <v>23</v>
      </c>
      <c r="G218" s="39" t="b">
        <f aca="false">TRUE()</f>
        <v>1</v>
      </c>
      <c r="H218" s="37" t="n">
        <v>586.38</v>
      </c>
      <c r="I218" s="37" t="n">
        <v>4</v>
      </c>
      <c r="J218" s="37" t="n">
        <v>35</v>
      </c>
      <c r="K218" s="37" t="n">
        <v>0</v>
      </c>
      <c r="L218" s="37" t="str">
        <f aca="false">IF(C218="","",IF(C218&lt;=5,"Night (00-05)",IF(C218&lt;=11,"Morning (06-11)",IF(C218&lt;=16,"Afternoon (12-16)",IF(C218&lt;=20,"Evening (17-20)","Late (21-23)")))))</f>
        <v>Late (21-23)</v>
      </c>
    </row>
    <row r="219" customFormat="false" ht="15" hidden="false" customHeight="false" outlineLevel="0" collapsed="false">
      <c r="A219" s="37" t="s">
        <v>324</v>
      </c>
      <c r="B219" s="38" t="n">
        <v>46321</v>
      </c>
      <c r="C219" s="37" t="n">
        <v>3</v>
      </c>
      <c r="D219" s="37" t="s">
        <v>37</v>
      </c>
      <c r="E219" s="37" t="s">
        <v>47</v>
      </c>
      <c r="F219" s="37" t="s">
        <v>23</v>
      </c>
      <c r="G219" s="39" t="b">
        <f aca="false">TRUE()</f>
        <v>1</v>
      </c>
      <c r="H219" s="37" t="n">
        <v>449.1</v>
      </c>
      <c r="I219" s="37" t="n">
        <v>3</v>
      </c>
      <c r="J219" s="37" t="n">
        <v>50</v>
      </c>
      <c r="K219" s="37" t="n">
        <v>0</v>
      </c>
      <c r="L219" s="37" t="str">
        <f aca="false">IF(C219="","",IF(C219&lt;=5,"Night (00-05)",IF(C219&lt;=11,"Morning (06-11)",IF(C219&lt;=16,"Afternoon (12-16)",IF(C219&lt;=20,"Evening (17-20)","Late (21-23)")))))</f>
        <v>Night (00-05)</v>
      </c>
    </row>
    <row r="220" customFormat="false" ht="15" hidden="false" customHeight="false" outlineLevel="0" collapsed="false">
      <c r="A220" s="37" t="s">
        <v>325</v>
      </c>
      <c r="B220" s="38" t="n">
        <v>46321</v>
      </c>
      <c r="C220" s="37" t="n">
        <v>16</v>
      </c>
      <c r="D220" s="37" t="s">
        <v>37</v>
      </c>
      <c r="E220" s="37" t="s">
        <v>49</v>
      </c>
      <c r="F220" s="37" t="s">
        <v>113</v>
      </c>
      <c r="G220" s="39" t="b">
        <f aca="false">TRUE()</f>
        <v>1</v>
      </c>
      <c r="H220" s="37" t="n">
        <v>725.45</v>
      </c>
      <c r="K220" s="37" t="n">
        <v>0</v>
      </c>
      <c r="L220" s="37" t="str">
        <f aca="false">IF(C220="","",IF(C220&lt;=5,"Night (00-05)",IF(C220&lt;=11,"Morning (06-11)",IF(C220&lt;=16,"Afternoon (12-16)",IF(C220&lt;=20,"Evening (17-20)","Late (21-23)")))))</f>
        <v>Afternoon (12-16)</v>
      </c>
    </row>
    <row r="221" customFormat="false" ht="15" hidden="false" customHeight="false" outlineLevel="0" collapsed="false">
      <c r="A221" s="37" t="s">
        <v>326</v>
      </c>
      <c r="B221" s="38" t="n">
        <v>46318</v>
      </c>
      <c r="C221" s="37" t="n">
        <v>21</v>
      </c>
      <c r="D221" s="37" t="s">
        <v>40</v>
      </c>
      <c r="E221" s="37" t="s">
        <v>46</v>
      </c>
      <c r="F221" s="37" t="s">
        <v>23</v>
      </c>
      <c r="G221" s="39" t="b">
        <f aca="false">TRUE()</f>
        <v>1</v>
      </c>
      <c r="H221" s="37" t="n">
        <v>727.33</v>
      </c>
      <c r="I221" s="37" t="n">
        <v>5</v>
      </c>
      <c r="J221" s="37" t="n">
        <v>25</v>
      </c>
      <c r="K221" s="37" t="n">
        <v>0</v>
      </c>
      <c r="L221" s="37" t="str">
        <f aca="false">IF(C221="","",IF(C221&lt;=5,"Night (00-05)",IF(C221&lt;=11,"Morning (06-11)",IF(C221&lt;=16,"Afternoon (12-16)",IF(C221&lt;=20,"Evening (17-20)","Late (21-23)")))))</f>
        <v>Late (21-23)</v>
      </c>
    </row>
    <row r="222" customFormat="false" ht="15" hidden="false" customHeight="false" outlineLevel="0" collapsed="false">
      <c r="A222" s="37" t="s">
        <v>327</v>
      </c>
      <c r="B222" s="38" t="n">
        <v>46316</v>
      </c>
      <c r="C222" s="37" t="n">
        <v>22</v>
      </c>
      <c r="D222" s="37" t="s">
        <v>38</v>
      </c>
      <c r="E222" s="37" t="s">
        <v>48</v>
      </c>
      <c r="F222" s="37" t="s">
        <v>23</v>
      </c>
      <c r="G222" s="39" t="b">
        <f aca="false">TRUE()</f>
        <v>1</v>
      </c>
      <c r="H222" s="37" t="n">
        <v>1091.52</v>
      </c>
      <c r="I222" s="37" t="n">
        <v>5</v>
      </c>
      <c r="J222" s="37" t="n">
        <v>22</v>
      </c>
      <c r="K222" s="37" t="n">
        <v>0</v>
      </c>
      <c r="L222" s="37" t="str">
        <f aca="false">IF(C222="","",IF(C222&lt;=5,"Night (00-05)",IF(C222&lt;=11,"Morning (06-11)",IF(C222&lt;=16,"Afternoon (12-16)",IF(C222&lt;=20,"Evening (17-20)","Late (21-23)")))))</f>
        <v>Late (21-23)</v>
      </c>
    </row>
    <row r="223" customFormat="false" ht="15" hidden="false" customHeight="false" outlineLevel="0" collapsed="false">
      <c r="A223" s="37" t="s">
        <v>328</v>
      </c>
      <c r="B223" s="38" t="n">
        <v>46319</v>
      </c>
      <c r="C223" s="37" t="n">
        <v>2</v>
      </c>
      <c r="D223" s="37" t="s">
        <v>40</v>
      </c>
      <c r="E223" s="37" t="s">
        <v>47</v>
      </c>
      <c r="F223" s="37" t="s">
        <v>23</v>
      </c>
      <c r="G223" s="39" t="b">
        <f aca="false">TRUE()</f>
        <v>1</v>
      </c>
      <c r="H223" s="37" t="n">
        <v>506.41</v>
      </c>
      <c r="I223" s="37" t="n">
        <v>5</v>
      </c>
      <c r="J223" s="37" t="n">
        <v>26</v>
      </c>
      <c r="K223" s="37" t="n">
        <v>0</v>
      </c>
      <c r="L223" s="37" t="str">
        <f aca="false">IF(C223="","",IF(C223&lt;=5,"Night (00-05)",IF(C223&lt;=11,"Morning (06-11)",IF(C223&lt;=16,"Afternoon (12-16)",IF(C223&lt;=20,"Evening (17-20)","Late (21-23)")))))</f>
        <v>Night (00-05)</v>
      </c>
    </row>
    <row r="224" customFormat="false" ht="15" hidden="false" customHeight="false" outlineLevel="0" collapsed="false">
      <c r="A224" s="37" t="s">
        <v>329</v>
      </c>
      <c r="B224" s="38" t="n">
        <v>46317</v>
      </c>
      <c r="C224" s="37" t="n">
        <v>18</v>
      </c>
      <c r="D224" s="37" t="s">
        <v>39</v>
      </c>
      <c r="E224" s="37" t="s">
        <v>48</v>
      </c>
      <c r="F224" s="37" t="s">
        <v>23</v>
      </c>
      <c r="G224" s="39" t="b">
        <f aca="false">TRUE()</f>
        <v>1</v>
      </c>
      <c r="H224" s="37" t="n">
        <v>639.42</v>
      </c>
      <c r="I224" s="37" t="n">
        <v>5</v>
      </c>
      <c r="J224" s="37" t="n">
        <v>32</v>
      </c>
      <c r="K224" s="37" t="n">
        <v>0</v>
      </c>
      <c r="L224" s="37" t="str">
        <f aca="false">IF(C224="","",IF(C224&lt;=5,"Night (00-05)",IF(C224&lt;=11,"Morning (06-11)",IF(C224&lt;=16,"Afternoon (12-16)",IF(C224&lt;=20,"Evening (17-20)","Late (21-23)")))))</f>
        <v>Evening (17-20)</v>
      </c>
    </row>
    <row r="225" customFormat="false" ht="15" hidden="false" customHeight="false" outlineLevel="0" collapsed="false">
      <c r="A225" s="37" t="s">
        <v>330</v>
      </c>
      <c r="B225" s="38" t="n">
        <v>46317</v>
      </c>
      <c r="C225" s="37" t="n">
        <v>16</v>
      </c>
      <c r="D225" s="37" t="s">
        <v>40</v>
      </c>
      <c r="E225" s="37" t="s">
        <v>48</v>
      </c>
      <c r="F225" s="37" t="s">
        <v>23</v>
      </c>
      <c r="G225" s="39" t="b">
        <f aca="false">TRUE()</f>
        <v>1</v>
      </c>
      <c r="H225" s="37" t="n">
        <v>510.27</v>
      </c>
      <c r="I225" s="37" t="n">
        <v>5</v>
      </c>
      <c r="J225" s="37" t="n">
        <v>38</v>
      </c>
      <c r="K225" s="37" t="n">
        <v>0</v>
      </c>
      <c r="L225" s="37" t="str">
        <f aca="false">IF(C225="","",IF(C225&lt;=5,"Night (00-05)",IF(C225&lt;=11,"Morning (06-11)",IF(C225&lt;=16,"Afternoon (12-16)",IF(C225&lt;=20,"Evening (17-20)","Late (21-23)")))))</f>
        <v>Afternoon (12-16)</v>
      </c>
    </row>
    <row r="226" customFormat="false" ht="15" hidden="false" customHeight="false" outlineLevel="0" collapsed="false">
      <c r="A226" s="37" t="s">
        <v>331</v>
      </c>
      <c r="B226" s="38" t="n">
        <v>46321</v>
      </c>
      <c r="C226" s="37" t="n">
        <v>16</v>
      </c>
      <c r="D226" s="37" t="s">
        <v>39</v>
      </c>
      <c r="E226" s="37" t="s">
        <v>49</v>
      </c>
      <c r="F226" s="37" t="s">
        <v>23</v>
      </c>
      <c r="G226" s="39" t="b">
        <f aca="false">TRUE()</f>
        <v>1</v>
      </c>
      <c r="H226" s="37" t="n">
        <v>505.11</v>
      </c>
      <c r="I226" s="37" t="n">
        <v>4</v>
      </c>
      <c r="J226" s="37" t="n">
        <v>26</v>
      </c>
      <c r="K226" s="37" t="n">
        <v>0</v>
      </c>
      <c r="L226" s="37" t="str">
        <f aca="false">IF(C226="","",IF(C226&lt;=5,"Night (00-05)",IF(C226&lt;=11,"Morning (06-11)",IF(C226&lt;=16,"Afternoon (12-16)",IF(C226&lt;=20,"Evening (17-20)","Late (21-23)")))))</f>
        <v>Afternoon (12-16)</v>
      </c>
    </row>
    <row r="227" customFormat="false" ht="15" hidden="false" customHeight="false" outlineLevel="0" collapsed="false">
      <c r="A227" s="37" t="s">
        <v>332</v>
      </c>
      <c r="B227" s="38" t="n">
        <v>46316</v>
      </c>
      <c r="C227" s="37" t="n">
        <v>21</v>
      </c>
      <c r="D227" s="37" t="s">
        <v>38</v>
      </c>
      <c r="E227" s="37" t="s">
        <v>46</v>
      </c>
      <c r="F227" s="37" t="s">
        <v>23</v>
      </c>
      <c r="G227" s="39" t="b">
        <f aca="false">TRUE()</f>
        <v>1</v>
      </c>
      <c r="H227" s="37" t="n">
        <v>1067.5</v>
      </c>
      <c r="I227" s="37" t="n">
        <v>5</v>
      </c>
      <c r="J227" s="37" t="n">
        <v>37</v>
      </c>
      <c r="K227" s="37" t="n">
        <v>0</v>
      </c>
      <c r="L227" s="37" t="str">
        <f aca="false">IF(C227="","",IF(C227&lt;=5,"Night (00-05)",IF(C227&lt;=11,"Morning (06-11)",IF(C227&lt;=16,"Afternoon (12-16)",IF(C227&lt;=20,"Evening (17-20)","Late (21-23)")))))</f>
        <v>Late (21-23)</v>
      </c>
    </row>
    <row r="228" customFormat="false" ht="15" hidden="false" customHeight="false" outlineLevel="0" collapsed="false">
      <c r="A228" s="37" t="s">
        <v>333</v>
      </c>
      <c r="B228" s="38" t="n">
        <v>46317</v>
      </c>
      <c r="C228" s="37" t="n">
        <v>23</v>
      </c>
      <c r="D228" s="37" t="s">
        <v>40</v>
      </c>
      <c r="E228" s="37" t="s">
        <v>46</v>
      </c>
      <c r="F228" s="37" t="s">
        <v>23</v>
      </c>
      <c r="G228" s="39" t="b">
        <f aca="false">TRUE()</f>
        <v>1</v>
      </c>
      <c r="H228" s="37" t="n">
        <v>1053.21</v>
      </c>
      <c r="I228" s="37" t="n">
        <v>4</v>
      </c>
      <c r="J228" s="37" t="n">
        <v>27</v>
      </c>
      <c r="K228" s="37" t="n">
        <v>0</v>
      </c>
      <c r="L228" s="37" t="str">
        <f aca="false">IF(C228="","",IF(C228&lt;=5,"Night (00-05)",IF(C228&lt;=11,"Morning (06-11)",IF(C228&lt;=16,"Afternoon (12-16)",IF(C228&lt;=20,"Evening (17-20)","Late (21-23)")))))</f>
        <v>Late (21-23)</v>
      </c>
    </row>
    <row r="229" customFormat="false" ht="15" hidden="false" customHeight="false" outlineLevel="0" collapsed="false">
      <c r="A229" s="37" t="s">
        <v>334</v>
      </c>
      <c r="B229" s="38" t="n">
        <v>46316</v>
      </c>
      <c r="C229" s="37" t="n">
        <v>20</v>
      </c>
      <c r="D229" s="37" t="s">
        <v>40</v>
      </c>
      <c r="E229" s="37" t="s">
        <v>47</v>
      </c>
      <c r="F229" s="37" t="s">
        <v>113</v>
      </c>
      <c r="G229" s="39" t="b">
        <f aca="false">TRUE()</f>
        <v>1</v>
      </c>
      <c r="H229" s="37" t="n">
        <v>1009.97</v>
      </c>
      <c r="K229" s="37" t="n">
        <v>0</v>
      </c>
      <c r="L229" s="37" t="str">
        <f aca="false">IF(C229="","",IF(C229&lt;=5,"Night (00-05)",IF(C229&lt;=11,"Morning (06-11)",IF(C229&lt;=16,"Afternoon (12-16)",IF(C229&lt;=20,"Evening (17-20)","Late (21-23)")))))</f>
        <v>Evening (17-20)</v>
      </c>
    </row>
    <row r="230" customFormat="false" ht="15" hidden="false" customHeight="false" outlineLevel="0" collapsed="false">
      <c r="A230" s="37" t="s">
        <v>335</v>
      </c>
      <c r="B230" s="38" t="n">
        <v>46318</v>
      </c>
      <c r="C230" s="37" t="n">
        <v>0</v>
      </c>
      <c r="D230" s="37" t="s">
        <v>39</v>
      </c>
      <c r="E230" s="37" t="s">
        <v>48</v>
      </c>
      <c r="F230" s="37" t="s">
        <v>129</v>
      </c>
      <c r="G230" s="39" t="b">
        <f aca="false">FALSE()</f>
        <v>0</v>
      </c>
      <c r="H230" s="37" t="n">
        <v>480.99</v>
      </c>
      <c r="K230" s="37" t="n">
        <v>0</v>
      </c>
      <c r="L230" s="37" t="str">
        <f aca="false">IF(C230="","",IF(C230&lt;=5,"Night (00-05)",IF(C230&lt;=11,"Morning (06-11)",IF(C230&lt;=16,"Afternoon (12-16)",IF(C230&lt;=20,"Evening (17-20)","Late (21-23)")))))</f>
        <v>Night (00-05)</v>
      </c>
    </row>
    <row r="231" customFormat="false" ht="15" hidden="false" customHeight="false" outlineLevel="0" collapsed="false">
      <c r="A231" s="37" t="s">
        <v>336</v>
      </c>
      <c r="B231" s="38" t="n">
        <v>46317</v>
      </c>
      <c r="C231" s="37" t="n">
        <v>20</v>
      </c>
      <c r="D231" s="37" t="s">
        <v>39</v>
      </c>
      <c r="E231" s="37" t="s">
        <v>48</v>
      </c>
      <c r="F231" s="37" t="s">
        <v>23</v>
      </c>
      <c r="G231" s="39" t="b">
        <f aca="false">TRUE()</f>
        <v>1</v>
      </c>
      <c r="H231" s="37" t="n">
        <v>603.74</v>
      </c>
      <c r="I231" s="37" t="n">
        <v>4</v>
      </c>
      <c r="J231" s="37" t="n">
        <v>25</v>
      </c>
      <c r="K231" s="37" t="n">
        <v>0</v>
      </c>
      <c r="L231" s="37" t="str">
        <f aca="false">IF(C231="","",IF(C231&lt;=5,"Night (00-05)",IF(C231&lt;=11,"Morning (06-11)",IF(C231&lt;=16,"Afternoon (12-16)",IF(C231&lt;=20,"Evening (17-20)","Late (21-23)")))))</f>
        <v>Evening (17-20)</v>
      </c>
    </row>
    <row r="232" customFormat="false" ht="15" hidden="false" customHeight="false" outlineLevel="0" collapsed="false">
      <c r="A232" s="37" t="s">
        <v>337</v>
      </c>
      <c r="B232" s="38" t="n">
        <v>46320</v>
      </c>
      <c r="C232" s="37" t="n">
        <v>1</v>
      </c>
      <c r="D232" s="37" t="s">
        <v>38</v>
      </c>
      <c r="E232" s="37" t="s">
        <v>47</v>
      </c>
      <c r="F232" s="37" t="s">
        <v>113</v>
      </c>
      <c r="G232" s="39" t="b">
        <f aca="false">TRUE()</f>
        <v>1</v>
      </c>
      <c r="H232" s="37" t="n">
        <v>1379.14</v>
      </c>
      <c r="K232" s="37" t="n">
        <v>0</v>
      </c>
      <c r="L232" s="37" t="str">
        <f aca="false">IF(C232="","",IF(C232&lt;=5,"Night (00-05)",IF(C232&lt;=11,"Morning (06-11)",IF(C232&lt;=16,"Afternoon (12-16)",IF(C232&lt;=20,"Evening (17-20)","Late (21-23)")))))</f>
        <v>Night (00-05)</v>
      </c>
    </row>
    <row r="233" customFormat="false" ht="15" hidden="false" customHeight="false" outlineLevel="0" collapsed="false">
      <c r="A233" s="37" t="s">
        <v>338</v>
      </c>
      <c r="B233" s="38" t="n">
        <v>46316</v>
      </c>
      <c r="C233" s="37" t="n">
        <v>23</v>
      </c>
      <c r="D233" s="37" t="s">
        <v>40</v>
      </c>
      <c r="E233" s="37" t="s">
        <v>49</v>
      </c>
      <c r="F233" s="37" t="s">
        <v>23</v>
      </c>
      <c r="G233" s="39" t="b">
        <f aca="false">TRUE()</f>
        <v>1</v>
      </c>
      <c r="H233" s="37" t="n">
        <v>591.99</v>
      </c>
      <c r="I233" s="37" t="n">
        <v>3</v>
      </c>
      <c r="J233" s="37" t="n">
        <v>51</v>
      </c>
      <c r="K233" s="37" t="n">
        <v>0</v>
      </c>
      <c r="L233" s="37" t="str">
        <f aca="false">IF(C233="","",IF(C233&lt;=5,"Night (00-05)",IF(C233&lt;=11,"Morning (06-11)",IF(C233&lt;=16,"Afternoon (12-16)",IF(C233&lt;=20,"Evening (17-20)","Late (21-23)")))))</f>
        <v>Late (21-23)</v>
      </c>
    </row>
    <row r="234" customFormat="false" ht="15" hidden="false" customHeight="false" outlineLevel="0" collapsed="false">
      <c r="A234" s="37" t="s">
        <v>339</v>
      </c>
      <c r="B234" s="38" t="n">
        <v>46319</v>
      </c>
      <c r="C234" s="37" t="n">
        <v>21</v>
      </c>
      <c r="D234" s="37" t="s">
        <v>37</v>
      </c>
      <c r="E234" s="37" t="s">
        <v>49</v>
      </c>
      <c r="F234" s="37" t="s">
        <v>23</v>
      </c>
      <c r="G234" s="39" t="b">
        <f aca="false">TRUE()</f>
        <v>1</v>
      </c>
      <c r="H234" s="37" t="n">
        <v>627.4</v>
      </c>
      <c r="I234" s="37" t="n">
        <v>5</v>
      </c>
      <c r="J234" s="37" t="n">
        <v>49</v>
      </c>
      <c r="K234" s="37" t="n">
        <v>0</v>
      </c>
      <c r="L234" s="37" t="str">
        <f aca="false">IF(C234="","",IF(C234&lt;=5,"Night (00-05)",IF(C234&lt;=11,"Morning (06-11)",IF(C234&lt;=16,"Afternoon (12-16)",IF(C234&lt;=20,"Evening (17-20)","Late (21-23)")))))</f>
        <v>Late (21-23)</v>
      </c>
    </row>
    <row r="235" customFormat="false" ht="15" hidden="false" customHeight="false" outlineLevel="0" collapsed="false">
      <c r="A235" s="37" t="s">
        <v>340</v>
      </c>
      <c r="B235" s="38" t="n">
        <v>46318</v>
      </c>
      <c r="C235" s="37" t="n">
        <v>1</v>
      </c>
      <c r="D235" s="37" t="s">
        <v>38</v>
      </c>
      <c r="E235" s="37" t="s">
        <v>48</v>
      </c>
      <c r="F235" s="37" t="s">
        <v>23</v>
      </c>
      <c r="G235" s="39" t="b">
        <f aca="false">TRUE()</f>
        <v>1</v>
      </c>
      <c r="H235" s="37" t="n">
        <v>1203.82</v>
      </c>
      <c r="I235" s="37" t="n">
        <v>5</v>
      </c>
      <c r="J235" s="37" t="n">
        <v>42</v>
      </c>
      <c r="K235" s="37" t="n">
        <v>0</v>
      </c>
      <c r="L235" s="37" t="str">
        <f aca="false">IF(C235="","",IF(C235&lt;=5,"Night (00-05)",IF(C235&lt;=11,"Morning (06-11)",IF(C235&lt;=16,"Afternoon (12-16)",IF(C235&lt;=20,"Evening (17-20)","Late (21-23)")))))</f>
        <v>Night (00-05)</v>
      </c>
    </row>
    <row r="236" customFormat="false" ht="15" hidden="false" customHeight="false" outlineLevel="0" collapsed="false">
      <c r="A236" s="37" t="s">
        <v>341</v>
      </c>
      <c r="B236" s="38" t="n">
        <v>46320</v>
      </c>
      <c r="C236" s="37" t="n">
        <v>7</v>
      </c>
      <c r="D236" s="37" t="s">
        <v>38</v>
      </c>
      <c r="E236" s="37" t="s">
        <v>49</v>
      </c>
      <c r="F236" s="37" t="s">
        <v>23</v>
      </c>
      <c r="G236" s="39" t="b">
        <f aca="false">TRUE()</f>
        <v>1</v>
      </c>
      <c r="H236" s="37" t="n">
        <v>821.21</v>
      </c>
      <c r="I236" s="37" t="n">
        <v>5</v>
      </c>
      <c r="J236" s="37" t="n">
        <v>28</v>
      </c>
      <c r="K236" s="37" t="n">
        <v>0</v>
      </c>
      <c r="L236" s="37" t="str">
        <f aca="false">IF(C236="","",IF(C236&lt;=5,"Night (00-05)",IF(C236&lt;=11,"Morning (06-11)",IF(C236&lt;=16,"Afternoon (12-16)",IF(C236&lt;=20,"Evening (17-20)","Late (21-23)")))))</f>
        <v>Morning (06-11)</v>
      </c>
    </row>
    <row r="237" customFormat="false" ht="15" hidden="false" customHeight="false" outlineLevel="0" collapsed="false">
      <c r="A237" s="37" t="s">
        <v>342</v>
      </c>
      <c r="B237" s="38" t="n">
        <v>46321</v>
      </c>
      <c r="C237" s="37" t="n">
        <v>0</v>
      </c>
      <c r="D237" s="37" t="s">
        <v>39</v>
      </c>
      <c r="E237" s="37" t="s">
        <v>49</v>
      </c>
      <c r="F237" s="37" t="s">
        <v>113</v>
      </c>
      <c r="G237" s="39" t="b">
        <f aca="false">TRUE()</f>
        <v>1</v>
      </c>
      <c r="H237" s="37" t="n">
        <v>646.85</v>
      </c>
      <c r="K237" s="37" t="n">
        <v>0</v>
      </c>
      <c r="L237" s="37" t="str">
        <f aca="false">IF(C237="","",IF(C237&lt;=5,"Night (00-05)",IF(C237&lt;=11,"Morning (06-11)",IF(C237&lt;=16,"Afternoon (12-16)",IF(C237&lt;=20,"Evening (17-20)","Late (21-23)")))))</f>
        <v>Night (00-05)</v>
      </c>
    </row>
    <row r="238" customFormat="false" ht="15" hidden="false" customHeight="false" outlineLevel="0" collapsed="false">
      <c r="A238" s="37" t="s">
        <v>343</v>
      </c>
      <c r="B238" s="38" t="n">
        <v>46318</v>
      </c>
      <c r="C238" s="37" t="n">
        <v>14</v>
      </c>
      <c r="D238" s="37" t="s">
        <v>37</v>
      </c>
      <c r="E238" s="37" t="s">
        <v>46</v>
      </c>
      <c r="F238" s="37" t="s">
        <v>129</v>
      </c>
      <c r="G238" s="39" t="b">
        <f aca="false">FALSE()</f>
        <v>0</v>
      </c>
      <c r="H238" s="37" t="n">
        <v>458.32</v>
      </c>
      <c r="K238" s="37" t="n">
        <v>0</v>
      </c>
      <c r="L238" s="37" t="str">
        <f aca="false">IF(C238="","",IF(C238&lt;=5,"Night (00-05)",IF(C238&lt;=11,"Morning (06-11)",IF(C238&lt;=16,"Afternoon (12-16)",IF(C238&lt;=20,"Evening (17-20)","Late (21-23)")))))</f>
        <v>Afternoon (12-16)</v>
      </c>
    </row>
    <row r="239" customFormat="false" ht="15" hidden="false" customHeight="false" outlineLevel="0" collapsed="false">
      <c r="A239" s="37" t="s">
        <v>344</v>
      </c>
      <c r="B239" s="38" t="n">
        <v>46318</v>
      </c>
      <c r="C239" s="37" t="n">
        <v>22</v>
      </c>
      <c r="D239" s="37" t="s">
        <v>38</v>
      </c>
      <c r="E239" s="37" t="s">
        <v>47</v>
      </c>
      <c r="F239" s="37" t="s">
        <v>23</v>
      </c>
      <c r="G239" s="39" t="b">
        <f aca="false">TRUE()</f>
        <v>1</v>
      </c>
      <c r="H239" s="37" t="n">
        <v>1483.94</v>
      </c>
      <c r="I239" s="37" t="n">
        <v>4</v>
      </c>
      <c r="J239" s="37" t="n">
        <v>54</v>
      </c>
      <c r="K239" s="37" t="n">
        <v>0</v>
      </c>
      <c r="L239" s="37" t="str">
        <f aca="false">IF(C239="","",IF(C239&lt;=5,"Night (00-05)",IF(C239&lt;=11,"Morning (06-11)",IF(C239&lt;=16,"Afternoon (12-16)",IF(C239&lt;=20,"Evening (17-20)","Late (21-23)")))))</f>
        <v>Late (21-23)</v>
      </c>
    </row>
    <row r="240" customFormat="false" ht="15" hidden="false" customHeight="false" outlineLevel="0" collapsed="false">
      <c r="A240" s="37" t="s">
        <v>345</v>
      </c>
      <c r="B240" s="38" t="n">
        <v>46319</v>
      </c>
      <c r="C240" s="37" t="n">
        <v>2</v>
      </c>
      <c r="D240" s="37" t="s">
        <v>40</v>
      </c>
      <c r="E240" s="37" t="s">
        <v>48</v>
      </c>
      <c r="F240" s="37" t="s">
        <v>113</v>
      </c>
      <c r="G240" s="39" t="b">
        <f aca="false">TRUE()</f>
        <v>1</v>
      </c>
      <c r="H240" s="37" t="n">
        <v>719.52</v>
      </c>
      <c r="K240" s="37" t="n">
        <v>0</v>
      </c>
      <c r="L240" s="37" t="str">
        <f aca="false">IF(C240="","",IF(C240&lt;=5,"Night (00-05)",IF(C240&lt;=11,"Morning (06-11)",IF(C240&lt;=16,"Afternoon (12-16)",IF(C240&lt;=20,"Evening (17-20)","Late (21-23)")))))</f>
        <v>Night (00-05)</v>
      </c>
    </row>
    <row r="241" customFormat="false" ht="15" hidden="false" customHeight="false" outlineLevel="0" collapsed="false">
      <c r="A241" s="37" t="s">
        <v>346</v>
      </c>
      <c r="B241" s="38" t="n">
        <v>46321</v>
      </c>
      <c r="C241" s="37" t="n">
        <v>2</v>
      </c>
      <c r="D241" s="37" t="s">
        <v>39</v>
      </c>
      <c r="E241" s="37" t="s">
        <v>47</v>
      </c>
      <c r="F241" s="37" t="s">
        <v>23</v>
      </c>
      <c r="G241" s="39" t="b">
        <f aca="false">TRUE()</f>
        <v>1</v>
      </c>
      <c r="H241" s="37" t="n">
        <v>395.27</v>
      </c>
      <c r="I241" s="37" t="n">
        <v>4</v>
      </c>
      <c r="J241" s="37" t="n">
        <v>22</v>
      </c>
      <c r="K241" s="37" t="n">
        <v>0</v>
      </c>
      <c r="L241" s="37" t="str">
        <f aca="false">IF(C241="","",IF(C241&lt;=5,"Night (00-05)",IF(C241&lt;=11,"Morning (06-11)",IF(C241&lt;=16,"Afternoon (12-16)",IF(C241&lt;=20,"Evening (17-20)","Late (21-23)")))))</f>
        <v>Night (00-05)</v>
      </c>
    </row>
    <row r="242" customFormat="false" ht="15" hidden="false" customHeight="false" outlineLevel="0" collapsed="false">
      <c r="A242" s="37" t="s">
        <v>347</v>
      </c>
      <c r="B242" s="38" t="n">
        <v>46321</v>
      </c>
      <c r="C242" s="37" t="n">
        <v>1</v>
      </c>
      <c r="D242" s="37" t="s">
        <v>38</v>
      </c>
      <c r="E242" s="37" t="s">
        <v>49</v>
      </c>
      <c r="F242" s="37" t="s">
        <v>23</v>
      </c>
      <c r="G242" s="39" t="b">
        <f aca="false">TRUE()</f>
        <v>1</v>
      </c>
      <c r="H242" s="37" t="n">
        <v>1106.27</v>
      </c>
      <c r="I242" s="37" t="n">
        <v>3</v>
      </c>
      <c r="J242" s="37" t="n">
        <v>23</v>
      </c>
      <c r="K242" s="37" t="n">
        <v>0</v>
      </c>
      <c r="L242" s="37" t="str">
        <f aca="false">IF(C242="","",IF(C242&lt;=5,"Night (00-05)",IF(C242&lt;=11,"Morning (06-11)",IF(C242&lt;=16,"Afternoon (12-16)",IF(C242&lt;=20,"Evening (17-20)","Late (21-23)")))))</f>
        <v>Night (00-05)</v>
      </c>
    </row>
    <row r="243" customFormat="false" ht="15" hidden="false" customHeight="false" outlineLevel="0" collapsed="false">
      <c r="A243" s="37" t="s">
        <v>348</v>
      </c>
      <c r="B243" s="38" t="n">
        <v>46317</v>
      </c>
      <c r="C243" s="37" t="n">
        <v>17</v>
      </c>
      <c r="D243" s="37" t="s">
        <v>40</v>
      </c>
      <c r="E243" s="37" t="s">
        <v>46</v>
      </c>
      <c r="F243" s="37" t="s">
        <v>23</v>
      </c>
      <c r="G243" s="39" t="b">
        <f aca="false">TRUE()</f>
        <v>1</v>
      </c>
      <c r="H243" s="37" t="n">
        <v>688.52</v>
      </c>
      <c r="I243" s="37" t="n">
        <v>4</v>
      </c>
      <c r="J243" s="37" t="n">
        <v>53</v>
      </c>
      <c r="K243" s="37" t="n">
        <v>0</v>
      </c>
      <c r="L243" s="37" t="str">
        <f aca="false">IF(C243="","",IF(C243&lt;=5,"Night (00-05)",IF(C243&lt;=11,"Morning (06-11)",IF(C243&lt;=16,"Afternoon (12-16)",IF(C243&lt;=20,"Evening (17-20)","Late (21-23)")))))</f>
        <v>Evening (17-20)</v>
      </c>
    </row>
    <row r="244" customFormat="false" ht="15" hidden="false" customHeight="false" outlineLevel="0" collapsed="false">
      <c r="A244" s="37" t="s">
        <v>349</v>
      </c>
      <c r="B244" s="38" t="n">
        <v>46317</v>
      </c>
      <c r="C244" s="37" t="n">
        <v>17</v>
      </c>
      <c r="D244" s="37" t="s">
        <v>37</v>
      </c>
      <c r="E244" s="37" t="s">
        <v>49</v>
      </c>
      <c r="F244" s="37" t="s">
        <v>23</v>
      </c>
      <c r="G244" s="39" t="b">
        <f aca="false">TRUE()</f>
        <v>1</v>
      </c>
      <c r="H244" s="37" t="n">
        <v>676.93</v>
      </c>
      <c r="I244" s="37" t="n">
        <v>5</v>
      </c>
      <c r="J244" s="37" t="n">
        <v>42</v>
      </c>
      <c r="K244" s="37" t="n">
        <v>0</v>
      </c>
      <c r="L244" s="37" t="str">
        <f aca="false">IF(C244="","",IF(C244&lt;=5,"Night (00-05)",IF(C244&lt;=11,"Morning (06-11)",IF(C244&lt;=16,"Afternoon (12-16)",IF(C244&lt;=20,"Evening (17-20)","Late (21-23)")))))</f>
        <v>Evening (17-20)</v>
      </c>
    </row>
    <row r="245" customFormat="false" ht="15" hidden="false" customHeight="false" outlineLevel="0" collapsed="false">
      <c r="A245" s="37" t="s">
        <v>350</v>
      </c>
      <c r="B245" s="38" t="n">
        <v>46320</v>
      </c>
      <c r="C245" s="37" t="n">
        <v>19</v>
      </c>
      <c r="D245" s="37" t="s">
        <v>39</v>
      </c>
      <c r="E245" s="37" t="s">
        <v>49</v>
      </c>
      <c r="F245" s="37" t="s">
        <v>23</v>
      </c>
      <c r="G245" s="39" t="b">
        <f aca="false">TRUE()</f>
        <v>1</v>
      </c>
      <c r="H245" s="37" t="n">
        <v>358.69</v>
      </c>
      <c r="I245" s="37" t="n">
        <v>4</v>
      </c>
      <c r="J245" s="37" t="n">
        <v>54</v>
      </c>
      <c r="K245" s="37" t="n">
        <v>0</v>
      </c>
      <c r="L245" s="37" t="str">
        <f aca="false">IF(C245="","",IF(C245&lt;=5,"Night (00-05)",IF(C245&lt;=11,"Morning (06-11)",IF(C245&lt;=16,"Afternoon (12-16)",IF(C245&lt;=20,"Evening (17-20)","Late (21-23)")))))</f>
        <v>Evening (17-20)</v>
      </c>
    </row>
    <row r="246" customFormat="false" ht="15" hidden="false" customHeight="false" outlineLevel="0" collapsed="false">
      <c r="A246" s="37" t="s">
        <v>351</v>
      </c>
      <c r="B246" s="38" t="n">
        <v>46321</v>
      </c>
      <c r="C246" s="37" t="n">
        <v>17</v>
      </c>
      <c r="D246" s="37" t="s">
        <v>37</v>
      </c>
      <c r="E246" s="37" t="s">
        <v>49</v>
      </c>
      <c r="F246" s="37" t="s">
        <v>23</v>
      </c>
      <c r="G246" s="39" t="b">
        <f aca="false">TRUE()</f>
        <v>1</v>
      </c>
      <c r="H246" s="37" t="n">
        <v>856.37</v>
      </c>
      <c r="I246" s="37" t="n">
        <v>5</v>
      </c>
      <c r="J246" s="37" t="n">
        <v>46</v>
      </c>
      <c r="K246" s="37" t="n">
        <v>0</v>
      </c>
      <c r="L246" s="37" t="str">
        <f aca="false">IF(C246="","",IF(C246&lt;=5,"Night (00-05)",IF(C246&lt;=11,"Morning (06-11)",IF(C246&lt;=16,"Afternoon (12-16)",IF(C246&lt;=20,"Evening (17-20)","Late (21-23)")))))</f>
        <v>Evening (17-20)</v>
      </c>
    </row>
    <row r="247" customFormat="false" ht="15" hidden="false" customHeight="false" outlineLevel="0" collapsed="false">
      <c r="A247" s="37" t="s">
        <v>352</v>
      </c>
      <c r="B247" s="38" t="n">
        <v>46316</v>
      </c>
      <c r="C247" s="37" t="n">
        <v>19</v>
      </c>
      <c r="D247" s="37" t="s">
        <v>40</v>
      </c>
      <c r="E247" s="37" t="s">
        <v>47</v>
      </c>
      <c r="F247" s="37" t="s">
        <v>23</v>
      </c>
      <c r="G247" s="39" t="b">
        <f aca="false">TRUE()</f>
        <v>1</v>
      </c>
      <c r="H247" s="37" t="n">
        <v>1236.78</v>
      </c>
      <c r="I247" s="37" t="n">
        <v>4</v>
      </c>
      <c r="J247" s="37" t="n">
        <v>25</v>
      </c>
      <c r="K247" s="37" t="n">
        <v>0</v>
      </c>
      <c r="L247" s="37" t="str">
        <f aca="false">IF(C247="","",IF(C247&lt;=5,"Night (00-05)",IF(C247&lt;=11,"Morning (06-11)",IF(C247&lt;=16,"Afternoon (12-16)",IF(C247&lt;=20,"Evening (17-20)","Late (21-23)")))))</f>
        <v>Evening (17-20)</v>
      </c>
    </row>
    <row r="248" customFormat="false" ht="15" hidden="false" customHeight="false" outlineLevel="0" collapsed="false">
      <c r="A248" s="37" t="s">
        <v>353</v>
      </c>
      <c r="B248" s="38" t="n">
        <v>46321</v>
      </c>
      <c r="C248" s="37" t="n">
        <v>16</v>
      </c>
      <c r="D248" s="37" t="s">
        <v>38</v>
      </c>
      <c r="E248" s="37" t="s">
        <v>47</v>
      </c>
      <c r="F248" s="37" t="s">
        <v>23</v>
      </c>
      <c r="G248" s="39" t="b">
        <f aca="false">TRUE()</f>
        <v>1</v>
      </c>
      <c r="H248" s="37" t="n">
        <v>930.71</v>
      </c>
      <c r="I248" s="37" t="n">
        <v>4</v>
      </c>
      <c r="J248" s="37" t="n">
        <v>55</v>
      </c>
      <c r="K248" s="37" t="n">
        <v>0</v>
      </c>
      <c r="L248" s="37" t="str">
        <f aca="false">IF(C248="","",IF(C248&lt;=5,"Night (00-05)",IF(C248&lt;=11,"Morning (06-11)",IF(C248&lt;=16,"Afternoon (12-16)",IF(C248&lt;=20,"Evening (17-20)","Late (21-23)")))))</f>
        <v>Afternoon (12-16)</v>
      </c>
    </row>
    <row r="249" customFormat="false" ht="15" hidden="false" customHeight="false" outlineLevel="0" collapsed="false">
      <c r="A249" s="37" t="s">
        <v>354</v>
      </c>
      <c r="B249" s="38" t="n">
        <v>46317</v>
      </c>
      <c r="C249" s="37" t="n">
        <v>3</v>
      </c>
      <c r="D249" s="37" t="s">
        <v>38</v>
      </c>
      <c r="E249" s="37" t="s">
        <v>48</v>
      </c>
      <c r="F249" s="37" t="s">
        <v>129</v>
      </c>
      <c r="G249" s="39" t="b">
        <f aca="false">FALSE()</f>
        <v>0</v>
      </c>
      <c r="H249" s="37" t="n">
        <v>1455.01</v>
      </c>
      <c r="K249" s="37" t="n">
        <v>0</v>
      </c>
      <c r="L249" s="37" t="str">
        <f aca="false">IF(C249="","",IF(C249&lt;=5,"Night (00-05)",IF(C249&lt;=11,"Morning (06-11)",IF(C249&lt;=16,"Afternoon (12-16)",IF(C249&lt;=20,"Evening (17-20)","Late (21-23)")))))</f>
        <v>Night (00-05)</v>
      </c>
    </row>
    <row r="250" customFormat="false" ht="15" hidden="false" customHeight="false" outlineLevel="0" collapsed="false">
      <c r="A250" s="37" t="s">
        <v>355</v>
      </c>
      <c r="B250" s="38" t="n">
        <v>46316</v>
      </c>
      <c r="C250" s="37" t="n">
        <v>1</v>
      </c>
      <c r="D250" s="37" t="s">
        <v>37</v>
      </c>
      <c r="E250" s="37" t="s">
        <v>48</v>
      </c>
      <c r="F250" s="37" t="s">
        <v>23</v>
      </c>
      <c r="G250" s="39" t="b">
        <f aca="false">TRUE()</f>
        <v>1</v>
      </c>
      <c r="H250" s="37" t="n">
        <v>597.32</v>
      </c>
      <c r="I250" s="37" t="n">
        <v>5</v>
      </c>
      <c r="J250" s="37" t="n">
        <v>40</v>
      </c>
      <c r="K250" s="37" t="n">
        <v>0</v>
      </c>
      <c r="L250" s="37" t="str">
        <f aca="false">IF(C250="","",IF(C250&lt;=5,"Night (00-05)",IF(C250&lt;=11,"Morning (06-11)",IF(C250&lt;=16,"Afternoon (12-16)",IF(C250&lt;=20,"Evening (17-20)","Late (21-23)")))))</f>
        <v>Night (00-05)</v>
      </c>
    </row>
    <row r="251" customFormat="false" ht="15" hidden="false" customHeight="false" outlineLevel="0" collapsed="false">
      <c r="A251" s="37" t="s">
        <v>356</v>
      </c>
      <c r="B251" s="38" t="n">
        <v>46318</v>
      </c>
      <c r="C251" s="37" t="n">
        <v>21</v>
      </c>
      <c r="D251" s="37" t="s">
        <v>40</v>
      </c>
      <c r="E251" s="37" t="s">
        <v>46</v>
      </c>
      <c r="F251" s="37" t="s">
        <v>113</v>
      </c>
      <c r="G251" s="39" t="b">
        <f aca="false">TRUE()</f>
        <v>1</v>
      </c>
      <c r="H251" s="37" t="n">
        <v>786.72</v>
      </c>
      <c r="K251" s="37" t="n">
        <v>0</v>
      </c>
      <c r="L251" s="37" t="str">
        <f aca="false">IF(C251="","",IF(C251&lt;=5,"Night (00-05)",IF(C251&lt;=11,"Morning (06-11)",IF(C251&lt;=16,"Afternoon (12-16)",IF(C251&lt;=20,"Evening (17-20)","Late (21-23)")))))</f>
        <v>Late (21-23)</v>
      </c>
    </row>
    <row r="252" customFormat="false" ht="15" hidden="false" customHeight="false" outlineLevel="0" collapsed="false">
      <c r="A252" s="37" t="s">
        <v>357</v>
      </c>
      <c r="B252" s="38" t="n">
        <v>46318</v>
      </c>
      <c r="C252" s="37" t="n">
        <v>15</v>
      </c>
      <c r="D252" s="37" t="s">
        <v>40</v>
      </c>
      <c r="E252" s="37" t="s">
        <v>48</v>
      </c>
      <c r="F252" s="37" t="s">
        <v>23</v>
      </c>
      <c r="G252" s="39" t="b">
        <f aca="false">TRUE()</f>
        <v>1</v>
      </c>
      <c r="H252" s="37" t="n">
        <v>795.56</v>
      </c>
      <c r="I252" s="37" t="n">
        <v>5</v>
      </c>
      <c r="J252" s="37" t="n">
        <v>34</v>
      </c>
      <c r="K252" s="37" t="n">
        <v>0</v>
      </c>
      <c r="L252" s="37" t="str">
        <f aca="false">IF(C252="","",IF(C252&lt;=5,"Night (00-05)",IF(C252&lt;=11,"Morning (06-11)",IF(C252&lt;=16,"Afternoon (12-16)",IF(C252&lt;=20,"Evening (17-20)","Late (21-23)")))))</f>
        <v>Afternoon (12-16)</v>
      </c>
    </row>
    <row r="253" customFormat="false" ht="15" hidden="false" customHeight="false" outlineLevel="0" collapsed="false">
      <c r="A253" s="37" t="s">
        <v>358</v>
      </c>
      <c r="B253" s="38" t="n">
        <v>46315</v>
      </c>
      <c r="C253" s="37" t="n">
        <v>17</v>
      </c>
      <c r="D253" s="37" t="s">
        <v>39</v>
      </c>
      <c r="E253" s="37" t="s">
        <v>46</v>
      </c>
      <c r="F253" s="37" t="s">
        <v>23</v>
      </c>
      <c r="G253" s="39" t="b">
        <f aca="false">TRUE()</f>
        <v>1</v>
      </c>
      <c r="H253" s="37" t="n">
        <v>359.96</v>
      </c>
      <c r="I253" s="37" t="n">
        <v>5</v>
      </c>
      <c r="J253" s="37" t="n">
        <v>44</v>
      </c>
      <c r="K253" s="37" t="n">
        <v>0</v>
      </c>
      <c r="L253" s="37" t="str">
        <f aca="false">IF(C253="","",IF(C253&lt;=5,"Night (00-05)",IF(C253&lt;=11,"Morning (06-11)",IF(C253&lt;=16,"Afternoon (12-16)",IF(C253&lt;=20,"Evening (17-20)","Late (21-23)")))))</f>
        <v>Evening (17-20)</v>
      </c>
    </row>
    <row r="254" customFormat="false" ht="15" hidden="false" customHeight="false" outlineLevel="0" collapsed="false">
      <c r="A254" s="37" t="s">
        <v>359</v>
      </c>
      <c r="B254" s="38" t="n">
        <v>46316</v>
      </c>
      <c r="C254" s="37" t="n">
        <v>22</v>
      </c>
      <c r="D254" s="37" t="s">
        <v>40</v>
      </c>
      <c r="E254" s="37" t="s">
        <v>46</v>
      </c>
      <c r="F254" s="37" t="s">
        <v>23</v>
      </c>
      <c r="G254" s="39" t="b">
        <f aca="false">TRUE()</f>
        <v>1</v>
      </c>
      <c r="H254" s="37" t="n">
        <v>1109.69</v>
      </c>
      <c r="I254" s="37" t="n">
        <v>4</v>
      </c>
      <c r="J254" s="37" t="n">
        <v>51</v>
      </c>
      <c r="K254" s="37" t="n">
        <v>0</v>
      </c>
      <c r="L254" s="37" t="str">
        <f aca="false">IF(C254="","",IF(C254&lt;=5,"Night (00-05)",IF(C254&lt;=11,"Morning (06-11)",IF(C254&lt;=16,"Afternoon (12-16)",IF(C254&lt;=20,"Evening (17-20)","Late (21-23)")))))</f>
        <v>Late (21-23)</v>
      </c>
    </row>
    <row r="255" customFormat="false" ht="15" hidden="false" customHeight="false" outlineLevel="0" collapsed="false">
      <c r="A255" s="37" t="s">
        <v>360</v>
      </c>
      <c r="B255" s="38" t="n">
        <v>46321</v>
      </c>
      <c r="C255" s="37" t="n">
        <v>2</v>
      </c>
      <c r="D255" s="37" t="s">
        <v>39</v>
      </c>
      <c r="E255" s="37" t="s">
        <v>48</v>
      </c>
      <c r="F255" s="37" t="s">
        <v>23</v>
      </c>
      <c r="G255" s="39" t="b">
        <f aca="false">TRUE()</f>
        <v>1</v>
      </c>
      <c r="H255" s="37" t="n">
        <v>665.76</v>
      </c>
      <c r="I255" s="37" t="n">
        <v>4</v>
      </c>
      <c r="J255" s="37" t="n">
        <v>23</v>
      </c>
      <c r="K255" s="37" t="n">
        <v>0</v>
      </c>
      <c r="L255" s="37" t="str">
        <f aca="false">IF(C255="","",IF(C255&lt;=5,"Night (00-05)",IF(C255&lt;=11,"Morning (06-11)",IF(C255&lt;=16,"Afternoon (12-16)",IF(C255&lt;=20,"Evening (17-20)","Late (21-23)")))))</f>
        <v>Night (00-05)</v>
      </c>
    </row>
    <row r="256" customFormat="false" ht="15" hidden="false" customHeight="false" outlineLevel="0" collapsed="false">
      <c r="A256" s="37" t="s">
        <v>361</v>
      </c>
      <c r="B256" s="38" t="n">
        <v>46322</v>
      </c>
      <c r="C256" s="37" t="n">
        <v>3</v>
      </c>
      <c r="D256" s="37" t="s">
        <v>38</v>
      </c>
      <c r="E256" s="37" t="s">
        <v>47</v>
      </c>
      <c r="F256" s="37" t="s">
        <v>23</v>
      </c>
      <c r="G256" s="39" t="b">
        <f aca="false">TRUE()</f>
        <v>1</v>
      </c>
      <c r="H256" s="37" t="n">
        <v>1087.67</v>
      </c>
      <c r="I256" s="37" t="n">
        <v>3</v>
      </c>
      <c r="J256" s="37" t="n">
        <v>34</v>
      </c>
      <c r="K256" s="37" t="n">
        <v>0</v>
      </c>
      <c r="L256" s="37" t="str">
        <f aca="false">IF(C256="","",IF(C256&lt;=5,"Night (00-05)",IF(C256&lt;=11,"Morning (06-11)",IF(C256&lt;=16,"Afternoon (12-16)",IF(C256&lt;=20,"Evening (17-20)","Late (21-23)")))))</f>
        <v>Night (00-05)</v>
      </c>
    </row>
    <row r="257" customFormat="false" ht="15" hidden="false" customHeight="false" outlineLevel="0" collapsed="false">
      <c r="A257" s="37" t="s">
        <v>362</v>
      </c>
      <c r="B257" s="38" t="n">
        <v>46316</v>
      </c>
      <c r="C257" s="37" t="n">
        <v>9</v>
      </c>
      <c r="D257" s="37" t="s">
        <v>40</v>
      </c>
      <c r="E257" s="37" t="s">
        <v>47</v>
      </c>
      <c r="F257" s="37" t="s">
        <v>23</v>
      </c>
      <c r="G257" s="39" t="b">
        <f aca="false">TRUE()</f>
        <v>1</v>
      </c>
      <c r="H257" s="37" t="n">
        <v>993.27</v>
      </c>
      <c r="I257" s="37" t="n">
        <v>5</v>
      </c>
      <c r="J257" s="37" t="n">
        <v>50</v>
      </c>
      <c r="K257" s="37" t="n">
        <v>0</v>
      </c>
      <c r="L257" s="37" t="str">
        <f aca="false">IF(C257="","",IF(C257&lt;=5,"Night (00-05)",IF(C257&lt;=11,"Morning (06-11)",IF(C257&lt;=16,"Afternoon (12-16)",IF(C257&lt;=20,"Evening (17-20)","Late (21-23)")))))</f>
        <v>Morning (06-11)</v>
      </c>
    </row>
    <row r="258" customFormat="false" ht="15" hidden="false" customHeight="false" outlineLevel="0" collapsed="false">
      <c r="A258" s="37" t="s">
        <v>363</v>
      </c>
      <c r="B258" s="38" t="n">
        <v>46315</v>
      </c>
      <c r="C258" s="37" t="n">
        <v>8</v>
      </c>
      <c r="D258" s="37" t="s">
        <v>38</v>
      </c>
      <c r="E258" s="37" t="s">
        <v>47</v>
      </c>
      <c r="F258" s="37" t="s">
        <v>23</v>
      </c>
      <c r="G258" s="39" t="b">
        <f aca="false">TRUE()</f>
        <v>1</v>
      </c>
      <c r="H258" s="37" t="n">
        <v>1169.59</v>
      </c>
      <c r="I258" s="37" t="n">
        <v>1</v>
      </c>
      <c r="J258" s="37" t="n">
        <v>38</v>
      </c>
      <c r="K258" s="37" t="n">
        <v>0</v>
      </c>
      <c r="L258" s="37" t="str">
        <f aca="false">IF(C258="","",IF(C258&lt;=5,"Night (00-05)",IF(C258&lt;=11,"Morning (06-11)",IF(C258&lt;=16,"Afternoon (12-16)",IF(C258&lt;=20,"Evening (17-20)","Late (21-23)")))))</f>
        <v>Morning (06-11)</v>
      </c>
    </row>
    <row r="259" customFormat="false" ht="15" hidden="false" customHeight="false" outlineLevel="0" collapsed="false">
      <c r="A259" s="37" t="s">
        <v>364</v>
      </c>
      <c r="B259" s="38" t="n">
        <v>46322</v>
      </c>
      <c r="C259" s="37" t="n">
        <v>1</v>
      </c>
      <c r="D259" s="37" t="s">
        <v>37</v>
      </c>
      <c r="E259" s="37" t="s">
        <v>47</v>
      </c>
      <c r="F259" s="37" t="s">
        <v>23</v>
      </c>
      <c r="G259" s="39" t="b">
        <f aca="false">TRUE()</f>
        <v>1</v>
      </c>
      <c r="H259" s="37" t="n">
        <v>858.02</v>
      </c>
      <c r="I259" s="37" t="n">
        <v>4</v>
      </c>
      <c r="J259" s="37" t="n">
        <v>35</v>
      </c>
      <c r="K259" s="37" t="n">
        <v>0</v>
      </c>
      <c r="L259" s="37" t="str">
        <f aca="false">IF(C259="","",IF(C259&lt;=5,"Night (00-05)",IF(C259&lt;=11,"Morning (06-11)",IF(C259&lt;=16,"Afternoon (12-16)",IF(C259&lt;=20,"Evening (17-20)","Late (21-23)")))))</f>
        <v>Night (00-05)</v>
      </c>
    </row>
    <row r="260" customFormat="false" ht="15" hidden="false" customHeight="false" outlineLevel="0" collapsed="false">
      <c r="A260" s="37" t="s">
        <v>365</v>
      </c>
      <c r="B260" s="38" t="n">
        <v>46319</v>
      </c>
      <c r="C260" s="37" t="n">
        <v>17</v>
      </c>
      <c r="D260" s="37" t="s">
        <v>39</v>
      </c>
      <c r="E260" s="37" t="s">
        <v>47</v>
      </c>
      <c r="F260" s="37" t="s">
        <v>23</v>
      </c>
      <c r="G260" s="39" t="b">
        <f aca="false">TRUE()</f>
        <v>1</v>
      </c>
      <c r="H260" s="37" t="n">
        <v>448.22</v>
      </c>
      <c r="I260" s="37" t="n">
        <v>5</v>
      </c>
      <c r="J260" s="37" t="n">
        <v>35</v>
      </c>
      <c r="K260" s="37" t="n">
        <v>0</v>
      </c>
      <c r="L260" s="37" t="str">
        <f aca="false">IF(C260="","",IF(C260&lt;=5,"Night (00-05)",IF(C260&lt;=11,"Morning (06-11)",IF(C260&lt;=16,"Afternoon (12-16)",IF(C260&lt;=20,"Evening (17-20)","Late (21-23)")))))</f>
        <v>Evening (17-20)</v>
      </c>
    </row>
    <row r="261" customFormat="false" ht="15" hidden="false" customHeight="false" outlineLevel="0" collapsed="false">
      <c r="A261" s="37" t="s">
        <v>366</v>
      </c>
      <c r="B261" s="38" t="n">
        <v>46316</v>
      </c>
      <c r="C261" s="37" t="n">
        <v>18</v>
      </c>
      <c r="D261" s="37" t="s">
        <v>38</v>
      </c>
      <c r="E261" s="37" t="s">
        <v>47</v>
      </c>
      <c r="F261" s="37" t="s">
        <v>23</v>
      </c>
      <c r="G261" s="39" t="b">
        <f aca="false">TRUE()</f>
        <v>1</v>
      </c>
      <c r="H261" s="37" t="n">
        <v>864.45</v>
      </c>
      <c r="I261" s="37" t="n">
        <v>4</v>
      </c>
      <c r="J261" s="37" t="n">
        <v>55</v>
      </c>
      <c r="K261" s="37" t="n">
        <v>0</v>
      </c>
      <c r="L261" s="37" t="str">
        <f aca="false">IF(C261="","",IF(C261&lt;=5,"Night (00-05)",IF(C261&lt;=11,"Morning (06-11)",IF(C261&lt;=16,"Afternoon (12-16)",IF(C261&lt;=20,"Evening (17-20)","Late (21-23)")))))</f>
        <v>Evening (17-20)</v>
      </c>
    </row>
    <row r="262" customFormat="false" ht="15" hidden="false" customHeight="false" outlineLevel="0" collapsed="false">
      <c r="A262" s="37" t="s">
        <v>367</v>
      </c>
      <c r="B262" s="38" t="n">
        <v>46320</v>
      </c>
      <c r="C262" s="37" t="n">
        <v>9</v>
      </c>
      <c r="D262" s="37" t="s">
        <v>39</v>
      </c>
      <c r="E262" s="37" t="s">
        <v>49</v>
      </c>
      <c r="F262" s="37" t="s">
        <v>23</v>
      </c>
      <c r="G262" s="39" t="b">
        <f aca="false">TRUE()</f>
        <v>1</v>
      </c>
      <c r="H262" s="37" t="n">
        <v>556.96</v>
      </c>
      <c r="I262" s="37" t="n">
        <v>5</v>
      </c>
      <c r="J262" s="37" t="n">
        <v>26</v>
      </c>
      <c r="K262" s="37" t="n">
        <v>0</v>
      </c>
      <c r="L262" s="37" t="str">
        <f aca="false">IF(C262="","",IF(C262&lt;=5,"Night (00-05)",IF(C262&lt;=11,"Morning (06-11)",IF(C262&lt;=16,"Afternoon (12-16)",IF(C262&lt;=20,"Evening (17-20)","Late (21-23)")))))</f>
        <v>Morning (06-11)</v>
      </c>
    </row>
    <row r="263" customFormat="false" ht="15" hidden="false" customHeight="false" outlineLevel="0" collapsed="false">
      <c r="A263" s="37" t="s">
        <v>368</v>
      </c>
      <c r="B263" s="38" t="n">
        <v>46315</v>
      </c>
      <c r="C263" s="37" t="n">
        <v>17</v>
      </c>
      <c r="D263" s="37" t="s">
        <v>39</v>
      </c>
      <c r="E263" s="37" t="s">
        <v>46</v>
      </c>
      <c r="F263" s="37" t="s">
        <v>23</v>
      </c>
      <c r="G263" s="39" t="b">
        <f aca="false">TRUE()</f>
        <v>1</v>
      </c>
      <c r="H263" s="37" t="n">
        <v>317.62</v>
      </c>
      <c r="I263" s="37" t="n">
        <v>5</v>
      </c>
      <c r="J263" s="37" t="n">
        <v>37</v>
      </c>
      <c r="K263" s="37" t="n">
        <v>0</v>
      </c>
      <c r="L263" s="37" t="str">
        <f aca="false">IF(C263="","",IF(C263&lt;=5,"Night (00-05)",IF(C263&lt;=11,"Morning (06-11)",IF(C263&lt;=16,"Afternoon (12-16)",IF(C263&lt;=20,"Evening (17-20)","Late (21-23)")))))</f>
        <v>Evening (17-20)</v>
      </c>
    </row>
    <row r="264" customFormat="false" ht="15" hidden="false" customHeight="false" outlineLevel="0" collapsed="false">
      <c r="A264" s="37" t="s">
        <v>369</v>
      </c>
      <c r="B264" s="38" t="n">
        <v>46320</v>
      </c>
      <c r="C264" s="37" t="n">
        <v>0</v>
      </c>
      <c r="D264" s="37" t="s">
        <v>40</v>
      </c>
      <c r="E264" s="37" t="s">
        <v>47</v>
      </c>
      <c r="F264" s="37" t="s">
        <v>23</v>
      </c>
      <c r="G264" s="39" t="b">
        <f aca="false">TRUE()</f>
        <v>1</v>
      </c>
      <c r="H264" s="37" t="n">
        <v>1268.18</v>
      </c>
      <c r="I264" s="37" t="n">
        <v>5</v>
      </c>
      <c r="J264" s="37" t="n">
        <v>45</v>
      </c>
      <c r="K264" s="37" t="n">
        <v>0</v>
      </c>
      <c r="L264" s="37" t="str">
        <f aca="false">IF(C264="","",IF(C264&lt;=5,"Night (00-05)",IF(C264&lt;=11,"Morning (06-11)",IF(C264&lt;=16,"Afternoon (12-16)",IF(C264&lt;=20,"Evening (17-20)","Late (21-23)")))))</f>
        <v>Night (00-05)</v>
      </c>
    </row>
    <row r="265" customFormat="false" ht="15" hidden="false" customHeight="false" outlineLevel="0" collapsed="false">
      <c r="A265" s="37" t="s">
        <v>370</v>
      </c>
      <c r="B265" s="38" t="n">
        <v>46317</v>
      </c>
      <c r="C265" s="37" t="n">
        <v>16</v>
      </c>
      <c r="D265" s="37" t="s">
        <v>39</v>
      </c>
      <c r="E265" s="37" t="s">
        <v>46</v>
      </c>
      <c r="F265" s="37" t="s">
        <v>23</v>
      </c>
      <c r="G265" s="39" t="b">
        <f aca="false">TRUE()</f>
        <v>1</v>
      </c>
      <c r="H265" s="37" t="n">
        <v>452.54</v>
      </c>
      <c r="I265" s="37" t="n">
        <v>4</v>
      </c>
      <c r="J265" s="37" t="n">
        <v>25</v>
      </c>
      <c r="K265" s="37" t="n">
        <v>0</v>
      </c>
      <c r="L265" s="37" t="str">
        <f aca="false">IF(C265="","",IF(C265&lt;=5,"Night (00-05)",IF(C265&lt;=11,"Morning (06-11)",IF(C265&lt;=16,"Afternoon (12-16)",IF(C265&lt;=20,"Evening (17-20)","Late (21-23)")))))</f>
        <v>Afternoon (12-16)</v>
      </c>
    </row>
    <row r="266" customFormat="false" ht="15" hidden="false" customHeight="false" outlineLevel="0" collapsed="false">
      <c r="A266" s="37" t="s">
        <v>371</v>
      </c>
      <c r="B266" s="38" t="n">
        <v>46317</v>
      </c>
      <c r="C266" s="37" t="n">
        <v>13</v>
      </c>
      <c r="D266" s="37" t="s">
        <v>38</v>
      </c>
      <c r="E266" s="37" t="s">
        <v>46</v>
      </c>
      <c r="F266" s="37" t="s">
        <v>23</v>
      </c>
      <c r="G266" s="39" t="b">
        <f aca="false">TRUE()</f>
        <v>1</v>
      </c>
      <c r="H266" s="37" t="n">
        <v>1222.62</v>
      </c>
      <c r="I266" s="37" t="n">
        <v>5</v>
      </c>
      <c r="J266" s="37" t="n">
        <v>45</v>
      </c>
      <c r="K266" s="37" t="n">
        <v>0</v>
      </c>
      <c r="L266" s="37" t="str">
        <f aca="false">IF(C266="","",IF(C266&lt;=5,"Night (00-05)",IF(C266&lt;=11,"Morning (06-11)",IF(C266&lt;=16,"Afternoon (12-16)",IF(C266&lt;=20,"Evening (17-20)","Late (21-23)")))))</f>
        <v>Afternoon (12-16)</v>
      </c>
    </row>
    <row r="267" customFormat="false" ht="15" hidden="false" customHeight="false" outlineLevel="0" collapsed="false">
      <c r="A267" s="37" t="s">
        <v>372</v>
      </c>
      <c r="B267" s="38" t="n">
        <v>46317</v>
      </c>
      <c r="C267" s="37" t="n">
        <v>11</v>
      </c>
      <c r="D267" s="37" t="s">
        <v>39</v>
      </c>
      <c r="E267" s="37" t="s">
        <v>49</v>
      </c>
      <c r="F267" s="37" t="s">
        <v>23</v>
      </c>
      <c r="G267" s="39" t="b">
        <f aca="false">TRUE()</f>
        <v>1</v>
      </c>
      <c r="H267" s="37" t="n">
        <v>390.26</v>
      </c>
      <c r="I267" s="37" t="n">
        <v>4</v>
      </c>
      <c r="J267" s="37" t="n">
        <v>44</v>
      </c>
      <c r="K267" s="37" t="n">
        <v>0</v>
      </c>
      <c r="L267" s="37" t="str">
        <f aca="false">IF(C267="","",IF(C267&lt;=5,"Night (00-05)",IF(C267&lt;=11,"Morning (06-11)",IF(C267&lt;=16,"Afternoon (12-16)",IF(C267&lt;=20,"Evening (17-20)","Late (21-23)")))))</f>
        <v>Morning (06-11)</v>
      </c>
    </row>
    <row r="268" customFormat="false" ht="15" hidden="false" customHeight="false" outlineLevel="0" collapsed="false">
      <c r="A268" s="37" t="s">
        <v>373</v>
      </c>
      <c r="B268" s="38" t="n">
        <v>46320</v>
      </c>
      <c r="C268" s="37" t="n">
        <v>23</v>
      </c>
      <c r="D268" s="37" t="s">
        <v>40</v>
      </c>
      <c r="E268" s="37" t="s">
        <v>48</v>
      </c>
      <c r="F268" s="37" t="s">
        <v>23</v>
      </c>
      <c r="G268" s="39" t="b">
        <f aca="false">TRUE()</f>
        <v>1</v>
      </c>
      <c r="H268" s="37" t="n">
        <v>1069.49</v>
      </c>
      <c r="I268" s="37" t="n">
        <v>4</v>
      </c>
      <c r="J268" s="37" t="n">
        <v>29</v>
      </c>
      <c r="K268" s="37" t="n">
        <v>0</v>
      </c>
      <c r="L268" s="37" t="str">
        <f aca="false">IF(C268="","",IF(C268&lt;=5,"Night (00-05)",IF(C268&lt;=11,"Morning (06-11)",IF(C268&lt;=16,"Afternoon (12-16)",IF(C268&lt;=20,"Evening (17-20)","Late (21-23)")))))</f>
        <v>Late (21-23)</v>
      </c>
    </row>
    <row r="269" customFormat="false" ht="15" hidden="false" customHeight="false" outlineLevel="0" collapsed="false">
      <c r="A269" s="37" t="s">
        <v>374</v>
      </c>
      <c r="B269" s="38" t="n">
        <v>46322</v>
      </c>
      <c r="C269" s="37" t="n">
        <v>0</v>
      </c>
      <c r="D269" s="37" t="s">
        <v>40</v>
      </c>
      <c r="E269" s="37" t="s">
        <v>46</v>
      </c>
      <c r="F269" s="37" t="s">
        <v>23</v>
      </c>
      <c r="G269" s="39" t="b">
        <f aca="false">TRUE()</f>
        <v>1</v>
      </c>
      <c r="H269" s="37" t="n">
        <v>584.24</v>
      </c>
      <c r="I269" s="37" t="n">
        <v>4</v>
      </c>
      <c r="J269" s="37" t="n">
        <v>39</v>
      </c>
      <c r="K269" s="37" t="n">
        <v>0</v>
      </c>
      <c r="L269" s="37" t="str">
        <f aca="false">IF(C269="","",IF(C269&lt;=5,"Night (00-05)",IF(C269&lt;=11,"Morning (06-11)",IF(C269&lt;=16,"Afternoon (12-16)",IF(C269&lt;=20,"Evening (17-20)","Late (21-23)")))))</f>
        <v>Night (00-05)</v>
      </c>
    </row>
    <row r="270" customFormat="false" ht="15" hidden="false" customHeight="false" outlineLevel="0" collapsed="false">
      <c r="A270" s="37" t="s">
        <v>375</v>
      </c>
      <c r="B270" s="38" t="n">
        <v>46321</v>
      </c>
      <c r="C270" s="37" t="n">
        <v>17</v>
      </c>
      <c r="D270" s="37" t="s">
        <v>37</v>
      </c>
      <c r="E270" s="37" t="s">
        <v>49</v>
      </c>
      <c r="F270" s="37" t="s">
        <v>23</v>
      </c>
      <c r="G270" s="39" t="b">
        <f aca="false">TRUE()</f>
        <v>1</v>
      </c>
      <c r="H270" s="37" t="n">
        <v>623.42</v>
      </c>
      <c r="I270" s="37" t="n">
        <v>3</v>
      </c>
      <c r="J270" s="37" t="n">
        <v>46</v>
      </c>
      <c r="K270" s="37" t="n">
        <v>0</v>
      </c>
      <c r="L270" s="37" t="str">
        <f aca="false">IF(C270="","",IF(C270&lt;=5,"Night (00-05)",IF(C270&lt;=11,"Morning (06-11)",IF(C270&lt;=16,"Afternoon (12-16)",IF(C270&lt;=20,"Evening (17-20)","Late (21-23)")))))</f>
        <v>Evening (17-20)</v>
      </c>
    </row>
    <row r="271" customFormat="false" ht="15" hidden="false" customHeight="false" outlineLevel="0" collapsed="false">
      <c r="A271" s="37" t="s">
        <v>376</v>
      </c>
      <c r="B271" s="38" t="n">
        <v>46315</v>
      </c>
      <c r="C271" s="37" t="n">
        <v>19</v>
      </c>
      <c r="D271" s="37" t="s">
        <v>40</v>
      </c>
      <c r="E271" s="37" t="s">
        <v>49</v>
      </c>
      <c r="F271" s="37" t="s">
        <v>23</v>
      </c>
      <c r="G271" s="39" t="b">
        <f aca="false">TRUE()</f>
        <v>1</v>
      </c>
      <c r="H271" s="37" t="n">
        <v>508.87</v>
      </c>
      <c r="I271" s="37" t="n">
        <v>5</v>
      </c>
      <c r="J271" s="37" t="n">
        <v>25</v>
      </c>
      <c r="K271" s="37" t="n">
        <v>0</v>
      </c>
      <c r="L271" s="37" t="str">
        <f aca="false">IF(C271="","",IF(C271&lt;=5,"Night (00-05)",IF(C271&lt;=11,"Morning (06-11)",IF(C271&lt;=16,"Afternoon (12-16)",IF(C271&lt;=20,"Evening (17-20)","Late (21-23)")))))</f>
        <v>Evening (17-20)</v>
      </c>
    </row>
    <row r="272" customFormat="false" ht="15" hidden="false" customHeight="false" outlineLevel="0" collapsed="false">
      <c r="A272" s="37" t="s">
        <v>377</v>
      </c>
      <c r="B272" s="38" t="n">
        <v>46320</v>
      </c>
      <c r="C272" s="37" t="n">
        <v>3</v>
      </c>
      <c r="D272" s="37" t="s">
        <v>37</v>
      </c>
      <c r="E272" s="37" t="s">
        <v>49</v>
      </c>
      <c r="F272" s="37" t="s">
        <v>23</v>
      </c>
      <c r="G272" s="39" t="b">
        <f aca="false">TRUE()</f>
        <v>1</v>
      </c>
      <c r="H272" s="37" t="n">
        <v>483.75</v>
      </c>
      <c r="I272" s="37" t="n">
        <v>4</v>
      </c>
      <c r="J272" s="37" t="n">
        <v>37</v>
      </c>
      <c r="K272" s="37" t="n">
        <v>0</v>
      </c>
      <c r="L272" s="37" t="str">
        <f aca="false">IF(C272="","",IF(C272&lt;=5,"Night (00-05)",IF(C272&lt;=11,"Morning (06-11)",IF(C272&lt;=16,"Afternoon (12-16)",IF(C272&lt;=20,"Evening (17-20)","Late (21-23)")))))</f>
        <v>Night (00-05)</v>
      </c>
    </row>
    <row r="273" customFormat="false" ht="15" hidden="false" customHeight="false" outlineLevel="0" collapsed="false">
      <c r="A273" s="37" t="s">
        <v>378</v>
      </c>
      <c r="B273" s="38" t="n">
        <v>46315</v>
      </c>
      <c r="C273" s="37" t="n">
        <v>16</v>
      </c>
      <c r="D273" s="37" t="s">
        <v>40</v>
      </c>
      <c r="E273" s="37" t="s">
        <v>49</v>
      </c>
      <c r="F273" s="37" t="s">
        <v>23</v>
      </c>
      <c r="G273" s="39" t="b">
        <f aca="false">TRUE()</f>
        <v>1</v>
      </c>
      <c r="H273" s="37" t="n">
        <v>1125.13</v>
      </c>
      <c r="I273" s="37" t="n">
        <v>5</v>
      </c>
      <c r="J273" s="37" t="n">
        <v>35</v>
      </c>
      <c r="K273" s="37" t="n">
        <v>0</v>
      </c>
      <c r="L273" s="37" t="str">
        <f aca="false">IF(C273="","",IF(C273&lt;=5,"Night (00-05)",IF(C273&lt;=11,"Morning (06-11)",IF(C273&lt;=16,"Afternoon (12-16)",IF(C273&lt;=20,"Evening (17-20)","Late (21-23)")))))</f>
        <v>Afternoon (12-16)</v>
      </c>
    </row>
    <row r="274" customFormat="false" ht="15" hidden="false" customHeight="false" outlineLevel="0" collapsed="false">
      <c r="A274" s="37" t="s">
        <v>379</v>
      </c>
      <c r="B274" s="38" t="n">
        <v>46318</v>
      </c>
      <c r="C274" s="37" t="n">
        <v>23</v>
      </c>
      <c r="D274" s="37" t="s">
        <v>38</v>
      </c>
      <c r="E274" s="37" t="s">
        <v>48</v>
      </c>
      <c r="F274" s="37" t="s">
        <v>113</v>
      </c>
      <c r="G274" s="39" t="b">
        <f aca="false">TRUE()</f>
        <v>1</v>
      </c>
      <c r="H274" s="37" t="n">
        <v>1012.26</v>
      </c>
      <c r="K274" s="37" t="n">
        <v>0</v>
      </c>
      <c r="L274" s="37" t="str">
        <f aca="false">IF(C274="","",IF(C274&lt;=5,"Night (00-05)",IF(C274&lt;=11,"Morning (06-11)",IF(C274&lt;=16,"Afternoon (12-16)",IF(C274&lt;=20,"Evening (17-20)","Late (21-23)")))))</f>
        <v>Late (21-23)</v>
      </c>
    </row>
    <row r="275" customFormat="false" ht="15" hidden="false" customHeight="false" outlineLevel="0" collapsed="false">
      <c r="A275" s="37" t="s">
        <v>380</v>
      </c>
      <c r="B275" s="38" t="n">
        <v>46318</v>
      </c>
      <c r="C275" s="37" t="n">
        <v>2</v>
      </c>
      <c r="D275" s="37" t="s">
        <v>40</v>
      </c>
      <c r="E275" s="37" t="s">
        <v>49</v>
      </c>
      <c r="F275" s="37" t="s">
        <v>23</v>
      </c>
      <c r="G275" s="39" t="b">
        <f aca="false">TRUE()</f>
        <v>1</v>
      </c>
      <c r="H275" s="37" t="n">
        <v>766.79</v>
      </c>
      <c r="I275" s="37" t="n">
        <v>4</v>
      </c>
      <c r="J275" s="37" t="n">
        <v>28</v>
      </c>
      <c r="K275" s="37" t="n">
        <v>0</v>
      </c>
      <c r="L275" s="37" t="str">
        <f aca="false">IF(C275="","",IF(C275&lt;=5,"Night (00-05)",IF(C275&lt;=11,"Morning (06-11)",IF(C275&lt;=16,"Afternoon (12-16)",IF(C275&lt;=20,"Evening (17-20)","Late (21-23)")))))</f>
        <v>Night (00-05)</v>
      </c>
    </row>
    <row r="276" customFormat="false" ht="15" hidden="false" customHeight="false" outlineLevel="0" collapsed="false">
      <c r="A276" s="37" t="s">
        <v>381</v>
      </c>
      <c r="B276" s="38" t="n">
        <v>46320</v>
      </c>
      <c r="C276" s="37" t="n">
        <v>4</v>
      </c>
      <c r="D276" s="37" t="s">
        <v>40</v>
      </c>
      <c r="E276" s="37" t="s">
        <v>48</v>
      </c>
      <c r="F276" s="37" t="s">
        <v>129</v>
      </c>
      <c r="G276" s="39" t="b">
        <f aca="false">FALSE()</f>
        <v>0</v>
      </c>
      <c r="H276" s="37" t="n">
        <v>1270.66</v>
      </c>
      <c r="K276" s="37" t="n">
        <v>0</v>
      </c>
      <c r="L276" s="37" t="str">
        <f aca="false">IF(C276="","",IF(C276&lt;=5,"Night (00-05)",IF(C276&lt;=11,"Morning (06-11)",IF(C276&lt;=16,"Afternoon (12-16)",IF(C276&lt;=20,"Evening (17-20)","Late (21-23)")))))</f>
        <v>Night (00-05)</v>
      </c>
    </row>
    <row r="277" customFormat="false" ht="15" hidden="false" customHeight="false" outlineLevel="0" collapsed="false">
      <c r="A277" s="37" t="s">
        <v>382</v>
      </c>
      <c r="B277" s="38" t="n">
        <v>46318</v>
      </c>
      <c r="C277" s="37" t="n">
        <v>1</v>
      </c>
      <c r="D277" s="37" t="s">
        <v>37</v>
      </c>
      <c r="E277" s="37" t="s">
        <v>46</v>
      </c>
      <c r="F277" s="37" t="s">
        <v>23</v>
      </c>
      <c r="G277" s="39" t="b">
        <f aca="false">TRUE()</f>
        <v>1</v>
      </c>
      <c r="H277" s="37" t="n">
        <v>587.03</v>
      </c>
      <c r="I277" s="37" t="n">
        <v>4</v>
      </c>
      <c r="J277" s="37" t="n">
        <v>45</v>
      </c>
      <c r="K277" s="37" t="n">
        <v>0</v>
      </c>
      <c r="L277" s="37" t="str">
        <f aca="false">IF(C277="","",IF(C277&lt;=5,"Night (00-05)",IF(C277&lt;=11,"Morning (06-11)",IF(C277&lt;=16,"Afternoon (12-16)",IF(C277&lt;=20,"Evening (17-20)","Late (21-23)")))))</f>
        <v>Night (00-05)</v>
      </c>
    </row>
    <row r="278" customFormat="false" ht="15" hidden="false" customHeight="false" outlineLevel="0" collapsed="false">
      <c r="A278" s="37" t="s">
        <v>383</v>
      </c>
      <c r="B278" s="38" t="n">
        <v>46319</v>
      </c>
      <c r="C278" s="37" t="n">
        <v>16</v>
      </c>
      <c r="D278" s="37" t="s">
        <v>38</v>
      </c>
      <c r="E278" s="37" t="s">
        <v>49</v>
      </c>
      <c r="F278" s="37" t="s">
        <v>23</v>
      </c>
      <c r="G278" s="39" t="b">
        <f aca="false">TRUE()</f>
        <v>1</v>
      </c>
      <c r="H278" s="37" t="n">
        <v>1459.08</v>
      </c>
      <c r="I278" s="37" t="n">
        <v>5</v>
      </c>
      <c r="J278" s="37" t="n">
        <v>38</v>
      </c>
      <c r="K278" s="37" t="n">
        <v>0</v>
      </c>
      <c r="L278" s="37" t="str">
        <f aca="false">IF(C278="","",IF(C278&lt;=5,"Night (00-05)",IF(C278&lt;=11,"Morning (06-11)",IF(C278&lt;=16,"Afternoon (12-16)",IF(C278&lt;=20,"Evening (17-20)","Late (21-23)")))))</f>
        <v>Afternoon (12-16)</v>
      </c>
    </row>
    <row r="279" customFormat="false" ht="15" hidden="false" customHeight="false" outlineLevel="0" collapsed="false">
      <c r="A279" s="37" t="s">
        <v>384</v>
      </c>
      <c r="B279" s="38" t="n">
        <v>46316</v>
      </c>
      <c r="C279" s="37" t="n">
        <v>2</v>
      </c>
      <c r="D279" s="37" t="s">
        <v>39</v>
      </c>
      <c r="E279" s="37" t="s">
        <v>49</v>
      </c>
      <c r="F279" s="37" t="s">
        <v>23</v>
      </c>
      <c r="G279" s="39" t="b">
        <f aca="false">TRUE()</f>
        <v>1</v>
      </c>
      <c r="H279" s="37" t="n">
        <v>354.67</v>
      </c>
      <c r="I279" s="37" t="n">
        <v>5</v>
      </c>
      <c r="J279" s="37" t="n">
        <v>36</v>
      </c>
      <c r="K279" s="37" t="n">
        <v>0</v>
      </c>
      <c r="L279" s="37" t="str">
        <f aca="false">IF(C279="","",IF(C279&lt;=5,"Night (00-05)",IF(C279&lt;=11,"Morning (06-11)",IF(C279&lt;=16,"Afternoon (12-16)",IF(C279&lt;=20,"Evening (17-20)","Late (21-23)")))))</f>
        <v>Night (00-05)</v>
      </c>
    </row>
    <row r="280" customFormat="false" ht="15" hidden="false" customHeight="false" outlineLevel="0" collapsed="false">
      <c r="A280" s="37" t="s">
        <v>385</v>
      </c>
      <c r="B280" s="38" t="n">
        <v>46320</v>
      </c>
      <c r="C280" s="37" t="n">
        <v>20</v>
      </c>
      <c r="D280" s="37" t="s">
        <v>39</v>
      </c>
      <c r="E280" s="37" t="s">
        <v>49</v>
      </c>
      <c r="F280" s="37" t="s">
        <v>23</v>
      </c>
      <c r="G280" s="39" t="b">
        <f aca="false">TRUE()</f>
        <v>1</v>
      </c>
      <c r="H280" s="37" t="n">
        <v>531.9</v>
      </c>
      <c r="I280" s="37" t="n">
        <v>4</v>
      </c>
      <c r="J280" s="37" t="n">
        <v>46</v>
      </c>
      <c r="K280" s="37" t="n">
        <v>0</v>
      </c>
      <c r="L280" s="37" t="str">
        <f aca="false">IF(C280="","",IF(C280&lt;=5,"Night (00-05)",IF(C280&lt;=11,"Morning (06-11)",IF(C280&lt;=16,"Afternoon (12-16)",IF(C280&lt;=20,"Evening (17-20)","Late (21-23)")))))</f>
        <v>Evening (17-20)</v>
      </c>
    </row>
    <row r="281" customFormat="false" ht="15" hidden="false" customHeight="false" outlineLevel="0" collapsed="false">
      <c r="A281" s="37" t="s">
        <v>386</v>
      </c>
      <c r="B281" s="38" t="n">
        <v>46322</v>
      </c>
      <c r="C281" s="37" t="n">
        <v>5</v>
      </c>
      <c r="D281" s="37" t="s">
        <v>38</v>
      </c>
      <c r="E281" s="37" t="s">
        <v>47</v>
      </c>
      <c r="F281" s="37" t="s">
        <v>23</v>
      </c>
      <c r="G281" s="39" t="b">
        <f aca="false">TRUE()</f>
        <v>1</v>
      </c>
      <c r="H281" s="37" t="n">
        <v>1337.27</v>
      </c>
      <c r="I281" s="37" t="n">
        <v>4</v>
      </c>
      <c r="J281" s="37" t="n">
        <v>42</v>
      </c>
      <c r="K281" s="37" t="n">
        <v>0</v>
      </c>
      <c r="L281" s="37" t="str">
        <f aca="false">IF(C281="","",IF(C281&lt;=5,"Night (00-05)",IF(C281&lt;=11,"Morning (06-11)",IF(C281&lt;=16,"Afternoon (12-16)",IF(C281&lt;=20,"Evening (17-20)","Late (21-23)")))))</f>
        <v>Night (00-05)</v>
      </c>
    </row>
    <row r="282" customFormat="false" ht="15" hidden="false" customHeight="false" outlineLevel="0" collapsed="false">
      <c r="A282" s="37" t="s">
        <v>387</v>
      </c>
      <c r="B282" s="38" t="n">
        <v>46319</v>
      </c>
      <c r="C282" s="37" t="n">
        <v>13</v>
      </c>
      <c r="D282" s="37" t="s">
        <v>39</v>
      </c>
      <c r="E282" s="37" t="s">
        <v>46</v>
      </c>
      <c r="F282" s="37" t="s">
        <v>23</v>
      </c>
      <c r="G282" s="39" t="b">
        <f aca="false">TRUE()</f>
        <v>1</v>
      </c>
      <c r="H282" s="37" t="n">
        <v>685.29</v>
      </c>
      <c r="I282" s="37" t="n">
        <v>3</v>
      </c>
      <c r="J282" s="37" t="n">
        <v>20</v>
      </c>
      <c r="K282" s="37" t="n">
        <v>0</v>
      </c>
      <c r="L282" s="37" t="str">
        <f aca="false">IF(C282="","",IF(C282&lt;=5,"Night (00-05)",IF(C282&lt;=11,"Morning (06-11)",IF(C282&lt;=16,"Afternoon (12-16)",IF(C282&lt;=20,"Evening (17-20)","Late (21-23)")))))</f>
        <v>Afternoon (12-16)</v>
      </c>
    </row>
    <row r="283" customFormat="false" ht="15" hidden="false" customHeight="false" outlineLevel="0" collapsed="false">
      <c r="A283" s="37" t="s">
        <v>388</v>
      </c>
      <c r="B283" s="38" t="n">
        <v>46316</v>
      </c>
      <c r="C283" s="37" t="n">
        <v>22</v>
      </c>
      <c r="D283" s="37" t="s">
        <v>37</v>
      </c>
      <c r="E283" s="37" t="s">
        <v>49</v>
      </c>
      <c r="F283" s="37" t="s">
        <v>23</v>
      </c>
      <c r="G283" s="39" t="b">
        <f aca="false">TRUE()</f>
        <v>1</v>
      </c>
      <c r="H283" s="37" t="n">
        <v>586.06</v>
      </c>
      <c r="I283" s="37" t="n">
        <v>4</v>
      </c>
      <c r="J283" s="37" t="n">
        <v>52</v>
      </c>
      <c r="K283" s="37" t="n">
        <v>0</v>
      </c>
      <c r="L283" s="37" t="str">
        <f aca="false">IF(C283="","",IF(C283&lt;=5,"Night (00-05)",IF(C283&lt;=11,"Morning (06-11)",IF(C283&lt;=16,"Afternoon (12-16)",IF(C283&lt;=20,"Evening (17-20)","Late (21-23)")))))</f>
        <v>Late (21-23)</v>
      </c>
    </row>
    <row r="284" customFormat="false" ht="15" hidden="false" customHeight="false" outlineLevel="0" collapsed="false">
      <c r="A284" s="37" t="s">
        <v>389</v>
      </c>
      <c r="B284" s="38" t="n">
        <v>46315</v>
      </c>
      <c r="C284" s="37" t="n">
        <v>21</v>
      </c>
      <c r="D284" s="37" t="s">
        <v>38</v>
      </c>
      <c r="E284" s="37" t="s">
        <v>47</v>
      </c>
      <c r="F284" s="37" t="s">
        <v>23</v>
      </c>
      <c r="G284" s="39" t="b">
        <f aca="false">TRUE()</f>
        <v>1</v>
      </c>
      <c r="H284" s="37" t="n">
        <v>1380.92</v>
      </c>
      <c r="I284" s="37" t="n">
        <v>4</v>
      </c>
      <c r="J284" s="37" t="n">
        <v>42</v>
      </c>
      <c r="K284" s="37" t="n">
        <v>0</v>
      </c>
      <c r="L284" s="37" t="str">
        <f aca="false">IF(C284="","",IF(C284&lt;=5,"Night (00-05)",IF(C284&lt;=11,"Morning (06-11)",IF(C284&lt;=16,"Afternoon (12-16)",IF(C284&lt;=20,"Evening (17-20)","Late (21-23)")))))</f>
        <v>Late (21-23)</v>
      </c>
    </row>
    <row r="285" customFormat="false" ht="15" hidden="false" customHeight="false" outlineLevel="0" collapsed="false">
      <c r="A285" s="37" t="s">
        <v>390</v>
      </c>
      <c r="B285" s="38" t="n">
        <v>46319</v>
      </c>
      <c r="C285" s="37" t="n">
        <v>2</v>
      </c>
      <c r="D285" s="37" t="s">
        <v>40</v>
      </c>
      <c r="E285" s="37" t="s">
        <v>49</v>
      </c>
      <c r="F285" s="37" t="s">
        <v>23</v>
      </c>
      <c r="G285" s="39" t="b">
        <f aca="false">TRUE()</f>
        <v>1</v>
      </c>
      <c r="H285" s="37" t="n">
        <v>577.1</v>
      </c>
      <c r="I285" s="37" t="n">
        <v>4</v>
      </c>
      <c r="J285" s="37" t="n">
        <v>48</v>
      </c>
      <c r="K285" s="37" t="n">
        <v>0</v>
      </c>
      <c r="L285" s="37" t="str">
        <f aca="false">IF(C285="","",IF(C285&lt;=5,"Night (00-05)",IF(C285&lt;=11,"Morning (06-11)",IF(C285&lt;=16,"Afternoon (12-16)",IF(C285&lt;=20,"Evening (17-20)","Late (21-23)")))))</f>
        <v>Night (00-05)</v>
      </c>
    </row>
    <row r="286" customFormat="false" ht="15" hidden="false" customHeight="false" outlineLevel="0" collapsed="false">
      <c r="A286" s="37" t="s">
        <v>391</v>
      </c>
      <c r="B286" s="38" t="n">
        <v>46317</v>
      </c>
      <c r="C286" s="37" t="n">
        <v>13</v>
      </c>
      <c r="D286" s="37" t="s">
        <v>38</v>
      </c>
      <c r="E286" s="37" t="s">
        <v>46</v>
      </c>
      <c r="F286" s="37" t="s">
        <v>23</v>
      </c>
      <c r="G286" s="39" t="b">
        <f aca="false">TRUE()</f>
        <v>1</v>
      </c>
      <c r="H286" s="37" t="n">
        <v>1252.58</v>
      </c>
      <c r="I286" s="37" t="n">
        <v>5</v>
      </c>
      <c r="J286" s="37" t="n">
        <v>30</v>
      </c>
      <c r="K286" s="37" t="n">
        <v>0</v>
      </c>
      <c r="L286" s="37" t="str">
        <f aca="false">IF(C286="","",IF(C286&lt;=5,"Night (00-05)",IF(C286&lt;=11,"Morning (06-11)",IF(C286&lt;=16,"Afternoon (12-16)",IF(C286&lt;=20,"Evening (17-20)","Late (21-23)")))))</f>
        <v>Afternoon (12-16)</v>
      </c>
    </row>
    <row r="287" customFormat="false" ht="15" hidden="false" customHeight="false" outlineLevel="0" collapsed="false">
      <c r="A287" s="37" t="s">
        <v>392</v>
      </c>
      <c r="B287" s="38" t="n">
        <v>46320</v>
      </c>
      <c r="C287" s="37" t="n">
        <v>17</v>
      </c>
      <c r="D287" s="37" t="s">
        <v>37</v>
      </c>
      <c r="E287" s="37" t="s">
        <v>46</v>
      </c>
      <c r="F287" s="37" t="s">
        <v>113</v>
      </c>
      <c r="G287" s="39" t="b">
        <f aca="false">TRUE()</f>
        <v>1</v>
      </c>
      <c r="H287" s="37" t="n">
        <v>678.92</v>
      </c>
      <c r="K287" s="37" t="n">
        <v>0</v>
      </c>
      <c r="L287" s="37" t="str">
        <f aca="false">IF(C287="","",IF(C287&lt;=5,"Night (00-05)",IF(C287&lt;=11,"Morning (06-11)",IF(C287&lt;=16,"Afternoon (12-16)",IF(C287&lt;=20,"Evening (17-20)","Late (21-23)")))))</f>
        <v>Evening (17-20)</v>
      </c>
    </row>
    <row r="288" customFormat="false" ht="15" hidden="false" customHeight="false" outlineLevel="0" collapsed="false">
      <c r="A288" s="37" t="s">
        <v>393</v>
      </c>
      <c r="B288" s="38" t="n">
        <v>46317</v>
      </c>
      <c r="C288" s="37" t="n">
        <v>2</v>
      </c>
      <c r="D288" s="37" t="s">
        <v>37</v>
      </c>
      <c r="E288" s="37" t="s">
        <v>49</v>
      </c>
      <c r="F288" s="37" t="s">
        <v>23</v>
      </c>
      <c r="G288" s="39" t="b">
        <f aca="false">TRUE()</f>
        <v>1</v>
      </c>
      <c r="H288" s="37" t="n">
        <v>596.79</v>
      </c>
      <c r="I288" s="37" t="n">
        <v>4</v>
      </c>
      <c r="J288" s="37" t="n">
        <v>32</v>
      </c>
      <c r="K288" s="37" t="n">
        <v>0</v>
      </c>
      <c r="L288" s="37" t="str">
        <f aca="false">IF(C288="","",IF(C288&lt;=5,"Night (00-05)",IF(C288&lt;=11,"Morning (06-11)",IF(C288&lt;=16,"Afternoon (12-16)",IF(C288&lt;=20,"Evening (17-20)","Late (21-23)")))))</f>
        <v>Night (00-05)</v>
      </c>
    </row>
    <row r="289" customFormat="false" ht="15" hidden="false" customHeight="false" outlineLevel="0" collapsed="false">
      <c r="A289" s="37" t="s">
        <v>394</v>
      </c>
      <c r="B289" s="38" t="n">
        <v>46318</v>
      </c>
      <c r="C289" s="37" t="n">
        <v>19</v>
      </c>
      <c r="D289" s="37" t="s">
        <v>37</v>
      </c>
      <c r="E289" s="37" t="s">
        <v>46</v>
      </c>
      <c r="F289" s="37" t="s">
        <v>23</v>
      </c>
      <c r="G289" s="39" t="b">
        <f aca="false">TRUE()</f>
        <v>1</v>
      </c>
      <c r="H289" s="37" t="n">
        <v>775.16</v>
      </c>
      <c r="I289" s="37" t="n">
        <v>5</v>
      </c>
      <c r="J289" s="37" t="n">
        <v>24</v>
      </c>
      <c r="K289" s="37" t="n">
        <v>0</v>
      </c>
      <c r="L289" s="37" t="str">
        <f aca="false">IF(C289="","",IF(C289&lt;=5,"Night (00-05)",IF(C289&lt;=11,"Morning (06-11)",IF(C289&lt;=16,"Afternoon (12-16)",IF(C289&lt;=20,"Evening (17-20)","Late (21-23)")))))</f>
        <v>Evening (17-20)</v>
      </c>
    </row>
    <row r="290" customFormat="false" ht="15" hidden="false" customHeight="false" outlineLevel="0" collapsed="false">
      <c r="A290" s="37" t="s">
        <v>395</v>
      </c>
      <c r="B290" s="38" t="n">
        <v>46322</v>
      </c>
      <c r="C290" s="37" t="n">
        <v>3</v>
      </c>
      <c r="D290" s="37" t="s">
        <v>40</v>
      </c>
      <c r="E290" s="37" t="s">
        <v>48</v>
      </c>
      <c r="F290" s="37" t="s">
        <v>23</v>
      </c>
      <c r="G290" s="39" t="b">
        <f aca="false">TRUE()</f>
        <v>1</v>
      </c>
      <c r="H290" s="37" t="n">
        <v>865.04</v>
      </c>
      <c r="I290" s="37" t="n">
        <v>4</v>
      </c>
      <c r="J290" s="37" t="n">
        <v>51</v>
      </c>
      <c r="K290" s="37" t="n">
        <v>0</v>
      </c>
      <c r="L290" s="37" t="str">
        <f aca="false">IF(C290="","",IF(C290&lt;=5,"Night (00-05)",IF(C290&lt;=11,"Morning (06-11)",IF(C290&lt;=16,"Afternoon (12-16)",IF(C290&lt;=20,"Evening (17-20)","Late (21-23)")))))</f>
        <v>Night (00-05)</v>
      </c>
    </row>
    <row r="291" customFormat="false" ht="15" hidden="false" customHeight="false" outlineLevel="0" collapsed="false">
      <c r="A291" s="37" t="s">
        <v>396</v>
      </c>
      <c r="B291" s="38" t="n">
        <v>46320</v>
      </c>
      <c r="C291" s="37" t="n">
        <v>18</v>
      </c>
      <c r="D291" s="37" t="s">
        <v>39</v>
      </c>
      <c r="E291" s="37" t="s">
        <v>47</v>
      </c>
      <c r="F291" s="37" t="s">
        <v>23</v>
      </c>
      <c r="G291" s="39" t="b">
        <f aca="false">TRUE()</f>
        <v>1</v>
      </c>
      <c r="H291" s="37" t="n">
        <v>438.17</v>
      </c>
      <c r="I291" s="37" t="n">
        <v>5</v>
      </c>
      <c r="J291" s="37" t="n">
        <v>31</v>
      </c>
      <c r="K291" s="37" t="n">
        <v>0</v>
      </c>
      <c r="L291" s="37" t="str">
        <f aca="false">IF(C291="","",IF(C291&lt;=5,"Night (00-05)",IF(C291&lt;=11,"Morning (06-11)",IF(C291&lt;=16,"Afternoon (12-16)",IF(C291&lt;=20,"Evening (17-20)","Late (21-23)")))))</f>
        <v>Evening (17-20)</v>
      </c>
    </row>
    <row r="292" customFormat="false" ht="15" hidden="false" customHeight="false" outlineLevel="0" collapsed="false">
      <c r="A292" s="37" t="s">
        <v>397</v>
      </c>
      <c r="B292" s="38" t="n">
        <v>46321</v>
      </c>
      <c r="C292" s="37" t="n">
        <v>2</v>
      </c>
      <c r="D292" s="37" t="s">
        <v>38</v>
      </c>
      <c r="E292" s="37" t="s">
        <v>48</v>
      </c>
      <c r="F292" s="37" t="s">
        <v>23</v>
      </c>
      <c r="G292" s="39" t="b">
        <f aca="false">TRUE()</f>
        <v>1</v>
      </c>
      <c r="H292" s="37" t="n">
        <v>1018.23</v>
      </c>
      <c r="I292" s="37" t="n">
        <v>4</v>
      </c>
      <c r="J292" s="37" t="n">
        <v>27</v>
      </c>
      <c r="K292" s="37" t="n">
        <v>0</v>
      </c>
      <c r="L292" s="37" t="str">
        <f aca="false">IF(C292="","",IF(C292&lt;=5,"Night (00-05)",IF(C292&lt;=11,"Morning (06-11)",IF(C292&lt;=16,"Afternoon (12-16)",IF(C292&lt;=20,"Evening (17-20)","Late (21-23)")))))</f>
        <v>Night (00-05)</v>
      </c>
    </row>
    <row r="293" customFormat="false" ht="15" hidden="false" customHeight="false" outlineLevel="0" collapsed="false">
      <c r="A293" s="37" t="s">
        <v>398</v>
      </c>
      <c r="B293" s="38" t="n">
        <v>46320</v>
      </c>
      <c r="C293" s="37" t="n">
        <v>16</v>
      </c>
      <c r="D293" s="37" t="s">
        <v>37</v>
      </c>
      <c r="E293" s="37" t="s">
        <v>49</v>
      </c>
      <c r="F293" s="37" t="s">
        <v>23</v>
      </c>
      <c r="G293" s="39" t="b">
        <f aca="false">TRUE()</f>
        <v>1</v>
      </c>
      <c r="H293" s="37" t="n">
        <v>610.52</v>
      </c>
      <c r="I293" s="37" t="n">
        <v>5</v>
      </c>
      <c r="J293" s="37" t="n">
        <v>54</v>
      </c>
      <c r="K293" s="37" t="n">
        <v>0</v>
      </c>
      <c r="L293" s="37" t="str">
        <f aca="false">IF(C293="","",IF(C293&lt;=5,"Night (00-05)",IF(C293&lt;=11,"Morning (06-11)",IF(C293&lt;=16,"Afternoon (12-16)",IF(C293&lt;=20,"Evening (17-20)","Late (21-23)")))))</f>
        <v>Afternoon (12-16)</v>
      </c>
    </row>
    <row r="294" customFormat="false" ht="15" hidden="false" customHeight="false" outlineLevel="0" collapsed="false">
      <c r="A294" s="37" t="s">
        <v>399</v>
      </c>
      <c r="B294" s="38" t="n">
        <v>46321</v>
      </c>
      <c r="C294" s="37" t="n">
        <v>4</v>
      </c>
      <c r="D294" s="37" t="s">
        <v>37</v>
      </c>
      <c r="E294" s="37" t="s">
        <v>49</v>
      </c>
      <c r="F294" s="37" t="s">
        <v>23</v>
      </c>
      <c r="G294" s="39" t="b">
        <f aca="false">TRUE()</f>
        <v>1</v>
      </c>
      <c r="H294" s="37" t="n">
        <v>543.42</v>
      </c>
      <c r="I294" s="37" t="n">
        <v>5</v>
      </c>
      <c r="J294" s="37" t="n">
        <v>48</v>
      </c>
      <c r="K294" s="37" t="n">
        <v>0</v>
      </c>
      <c r="L294" s="37" t="str">
        <f aca="false">IF(C294="","",IF(C294&lt;=5,"Night (00-05)",IF(C294&lt;=11,"Morning (06-11)",IF(C294&lt;=16,"Afternoon (12-16)",IF(C294&lt;=20,"Evening (17-20)","Late (21-23)")))))</f>
        <v>Night (00-05)</v>
      </c>
    </row>
    <row r="295" customFormat="false" ht="15" hidden="false" customHeight="false" outlineLevel="0" collapsed="false">
      <c r="A295" s="37" t="s">
        <v>400</v>
      </c>
      <c r="B295" s="38" t="n">
        <v>46321</v>
      </c>
      <c r="C295" s="37" t="n">
        <v>19</v>
      </c>
      <c r="D295" s="37" t="s">
        <v>37</v>
      </c>
      <c r="E295" s="37" t="s">
        <v>48</v>
      </c>
      <c r="F295" s="37" t="s">
        <v>129</v>
      </c>
      <c r="G295" s="39" t="b">
        <f aca="false">FALSE()</f>
        <v>0</v>
      </c>
      <c r="H295" s="37" t="n">
        <v>806.61</v>
      </c>
      <c r="K295" s="37" t="n">
        <v>0</v>
      </c>
      <c r="L295" s="37" t="str">
        <f aca="false">IF(C295="","",IF(C295&lt;=5,"Night (00-05)",IF(C295&lt;=11,"Morning (06-11)",IF(C295&lt;=16,"Afternoon (12-16)",IF(C295&lt;=20,"Evening (17-20)","Late (21-23)")))))</f>
        <v>Evening (17-20)</v>
      </c>
    </row>
    <row r="296" customFormat="false" ht="15" hidden="false" customHeight="false" outlineLevel="0" collapsed="false">
      <c r="A296" s="37" t="s">
        <v>401</v>
      </c>
      <c r="B296" s="38" t="n">
        <v>46320</v>
      </c>
      <c r="C296" s="37" t="n">
        <v>0</v>
      </c>
      <c r="D296" s="37" t="s">
        <v>39</v>
      </c>
      <c r="E296" s="37" t="s">
        <v>49</v>
      </c>
      <c r="F296" s="37" t="s">
        <v>23</v>
      </c>
      <c r="G296" s="39" t="b">
        <f aca="false">TRUE()</f>
        <v>1</v>
      </c>
      <c r="H296" s="37" t="n">
        <v>583.06</v>
      </c>
      <c r="I296" s="37" t="n">
        <v>3</v>
      </c>
      <c r="J296" s="37" t="n">
        <v>30</v>
      </c>
      <c r="K296" s="37" t="n">
        <v>0</v>
      </c>
      <c r="L296" s="37" t="str">
        <f aca="false">IF(C296="","",IF(C296&lt;=5,"Night (00-05)",IF(C296&lt;=11,"Morning (06-11)",IF(C296&lt;=16,"Afternoon (12-16)",IF(C296&lt;=20,"Evening (17-20)","Late (21-23)")))))</f>
        <v>Night (00-05)</v>
      </c>
    </row>
    <row r="297" customFormat="false" ht="15" hidden="false" customHeight="false" outlineLevel="0" collapsed="false">
      <c r="A297" s="37" t="s">
        <v>402</v>
      </c>
      <c r="B297" s="38" t="n">
        <v>46316</v>
      </c>
      <c r="C297" s="37" t="n">
        <v>2</v>
      </c>
      <c r="D297" s="37" t="s">
        <v>38</v>
      </c>
      <c r="E297" s="37" t="s">
        <v>46</v>
      </c>
      <c r="F297" s="37" t="s">
        <v>23</v>
      </c>
      <c r="G297" s="39" t="b">
        <f aca="false">FALSE()</f>
        <v>0</v>
      </c>
      <c r="H297" s="37" t="n">
        <v>956.39</v>
      </c>
      <c r="I297" s="37" t="n">
        <v>3</v>
      </c>
      <c r="J297" s="37" t="n">
        <v>81</v>
      </c>
      <c r="K297" s="37" t="n">
        <v>1</v>
      </c>
      <c r="L297" s="37" t="str">
        <f aca="false">IF(C297="","",IF(C297&lt;=5,"Night (00-05)",IF(C297&lt;=11,"Morning (06-11)",IF(C297&lt;=16,"Afternoon (12-16)",IF(C297&lt;=20,"Evening (17-20)","Late (21-23)")))))</f>
        <v>Night (00-05)</v>
      </c>
    </row>
    <row r="298" customFormat="false" ht="15" hidden="false" customHeight="false" outlineLevel="0" collapsed="false">
      <c r="A298" s="37" t="s">
        <v>403</v>
      </c>
      <c r="B298" s="38" t="n">
        <v>46321</v>
      </c>
      <c r="C298" s="37" t="n">
        <v>22</v>
      </c>
      <c r="D298" s="37" t="s">
        <v>38</v>
      </c>
      <c r="E298" s="37" t="s">
        <v>46</v>
      </c>
      <c r="F298" s="37" t="s">
        <v>23</v>
      </c>
      <c r="G298" s="39" t="b">
        <f aca="false">TRUE()</f>
        <v>1</v>
      </c>
      <c r="H298" s="37" t="n">
        <v>1341.58</v>
      </c>
      <c r="I298" s="37" t="n">
        <v>4</v>
      </c>
      <c r="J298" s="37" t="n">
        <v>43</v>
      </c>
      <c r="K298" s="37" t="n">
        <v>0</v>
      </c>
      <c r="L298" s="37" t="str">
        <f aca="false">IF(C298="","",IF(C298&lt;=5,"Night (00-05)",IF(C298&lt;=11,"Morning (06-11)",IF(C298&lt;=16,"Afternoon (12-16)",IF(C298&lt;=20,"Evening (17-20)","Late (21-23)")))))</f>
        <v>Late (21-23)</v>
      </c>
    </row>
    <row r="299" customFormat="false" ht="15" hidden="false" customHeight="false" outlineLevel="0" collapsed="false">
      <c r="A299" s="37" t="s">
        <v>404</v>
      </c>
      <c r="B299" s="38" t="n">
        <v>46321</v>
      </c>
      <c r="C299" s="37" t="n">
        <v>12</v>
      </c>
      <c r="D299" s="37" t="s">
        <v>37</v>
      </c>
      <c r="E299" s="37" t="s">
        <v>49</v>
      </c>
      <c r="F299" s="37" t="s">
        <v>23</v>
      </c>
      <c r="G299" s="39" t="b">
        <f aca="false">TRUE()</f>
        <v>1</v>
      </c>
      <c r="H299" s="37" t="n">
        <v>450.21</v>
      </c>
      <c r="I299" s="37" t="n">
        <v>4</v>
      </c>
      <c r="J299" s="37" t="n">
        <v>35</v>
      </c>
      <c r="K299" s="37" t="n">
        <v>0</v>
      </c>
      <c r="L299" s="37" t="str">
        <f aca="false">IF(C299="","",IF(C299&lt;=5,"Night (00-05)",IF(C299&lt;=11,"Morning (06-11)",IF(C299&lt;=16,"Afternoon (12-16)",IF(C299&lt;=20,"Evening (17-20)","Late (21-23)")))))</f>
        <v>Afternoon (12-16)</v>
      </c>
    </row>
    <row r="300" customFormat="false" ht="15" hidden="false" customHeight="false" outlineLevel="0" collapsed="false">
      <c r="A300" s="37" t="s">
        <v>405</v>
      </c>
      <c r="B300" s="38" t="n">
        <v>46315</v>
      </c>
      <c r="C300" s="37" t="n">
        <v>21</v>
      </c>
      <c r="D300" s="37" t="s">
        <v>38</v>
      </c>
      <c r="E300" s="37" t="s">
        <v>49</v>
      </c>
      <c r="F300" s="37" t="s">
        <v>23</v>
      </c>
      <c r="G300" s="39" t="b">
        <f aca="false">TRUE()</f>
        <v>1</v>
      </c>
      <c r="H300" s="37" t="n">
        <v>1404.7</v>
      </c>
      <c r="I300" s="37" t="n">
        <v>4</v>
      </c>
      <c r="J300" s="37" t="n">
        <v>35</v>
      </c>
      <c r="K300" s="37" t="n">
        <v>0</v>
      </c>
      <c r="L300" s="37" t="str">
        <f aca="false">IF(C300="","",IF(C300&lt;=5,"Night (00-05)",IF(C300&lt;=11,"Morning (06-11)",IF(C300&lt;=16,"Afternoon (12-16)",IF(C300&lt;=20,"Evening (17-20)","Late (21-23)")))))</f>
        <v>Late (21-23)</v>
      </c>
    </row>
    <row r="301" customFormat="false" ht="15" hidden="false" customHeight="false" outlineLevel="0" collapsed="false">
      <c r="A301" s="37" t="s">
        <v>406</v>
      </c>
      <c r="B301" s="38" t="n">
        <v>46320</v>
      </c>
      <c r="C301" s="37" t="n">
        <v>23</v>
      </c>
      <c r="D301" s="37" t="s">
        <v>39</v>
      </c>
      <c r="E301" s="37" t="s">
        <v>48</v>
      </c>
      <c r="F301" s="37" t="s">
        <v>23</v>
      </c>
      <c r="G301" s="39" t="b">
        <f aca="false">TRUE()</f>
        <v>1</v>
      </c>
      <c r="H301" s="37" t="n">
        <v>545.46</v>
      </c>
      <c r="I301" s="37" t="n">
        <v>5</v>
      </c>
      <c r="J301" s="37" t="n">
        <v>33</v>
      </c>
      <c r="K301" s="37" t="n">
        <v>0</v>
      </c>
      <c r="L301" s="37" t="str">
        <f aca="false">IF(C301="","",IF(C301&lt;=5,"Night (00-05)",IF(C301&lt;=11,"Morning (06-11)",IF(C301&lt;=16,"Afternoon (12-16)",IF(C301&lt;=20,"Evening (17-20)","Late (21-23)")))))</f>
        <v>Late (21-23)</v>
      </c>
    </row>
    <row r="302" customFormat="false" ht="15" hidden="false" customHeight="false" outlineLevel="0" collapsed="false">
      <c r="A302" s="37" t="s">
        <v>407</v>
      </c>
      <c r="B302" s="38" t="n">
        <v>46319</v>
      </c>
      <c r="C302" s="37" t="n">
        <v>19</v>
      </c>
      <c r="D302" s="37" t="s">
        <v>37</v>
      </c>
      <c r="E302" s="37" t="s">
        <v>46</v>
      </c>
      <c r="F302" s="37" t="s">
        <v>23</v>
      </c>
      <c r="G302" s="39" t="b">
        <f aca="false">TRUE()</f>
        <v>1</v>
      </c>
      <c r="H302" s="37" t="n">
        <v>888.5</v>
      </c>
      <c r="I302" s="37" t="n">
        <v>5</v>
      </c>
      <c r="J302" s="37" t="n">
        <v>37</v>
      </c>
      <c r="K302" s="37" t="n">
        <v>0</v>
      </c>
      <c r="L302" s="37" t="str">
        <f aca="false">IF(C302="","",IF(C302&lt;=5,"Night (00-05)",IF(C302&lt;=11,"Morning (06-11)",IF(C302&lt;=16,"Afternoon (12-16)",IF(C302&lt;=20,"Evening (17-20)","Late (21-23)")))))</f>
        <v>Evening (17-20)</v>
      </c>
    </row>
    <row r="303" customFormat="false" ht="15" hidden="false" customHeight="false" outlineLevel="0" collapsed="false">
      <c r="A303" s="37" t="s">
        <v>408</v>
      </c>
      <c r="B303" s="38" t="n">
        <v>46320</v>
      </c>
      <c r="C303" s="37" t="n">
        <v>6</v>
      </c>
      <c r="D303" s="37" t="s">
        <v>38</v>
      </c>
      <c r="E303" s="37" t="s">
        <v>48</v>
      </c>
      <c r="F303" s="37" t="s">
        <v>23</v>
      </c>
      <c r="G303" s="39" t="b">
        <f aca="false">TRUE()</f>
        <v>1</v>
      </c>
      <c r="H303" s="37" t="n">
        <v>1472.94</v>
      </c>
      <c r="I303" s="37" t="n">
        <v>5</v>
      </c>
      <c r="J303" s="37" t="n">
        <v>23</v>
      </c>
      <c r="K303" s="37" t="n">
        <v>0</v>
      </c>
      <c r="L303" s="37" t="str">
        <f aca="false">IF(C303="","",IF(C303&lt;=5,"Night (00-05)",IF(C303&lt;=11,"Morning (06-11)",IF(C303&lt;=16,"Afternoon (12-16)",IF(C303&lt;=20,"Evening (17-20)","Late (21-23)")))))</f>
        <v>Morning (06-11)</v>
      </c>
    </row>
    <row r="304" customFormat="false" ht="15" hidden="false" customHeight="false" outlineLevel="0" collapsed="false">
      <c r="A304" s="37" t="s">
        <v>409</v>
      </c>
      <c r="B304" s="38" t="n">
        <v>46322</v>
      </c>
      <c r="C304" s="37" t="n">
        <v>0</v>
      </c>
      <c r="D304" s="37" t="s">
        <v>37</v>
      </c>
      <c r="E304" s="37" t="s">
        <v>48</v>
      </c>
      <c r="F304" s="37" t="s">
        <v>23</v>
      </c>
      <c r="G304" s="39" t="b">
        <f aca="false">TRUE()</f>
        <v>1</v>
      </c>
      <c r="H304" s="37" t="n">
        <v>472.12</v>
      </c>
      <c r="I304" s="37" t="n">
        <v>5</v>
      </c>
      <c r="J304" s="37" t="n">
        <v>35</v>
      </c>
      <c r="K304" s="37" t="n">
        <v>0</v>
      </c>
      <c r="L304" s="37" t="str">
        <f aca="false">IF(C304="","",IF(C304&lt;=5,"Night (00-05)",IF(C304&lt;=11,"Morning (06-11)",IF(C304&lt;=16,"Afternoon (12-16)",IF(C304&lt;=20,"Evening (17-20)","Late (21-23)")))))</f>
        <v>Night (00-05)</v>
      </c>
    </row>
    <row r="305" customFormat="false" ht="15" hidden="false" customHeight="false" outlineLevel="0" collapsed="false">
      <c r="A305" s="37" t="s">
        <v>410</v>
      </c>
      <c r="B305" s="38" t="n">
        <v>46320</v>
      </c>
      <c r="C305" s="37" t="n">
        <v>19</v>
      </c>
      <c r="D305" s="37" t="s">
        <v>40</v>
      </c>
      <c r="E305" s="37" t="s">
        <v>49</v>
      </c>
      <c r="F305" s="37" t="s">
        <v>23</v>
      </c>
      <c r="G305" s="39" t="b">
        <f aca="false">TRUE()</f>
        <v>1</v>
      </c>
      <c r="H305" s="37" t="n">
        <v>799.14</v>
      </c>
      <c r="I305" s="37" t="n">
        <v>4</v>
      </c>
      <c r="J305" s="37" t="n">
        <v>25</v>
      </c>
      <c r="K305" s="37" t="n">
        <v>0</v>
      </c>
      <c r="L305" s="37" t="str">
        <f aca="false">IF(C305="","",IF(C305&lt;=5,"Night (00-05)",IF(C305&lt;=11,"Morning (06-11)",IF(C305&lt;=16,"Afternoon (12-16)",IF(C305&lt;=20,"Evening (17-20)","Late (21-23)")))))</f>
        <v>Evening (17-20)</v>
      </c>
    </row>
    <row r="306" customFormat="false" ht="15" hidden="false" customHeight="false" outlineLevel="0" collapsed="false">
      <c r="A306" s="37" t="s">
        <v>411</v>
      </c>
      <c r="B306" s="38" t="n">
        <v>46320</v>
      </c>
      <c r="C306" s="37" t="n">
        <v>17</v>
      </c>
      <c r="D306" s="37" t="s">
        <v>40</v>
      </c>
      <c r="E306" s="37" t="s">
        <v>49</v>
      </c>
      <c r="F306" s="37" t="s">
        <v>23</v>
      </c>
      <c r="G306" s="39" t="b">
        <f aca="false">TRUE()</f>
        <v>1</v>
      </c>
      <c r="H306" s="37" t="n">
        <v>1259.2</v>
      </c>
      <c r="I306" s="37" t="n">
        <v>5</v>
      </c>
      <c r="J306" s="37" t="n">
        <v>20</v>
      </c>
      <c r="K306" s="37" t="n">
        <v>0</v>
      </c>
      <c r="L306" s="37" t="str">
        <f aca="false">IF(C306="","",IF(C306&lt;=5,"Night (00-05)",IF(C306&lt;=11,"Morning (06-11)",IF(C306&lt;=16,"Afternoon (12-16)",IF(C306&lt;=20,"Evening (17-20)","Late (21-23)")))))</f>
        <v>Evening (17-20)</v>
      </c>
    </row>
    <row r="307" customFormat="false" ht="15" hidden="false" customHeight="false" outlineLevel="0" collapsed="false">
      <c r="A307" s="37" t="s">
        <v>412</v>
      </c>
      <c r="B307" s="38" t="n">
        <v>46322</v>
      </c>
      <c r="C307" s="37" t="n">
        <v>1</v>
      </c>
      <c r="D307" s="37" t="s">
        <v>40</v>
      </c>
      <c r="E307" s="37" t="s">
        <v>47</v>
      </c>
      <c r="F307" s="37" t="s">
        <v>23</v>
      </c>
      <c r="G307" s="39" t="b">
        <f aca="false">TRUE()</f>
        <v>1</v>
      </c>
      <c r="H307" s="37" t="n">
        <v>1135.54</v>
      </c>
      <c r="I307" s="37" t="n">
        <v>5</v>
      </c>
      <c r="J307" s="37" t="n">
        <v>47</v>
      </c>
      <c r="K307" s="37" t="n">
        <v>0</v>
      </c>
      <c r="L307" s="37" t="str">
        <f aca="false">IF(C307="","",IF(C307&lt;=5,"Night (00-05)",IF(C307&lt;=11,"Morning (06-11)",IF(C307&lt;=16,"Afternoon (12-16)",IF(C307&lt;=20,"Evening (17-20)","Late (21-23)")))))</f>
        <v>Night (00-05)</v>
      </c>
    </row>
    <row r="308" customFormat="false" ht="15" hidden="false" customHeight="false" outlineLevel="0" collapsed="false">
      <c r="A308" s="37" t="s">
        <v>413</v>
      </c>
      <c r="B308" s="38" t="n">
        <v>46318</v>
      </c>
      <c r="C308" s="37" t="n">
        <v>17</v>
      </c>
      <c r="D308" s="37" t="s">
        <v>40</v>
      </c>
      <c r="E308" s="37" t="s">
        <v>48</v>
      </c>
      <c r="F308" s="37" t="s">
        <v>23</v>
      </c>
      <c r="G308" s="39" t="b">
        <f aca="false">TRUE()</f>
        <v>1</v>
      </c>
      <c r="H308" s="37" t="n">
        <v>951.91</v>
      </c>
      <c r="I308" s="37" t="n">
        <v>5</v>
      </c>
      <c r="J308" s="37" t="n">
        <v>41</v>
      </c>
      <c r="K308" s="37" t="n">
        <v>0</v>
      </c>
      <c r="L308" s="37" t="str">
        <f aca="false">IF(C308="","",IF(C308&lt;=5,"Night (00-05)",IF(C308&lt;=11,"Morning (06-11)",IF(C308&lt;=16,"Afternoon (12-16)",IF(C308&lt;=20,"Evening (17-20)","Late (21-23)")))))</f>
        <v>Evening (17-20)</v>
      </c>
    </row>
    <row r="309" customFormat="false" ht="15" hidden="false" customHeight="false" outlineLevel="0" collapsed="false">
      <c r="A309" s="37" t="s">
        <v>414</v>
      </c>
      <c r="B309" s="38" t="n">
        <v>46321</v>
      </c>
      <c r="C309" s="37" t="n">
        <v>13</v>
      </c>
      <c r="D309" s="37" t="s">
        <v>39</v>
      </c>
      <c r="E309" s="37" t="s">
        <v>47</v>
      </c>
      <c r="F309" s="37" t="s">
        <v>23</v>
      </c>
      <c r="G309" s="39" t="b">
        <f aca="false">TRUE()</f>
        <v>1</v>
      </c>
      <c r="H309" s="37" t="n">
        <v>348.69</v>
      </c>
      <c r="I309" s="37" t="n">
        <v>4</v>
      </c>
      <c r="J309" s="37" t="n">
        <v>48</v>
      </c>
      <c r="K309" s="37" t="n">
        <v>0</v>
      </c>
      <c r="L309" s="37" t="str">
        <f aca="false">IF(C309="","",IF(C309&lt;=5,"Night (00-05)",IF(C309&lt;=11,"Morning (06-11)",IF(C309&lt;=16,"Afternoon (12-16)",IF(C309&lt;=20,"Evening (17-20)","Late (21-23)")))))</f>
        <v>Afternoon (12-16)</v>
      </c>
    </row>
    <row r="310" customFormat="false" ht="15" hidden="false" customHeight="false" outlineLevel="0" collapsed="false">
      <c r="A310" s="37" t="s">
        <v>415</v>
      </c>
      <c r="B310" s="38" t="n">
        <v>46318</v>
      </c>
      <c r="C310" s="37" t="n">
        <v>17</v>
      </c>
      <c r="D310" s="37" t="s">
        <v>37</v>
      </c>
      <c r="E310" s="37" t="s">
        <v>46</v>
      </c>
      <c r="F310" s="37" t="s">
        <v>113</v>
      </c>
      <c r="G310" s="39" t="b">
        <f aca="false">TRUE()</f>
        <v>1</v>
      </c>
      <c r="H310" s="37" t="n">
        <v>478.49</v>
      </c>
      <c r="K310" s="37" t="n">
        <v>0</v>
      </c>
      <c r="L310" s="37" t="str">
        <f aca="false">IF(C310="","",IF(C310&lt;=5,"Night (00-05)",IF(C310&lt;=11,"Morning (06-11)",IF(C310&lt;=16,"Afternoon (12-16)",IF(C310&lt;=20,"Evening (17-20)","Late (21-23)")))))</f>
        <v>Evening (17-20)</v>
      </c>
    </row>
    <row r="311" customFormat="false" ht="15" hidden="false" customHeight="false" outlineLevel="0" collapsed="false">
      <c r="A311" s="37" t="s">
        <v>416</v>
      </c>
      <c r="B311" s="38" t="n">
        <v>46317</v>
      </c>
      <c r="C311" s="37" t="n">
        <v>15</v>
      </c>
      <c r="D311" s="37" t="s">
        <v>38</v>
      </c>
      <c r="E311" s="37" t="s">
        <v>46</v>
      </c>
      <c r="F311" s="37" t="s">
        <v>23</v>
      </c>
      <c r="G311" s="39" t="b">
        <f aca="false">TRUE()</f>
        <v>1</v>
      </c>
      <c r="H311" s="37" t="n">
        <v>1264.16</v>
      </c>
      <c r="I311" s="37" t="n">
        <v>4</v>
      </c>
      <c r="J311" s="37" t="n">
        <v>23</v>
      </c>
      <c r="K311" s="37" t="n">
        <v>0</v>
      </c>
      <c r="L311" s="37" t="str">
        <f aca="false">IF(C311="","",IF(C311&lt;=5,"Night (00-05)",IF(C311&lt;=11,"Morning (06-11)",IF(C311&lt;=16,"Afternoon (12-16)",IF(C311&lt;=20,"Evening (17-20)","Late (21-23)")))))</f>
        <v>Afternoon (12-16)</v>
      </c>
    </row>
    <row r="312" customFormat="false" ht="15" hidden="false" customHeight="false" outlineLevel="0" collapsed="false">
      <c r="A312" s="37" t="s">
        <v>417</v>
      </c>
      <c r="B312" s="38" t="n">
        <v>46318</v>
      </c>
      <c r="C312" s="37" t="n">
        <v>1</v>
      </c>
      <c r="D312" s="37" t="s">
        <v>39</v>
      </c>
      <c r="E312" s="37" t="s">
        <v>47</v>
      </c>
      <c r="F312" s="37" t="s">
        <v>23</v>
      </c>
      <c r="G312" s="39" t="b">
        <f aca="false">TRUE()</f>
        <v>1</v>
      </c>
      <c r="H312" s="37" t="n">
        <v>580.48</v>
      </c>
      <c r="I312" s="37" t="n">
        <v>3</v>
      </c>
      <c r="J312" s="37" t="n">
        <v>50</v>
      </c>
      <c r="K312" s="37" t="n">
        <v>0</v>
      </c>
      <c r="L312" s="37" t="str">
        <f aca="false">IF(C312="","",IF(C312&lt;=5,"Night (00-05)",IF(C312&lt;=11,"Morning (06-11)",IF(C312&lt;=16,"Afternoon (12-16)",IF(C312&lt;=20,"Evening (17-20)","Late (21-23)")))))</f>
        <v>Night (00-05)</v>
      </c>
    </row>
    <row r="313" customFormat="false" ht="15" hidden="false" customHeight="false" outlineLevel="0" collapsed="false">
      <c r="A313" s="37" t="s">
        <v>418</v>
      </c>
      <c r="B313" s="38" t="n">
        <v>46319</v>
      </c>
      <c r="C313" s="37" t="n">
        <v>17</v>
      </c>
      <c r="D313" s="37" t="s">
        <v>38</v>
      </c>
      <c r="E313" s="37" t="s">
        <v>47</v>
      </c>
      <c r="F313" s="37" t="s">
        <v>23</v>
      </c>
      <c r="G313" s="39" t="b">
        <f aca="false">TRUE()</f>
        <v>1</v>
      </c>
      <c r="H313" s="37" t="n">
        <v>1285.92</v>
      </c>
      <c r="I313" s="37" t="n">
        <v>5</v>
      </c>
      <c r="J313" s="37" t="n">
        <v>47</v>
      </c>
      <c r="K313" s="37" t="n">
        <v>0</v>
      </c>
      <c r="L313" s="37" t="str">
        <f aca="false">IF(C313="","",IF(C313&lt;=5,"Night (00-05)",IF(C313&lt;=11,"Morning (06-11)",IF(C313&lt;=16,"Afternoon (12-16)",IF(C313&lt;=20,"Evening (17-20)","Late (21-23)")))))</f>
        <v>Evening (17-20)</v>
      </c>
    </row>
    <row r="314" customFormat="false" ht="15" hidden="false" customHeight="false" outlineLevel="0" collapsed="false">
      <c r="A314" s="37" t="s">
        <v>419</v>
      </c>
      <c r="B314" s="38" t="n">
        <v>46318</v>
      </c>
      <c r="C314" s="37" t="n">
        <v>14</v>
      </c>
      <c r="D314" s="37" t="s">
        <v>38</v>
      </c>
      <c r="E314" s="37" t="s">
        <v>47</v>
      </c>
      <c r="F314" s="37" t="s">
        <v>113</v>
      </c>
      <c r="G314" s="39" t="b">
        <f aca="false">TRUE()</f>
        <v>1</v>
      </c>
      <c r="H314" s="37" t="n">
        <v>1018.35</v>
      </c>
      <c r="K314" s="37" t="n">
        <v>0</v>
      </c>
      <c r="L314" s="37" t="str">
        <f aca="false">IF(C314="","",IF(C314&lt;=5,"Night (00-05)",IF(C314&lt;=11,"Morning (06-11)",IF(C314&lt;=16,"Afternoon (12-16)",IF(C314&lt;=20,"Evening (17-20)","Late (21-23)")))))</f>
        <v>Afternoon (12-16)</v>
      </c>
    </row>
    <row r="315" customFormat="false" ht="15" hidden="false" customHeight="false" outlineLevel="0" collapsed="false">
      <c r="A315" s="37" t="s">
        <v>420</v>
      </c>
      <c r="B315" s="38" t="n">
        <v>46316</v>
      </c>
      <c r="C315" s="37" t="n">
        <v>19</v>
      </c>
      <c r="D315" s="37" t="s">
        <v>37</v>
      </c>
      <c r="E315" s="37" t="s">
        <v>48</v>
      </c>
      <c r="F315" s="37" t="s">
        <v>23</v>
      </c>
      <c r="G315" s="39" t="b">
        <f aca="false">TRUE()</f>
        <v>1</v>
      </c>
      <c r="H315" s="37" t="n">
        <v>433.21</v>
      </c>
      <c r="I315" s="37" t="n">
        <v>4</v>
      </c>
      <c r="J315" s="37" t="n">
        <v>30</v>
      </c>
      <c r="K315" s="37" t="n">
        <v>0</v>
      </c>
      <c r="L315" s="37" t="str">
        <f aca="false">IF(C315="","",IF(C315&lt;=5,"Night (00-05)",IF(C315&lt;=11,"Morning (06-11)",IF(C315&lt;=16,"Afternoon (12-16)",IF(C315&lt;=20,"Evening (17-20)","Late (21-23)")))))</f>
        <v>Evening (17-20)</v>
      </c>
    </row>
    <row r="316" customFormat="false" ht="15" hidden="false" customHeight="false" outlineLevel="0" collapsed="false">
      <c r="A316" s="37" t="s">
        <v>421</v>
      </c>
      <c r="B316" s="38" t="n">
        <v>46320</v>
      </c>
      <c r="C316" s="37" t="n">
        <v>17</v>
      </c>
      <c r="D316" s="37" t="s">
        <v>39</v>
      </c>
      <c r="E316" s="37" t="s">
        <v>49</v>
      </c>
      <c r="F316" s="37" t="s">
        <v>23</v>
      </c>
      <c r="G316" s="39" t="b">
        <f aca="false">TRUE()</f>
        <v>1</v>
      </c>
      <c r="H316" s="37" t="n">
        <v>642.99</v>
      </c>
      <c r="I316" s="37" t="n">
        <v>3</v>
      </c>
      <c r="J316" s="37" t="n">
        <v>26</v>
      </c>
      <c r="K316" s="37" t="n">
        <v>0</v>
      </c>
      <c r="L316" s="37" t="str">
        <f aca="false">IF(C316="","",IF(C316&lt;=5,"Night (00-05)",IF(C316&lt;=11,"Morning (06-11)",IF(C316&lt;=16,"Afternoon (12-16)",IF(C316&lt;=20,"Evening (17-20)","Late (21-23)")))))</f>
        <v>Evening (17-20)</v>
      </c>
    </row>
    <row r="317" customFormat="false" ht="15" hidden="false" customHeight="false" outlineLevel="0" collapsed="false">
      <c r="A317" s="37" t="s">
        <v>422</v>
      </c>
      <c r="B317" s="38" t="n">
        <v>46315</v>
      </c>
      <c r="C317" s="37" t="n">
        <v>23</v>
      </c>
      <c r="D317" s="37" t="s">
        <v>39</v>
      </c>
      <c r="E317" s="37" t="s">
        <v>46</v>
      </c>
      <c r="F317" s="37" t="s">
        <v>23</v>
      </c>
      <c r="G317" s="39" t="b">
        <f aca="false">TRUE()</f>
        <v>1</v>
      </c>
      <c r="H317" s="37" t="n">
        <v>615.43</v>
      </c>
      <c r="I317" s="37" t="n">
        <v>4</v>
      </c>
      <c r="J317" s="37" t="n">
        <v>25</v>
      </c>
      <c r="K317" s="37" t="n">
        <v>0</v>
      </c>
      <c r="L317" s="37" t="str">
        <f aca="false">IF(C317="","",IF(C317&lt;=5,"Night (00-05)",IF(C317&lt;=11,"Morning (06-11)",IF(C317&lt;=16,"Afternoon (12-16)",IF(C317&lt;=20,"Evening (17-20)","Late (21-23)")))))</f>
        <v>Late (21-23)</v>
      </c>
    </row>
    <row r="318" customFormat="false" ht="15" hidden="false" customHeight="false" outlineLevel="0" collapsed="false">
      <c r="A318" s="37" t="s">
        <v>423</v>
      </c>
      <c r="B318" s="38" t="n">
        <v>46320</v>
      </c>
      <c r="C318" s="37" t="n">
        <v>0</v>
      </c>
      <c r="D318" s="37" t="s">
        <v>38</v>
      </c>
      <c r="E318" s="37" t="s">
        <v>46</v>
      </c>
      <c r="F318" s="37" t="s">
        <v>23</v>
      </c>
      <c r="G318" s="39" t="b">
        <f aca="false">TRUE()</f>
        <v>1</v>
      </c>
      <c r="H318" s="37" t="n">
        <v>942.81</v>
      </c>
      <c r="I318" s="37" t="n">
        <v>5</v>
      </c>
      <c r="J318" s="37" t="n">
        <v>32</v>
      </c>
      <c r="K318" s="37" t="n">
        <v>0</v>
      </c>
      <c r="L318" s="37" t="str">
        <f aca="false">IF(C318="","",IF(C318&lt;=5,"Night (00-05)",IF(C318&lt;=11,"Morning (06-11)",IF(C318&lt;=16,"Afternoon (12-16)",IF(C318&lt;=20,"Evening (17-20)","Late (21-23)")))))</f>
        <v>Night (00-05)</v>
      </c>
    </row>
    <row r="319" customFormat="false" ht="15" hidden="false" customHeight="false" outlineLevel="0" collapsed="false">
      <c r="A319" s="37" t="s">
        <v>424</v>
      </c>
      <c r="B319" s="38" t="n">
        <v>46318</v>
      </c>
      <c r="C319" s="37" t="n">
        <v>0</v>
      </c>
      <c r="D319" s="37" t="s">
        <v>37</v>
      </c>
      <c r="E319" s="37" t="s">
        <v>49</v>
      </c>
      <c r="F319" s="37" t="s">
        <v>23</v>
      </c>
      <c r="G319" s="39" t="b">
        <f aca="false">TRUE()</f>
        <v>1</v>
      </c>
      <c r="H319" s="37" t="n">
        <v>591.94</v>
      </c>
      <c r="I319" s="37" t="n">
        <v>4</v>
      </c>
      <c r="J319" s="37" t="n">
        <v>24</v>
      </c>
      <c r="K319" s="37" t="n">
        <v>0</v>
      </c>
      <c r="L319" s="37" t="str">
        <f aca="false">IF(C319="","",IF(C319&lt;=5,"Night (00-05)",IF(C319&lt;=11,"Morning (06-11)",IF(C319&lt;=16,"Afternoon (12-16)",IF(C319&lt;=20,"Evening (17-20)","Late (21-23)")))))</f>
        <v>Night (00-05)</v>
      </c>
    </row>
    <row r="320" customFormat="false" ht="15" hidden="false" customHeight="false" outlineLevel="0" collapsed="false">
      <c r="A320" s="37" t="s">
        <v>425</v>
      </c>
      <c r="B320" s="38" t="n">
        <v>46316</v>
      </c>
      <c r="C320" s="37" t="n">
        <v>6</v>
      </c>
      <c r="D320" s="37" t="s">
        <v>37</v>
      </c>
      <c r="E320" s="37" t="s">
        <v>49</v>
      </c>
      <c r="F320" s="37" t="s">
        <v>23</v>
      </c>
      <c r="G320" s="39" t="b">
        <f aca="false">TRUE()</f>
        <v>1</v>
      </c>
      <c r="H320" s="37" t="n">
        <v>829.41</v>
      </c>
      <c r="I320" s="37" t="n">
        <v>4</v>
      </c>
      <c r="J320" s="37" t="n">
        <v>43</v>
      </c>
      <c r="K320" s="37" t="n">
        <v>0</v>
      </c>
      <c r="L320" s="37" t="str">
        <f aca="false">IF(C320="","",IF(C320&lt;=5,"Night (00-05)",IF(C320&lt;=11,"Morning (06-11)",IF(C320&lt;=16,"Afternoon (12-16)",IF(C320&lt;=20,"Evening (17-20)","Late (21-23)")))))</f>
        <v>Morning (06-11)</v>
      </c>
    </row>
    <row r="321" customFormat="false" ht="15" hidden="false" customHeight="false" outlineLevel="0" collapsed="false">
      <c r="A321" s="37" t="s">
        <v>426</v>
      </c>
      <c r="B321" s="38" t="n">
        <v>46317</v>
      </c>
      <c r="C321" s="37" t="n">
        <v>1</v>
      </c>
      <c r="D321" s="37" t="s">
        <v>38</v>
      </c>
      <c r="E321" s="37" t="s">
        <v>47</v>
      </c>
      <c r="F321" s="37" t="s">
        <v>23</v>
      </c>
      <c r="G321" s="39" t="b">
        <f aca="false">TRUE()</f>
        <v>1</v>
      </c>
      <c r="H321" s="37" t="n">
        <v>808.66</v>
      </c>
      <c r="I321" s="37" t="n">
        <v>5</v>
      </c>
      <c r="J321" s="37" t="n">
        <v>23</v>
      </c>
      <c r="K321" s="37" t="n">
        <v>0</v>
      </c>
      <c r="L321" s="37" t="str">
        <f aca="false">IF(C321="","",IF(C321&lt;=5,"Night (00-05)",IF(C321&lt;=11,"Morning (06-11)",IF(C321&lt;=16,"Afternoon (12-16)",IF(C321&lt;=20,"Evening (17-20)","Late (21-23)")))))</f>
        <v>Night (00-05)</v>
      </c>
    </row>
    <row r="322" customFormat="false" ht="15" hidden="false" customHeight="false" outlineLevel="0" collapsed="false">
      <c r="A322" s="37" t="s">
        <v>427</v>
      </c>
      <c r="B322" s="38" t="n">
        <v>46318</v>
      </c>
      <c r="C322" s="37" t="n">
        <v>22</v>
      </c>
      <c r="D322" s="37" t="s">
        <v>39</v>
      </c>
      <c r="E322" s="37" t="s">
        <v>49</v>
      </c>
      <c r="F322" s="37" t="s">
        <v>23</v>
      </c>
      <c r="G322" s="39" t="b">
        <f aca="false">TRUE()</f>
        <v>1</v>
      </c>
      <c r="H322" s="37" t="n">
        <v>579.72</v>
      </c>
      <c r="I322" s="37" t="n">
        <v>4</v>
      </c>
      <c r="J322" s="37" t="n">
        <v>54</v>
      </c>
      <c r="K322" s="37" t="n">
        <v>0</v>
      </c>
      <c r="L322" s="37" t="str">
        <f aca="false">IF(C322="","",IF(C322&lt;=5,"Night (00-05)",IF(C322&lt;=11,"Morning (06-11)",IF(C322&lt;=16,"Afternoon (12-16)",IF(C322&lt;=20,"Evening (17-20)","Late (21-23)")))))</f>
        <v>Late (21-23)</v>
      </c>
    </row>
    <row r="323" customFormat="false" ht="15" hidden="false" customHeight="false" outlineLevel="0" collapsed="false">
      <c r="A323" s="37" t="s">
        <v>428</v>
      </c>
      <c r="B323" s="38" t="n">
        <v>46316</v>
      </c>
      <c r="C323" s="37" t="n">
        <v>17</v>
      </c>
      <c r="D323" s="37" t="s">
        <v>37</v>
      </c>
      <c r="E323" s="37" t="s">
        <v>48</v>
      </c>
      <c r="F323" s="37" t="s">
        <v>23</v>
      </c>
      <c r="G323" s="39" t="b">
        <f aca="false">TRUE()</f>
        <v>1</v>
      </c>
      <c r="H323" s="37" t="n">
        <v>667.2</v>
      </c>
      <c r="I323" s="37" t="n">
        <v>4</v>
      </c>
      <c r="J323" s="37" t="n">
        <v>24</v>
      </c>
      <c r="K323" s="37" t="n">
        <v>0</v>
      </c>
      <c r="L323" s="37" t="str">
        <f aca="false">IF(C323="","",IF(C323&lt;=5,"Night (00-05)",IF(C323&lt;=11,"Morning (06-11)",IF(C323&lt;=16,"Afternoon (12-16)",IF(C323&lt;=20,"Evening (17-20)","Late (21-23)")))))</f>
        <v>Evening (17-20)</v>
      </c>
    </row>
    <row r="324" customFormat="false" ht="15" hidden="false" customHeight="false" outlineLevel="0" collapsed="false">
      <c r="A324" s="37" t="s">
        <v>429</v>
      </c>
      <c r="B324" s="38" t="n">
        <v>46319</v>
      </c>
      <c r="C324" s="37" t="n">
        <v>1</v>
      </c>
      <c r="D324" s="37" t="s">
        <v>38</v>
      </c>
      <c r="E324" s="37" t="s">
        <v>48</v>
      </c>
      <c r="F324" s="37" t="s">
        <v>23</v>
      </c>
      <c r="G324" s="39" t="b">
        <f aca="false">TRUE()</f>
        <v>1</v>
      </c>
      <c r="H324" s="37" t="n">
        <v>859.35</v>
      </c>
      <c r="I324" s="37" t="n">
        <v>5</v>
      </c>
      <c r="J324" s="37" t="n">
        <v>49</v>
      </c>
      <c r="K324" s="37" t="n">
        <v>0</v>
      </c>
      <c r="L324" s="37" t="str">
        <f aca="false">IF(C324="","",IF(C324&lt;=5,"Night (00-05)",IF(C324&lt;=11,"Morning (06-11)",IF(C324&lt;=16,"Afternoon (12-16)",IF(C324&lt;=20,"Evening (17-20)","Late (21-23)")))))</f>
        <v>Night (00-05)</v>
      </c>
    </row>
    <row r="325" customFormat="false" ht="15" hidden="false" customHeight="false" outlineLevel="0" collapsed="false">
      <c r="A325" s="37" t="s">
        <v>430</v>
      </c>
      <c r="B325" s="38" t="n">
        <v>46315</v>
      </c>
      <c r="C325" s="37" t="n">
        <v>18</v>
      </c>
      <c r="D325" s="37" t="s">
        <v>37</v>
      </c>
      <c r="E325" s="37" t="s">
        <v>47</v>
      </c>
      <c r="F325" s="37" t="s">
        <v>23</v>
      </c>
      <c r="G325" s="39" t="b">
        <f aca="false">TRUE()</f>
        <v>1</v>
      </c>
      <c r="H325" s="37" t="n">
        <v>405.33</v>
      </c>
      <c r="I325" s="37" t="n">
        <v>4</v>
      </c>
      <c r="J325" s="37" t="n">
        <v>20</v>
      </c>
      <c r="K325" s="37" t="n">
        <v>0</v>
      </c>
      <c r="L325" s="37" t="str">
        <f aca="false">IF(C325="","",IF(C325&lt;=5,"Night (00-05)",IF(C325&lt;=11,"Morning (06-11)",IF(C325&lt;=16,"Afternoon (12-16)",IF(C325&lt;=20,"Evening (17-20)","Late (21-23)")))))</f>
        <v>Evening (17-20)</v>
      </c>
    </row>
    <row r="326" customFormat="false" ht="15" hidden="false" customHeight="false" outlineLevel="0" collapsed="false">
      <c r="A326" s="37" t="s">
        <v>431</v>
      </c>
      <c r="B326" s="38" t="n">
        <v>46317</v>
      </c>
      <c r="C326" s="37" t="n">
        <v>22</v>
      </c>
      <c r="D326" s="37" t="s">
        <v>40</v>
      </c>
      <c r="E326" s="37" t="s">
        <v>48</v>
      </c>
      <c r="F326" s="37" t="s">
        <v>23</v>
      </c>
      <c r="G326" s="39" t="b">
        <f aca="false">TRUE()</f>
        <v>1</v>
      </c>
      <c r="H326" s="37" t="n">
        <v>796.5</v>
      </c>
      <c r="I326" s="37" t="n">
        <v>5</v>
      </c>
      <c r="J326" s="37" t="n">
        <v>37</v>
      </c>
      <c r="K326" s="37" t="n">
        <v>0</v>
      </c>
      <c r="L326" s="37" t="str">
        <f aca="false">IF(C326="","",IF(C326&lt;=5,"Night (00-05)",IF(C326&lt;=11,"Morning (06-11)",IF(C326&lt;=16,"Afternoon (12-16)",IF(C326&lt;=20,"Evening (17-20)","Late (21-23)")))))</f>
        <v>Late (21-23)</v>
      </c>
    </row>
    <row r="327" customFormat="false" ht="15" hidden="false" customHeight="false" outlineLevel="0" collapsed="false">
      <c r="A327" s="37" t="s">
        <v>432</v>
      </c>
      <c r="B327" s="38" t="n">
        <v>46316</v>
      </c>
      <c r="C327" s="37" t="n">
        <v>2</v>
      </c>
      <c r="D327" s="37" t="s">
        <v>39</v>
      </c>
      <c r="E327" s="37" t="s">
        <v>46</v>
      </c>
      <c r="F327" s="37" t="s">
        <v>23</v>
      </c>
      <c r="G327" s="39" t="b">
        <f aca="false">TRUE()</f>
        <v>1</v>
      </c>
      <c r="H327" s="37" t="n">
        <v>508.54</v>
      </c>
      <c r="I327" s="37" t="n">
        <v>2</v>
      </c>
      <c r="J327" s="37" t="n">
        <v>76</v>
      </c>
      <c r="K327" s="37" t="n">
        <v>1</v>
      </c>
      <c r="L327" s="37" t="str">
        <f aca="false">IF(C327="","",IF(C327&lt;=5,"Night (00-05)",IF(C327&lt;=11,"Morning (06-11)",IF(C327&lt;=16,"Afternoon (12-16)",IF(C327&lt;=20,"Evening (17-20)","Late (21-23)")))))</f>
        <v>Night (00-05)</v>
      </c>
    </row>
    <row r="328" customFormat="false" ht="15" hidden="false" customHeight="false" outlineLevel="0" collapsed="false">
      <c r="A328" s="37" t="s">
        <v>433</v>
      </c>
      <c r="B328" s="38" t="n">
        <v>46317</v>
      </c>
      <c r="C328" s="37" t="n">
        <v>13</v>
      </c>
      <c r="D328" s="37" t="s">
        <v>37</v>
      </c>
      <c r="E328" s="37" t="s">
        <v>46</v>
      </c>
      <c r="F328" s="37" t="s">
        <v>23</v>
      </c>
      <c r="G328" s="39" t="b">
        <f aca="false">TRUE()</f>
        <v>1</v>
      </c>
      <c r="H328" s="37" t="n">
        <v>477.65</v>
      </c>
      <c r="I328" s="37" t="n">
        <v>4</v>
      </c>
      <c r="J328" s="37" t="n">
        <v>27</v>
      </c>
      <c r="K328" s="37" t="n">
        <v>0</v>
      </c>
      <c r="L328" s="37" t="str">
        <f aca="false">IF(C328="","",IF(C328&lt;=5,"Night (00-05)",IF(C328&lt;=11,"Morning (06-11)",IF(C328&lt;=16,"Afternoon (12-16)",IF(C328&lt;=20,"Evening (17-20)","Late (21-23)")))))</f>
        <v>Afternoon (12-16)</v>
      </c>
    </row>
    <row r="329" customFormat="false" ht="15" hidden="false" customHeight="false" outlineLevel="0" collapsed="false">
      <c r="A329" s="37" t="s">
        <v>434</v>
      </c>
      <c r="B329" s="38" t="n">
        <v>46319</v>
      </c>
      <c r="C329" s="37" t="n">
        <v>8</v>
      </c>
      <c r="D329" s="37" t="s">
        <v>38</v>
      </c>
      <c r="E329" s="37" t="s">
        <v>48</v>
      </c>
      <c r="F329" s="37" t="s">
        <v>23</v>
      </c>
      <c r="G329" s="39" t="b">
        <f aca="false">TRUE()</f>
        <v>1</v>
      </c>
      <c r="H329" s="37" t="n">
        <v>831.19</v>
      </c>
      <c r="I329" s="37" t="n">
        <v>4</v>
      </c>
      <c r="J329" s="37" t="n">
        <v>29</v>
      </c>
      <c r="K329" s="37" t="n">
        <v>0</v>
      </c>
      <c r="L329" s="37" t="str">
        <f aca="false">IF(C329="","",IF(C329&lt;=5,"Night (00-05)",IF(C329&lt;=11,"Morning (06-11)",IF(C329&lt;=16,"Afternoon (12-16)",IF(C329&lt;=20,"Evening (17-20)","Late (21-23)")))))</f>
        <v>Morning (06-11)</v>
      </c>
    </row>
    <row r="330" customFormat="false" ht="15" hidden="false" customHeight="false" outlineLevel="0" collapsed="false">
      <c r="A330" s="37" t="s">
        <v>435</v>
      </c>
      <c r="B330" s="38" t="n">
        <v>46321</v>
      </c>
      <c r="C330" s="37" t="n">
        <v>12</v>
      </c>
      <c r="D330" s="37" t="s">
        <v>39</v>
      </c>
      <c r="E330" s="37" t="s">
        <v>48</v>
      </c>
      <c r="F330" s="37" t="s">
        <v>23</v>
      </c>
      <c r="G330" s="39" t="b">
        <f aca="false">TRUE()</f>
        <v>1</v>
      </c>
      <c r="H330" s="37" t="n">
        <v>427.72</v>
      </c>
      <c r="I330" s="37" t="n">
        <v>4</v>
      </c>
      <c r="J330" s="37" t="n">
        <v>40</v>
      </c>
      <c r="K330" s="37" t="n">
        <v>0</v>
      </c>
      <c r="L330" s="37" t="str">
        <f aca="false">IF(C330="","",IF(C330&lt;=5,"Night (00-05)",IF(C330&lt;=11,"Morning (06-11)",IF(C330&lt;=16,"Afternoon (12-16)",IF(C330&lt;=20,"Evening (17-20)","Late (21-23)")))))</f>
        <v>Afternoon (12-16)</v>
      </c>
    </row>
    <row r="331" customFormat="false" ht="15" hidden="false" customHeight="false" outlineLevel="0" collapsed="false">
      <c r="A331" s="37" t="s">
        <v>436</v>
      </c>
      <c r="B331" s="38" t="n">
        <v>46315</v>
      </c>
      <c r="C331" s="37" t="n">
        <v>23</v>
      </c>
      <c r="D331" s="37" t="s">
        <v>38</v>
      </c>
      <c r="E331" s="37" t="s">
        <v>48</v>
      </c>
      <c r="F331" s="37" t="s">
        <v>23</v>
      </c>
      <c r="G331" s="39" t="b">
        <f aca="false">TRUE()</f>
        <v>1</v>
      </c>
      <c r="H331" s="37" t="n">
        <v>955.23</v>
      </c>
      <c r="I331" s="37" t="n">
        <v>5</v>
      </c>
      <c r="J331" s="37" t="n">
        <v>22</v>
      </c>
      <c r="K331" s="37" t="n">
        <v>0</v>
      </c>
      <c r="L331" s="37" t="str">
        <f aca="false">IF(C331="","",IF(C331&lt;=5,"Night (00-05)",IF(C331&lt;=11,"Morning (06-11)",IF(C331&lt;=16,"Afternoon (12-16)",IF(C331&lt;=20,"Evening (17-20)","Late (21-23)")))))</f>
        <v>Late (21-23)</v>
      </c>
    </row>
    <row r="332" customFormat="false" ht="15" hidden="false" customHeight="false" outlineLevel="0" collapsed="false">
      <c r="A332" s="37" t="s">
        <v>437</v>
      </c>
      <c r="B332" s="38" t="n">
        <v>46316</v>
      </c>
      <c r="C332" s="37" t="n">
        <v>3</v>
      </c>
      <c r="D332" s="37" t="s">
        <v>40</v>
      </c>
      <c r="E332" s="37" t="s">
        <v>46</v>
      </c>
      <c r="F332" s="37" t="s">
        <v>23</v>
      </c>
      <c r="G332" s="39" t="b">
        <f aca="false">FALSE()</f>
        <v>0</v>
      </c>
      <c r="H332" s="37" t="n">
        <v>568.11</v>
      </c>
      <c r="I332" s="37" t="n">
        <v>4</v>
      </c>
      <c r="J332" s="37" t="n">
        <v>57</v>
      </c>
      <c r="K332" s="37" t="n">
        <v>0</v>
      </c>
      <c r="L332" s="37" t="str">
        <f aca="false">IF(C332="","",IF(C332&lt;=5,"Night (00-05)",IF(C332&lt;=11,"Morning (06-11)",IF(C332&lt;=16,"Afternoon (12-16)",IF(C332&lt;=20,"Evening (17-20)","Late (21-23)")))))</f>
        <v>Night (00-05)</v>
      </c>
    </row>
    <row r="333" customFormat="false" ht="15" hidden="false" customHeight="false" outlineLevel="0" collapsed="false">
      <c r="A333" s="37" t="s">
        <v>438</v>
      </c>
      <c r="B333" s="38" t="n">
        <v>46321</v>
      </c>
      <c r="C333" s="37" t="n">
        <v>18</v>
      </c>
      <c r="D333" s="37" t="s">
        <v>39</v>
      </c>
      <c r="E333" s="37" t="s">
        <v>46</v>
      </c>
      <c r="F333" s="37" t="s">
        <v>23</v>
      </c>
      <c r="G333" s="39" t="b">
        <f aca="false">TRUE()</f>
        <v>1</v>
      </c>
      <c r="H333" s="37" t="n">
        <v>535.68</v>
      </c>
      <c r="I333" s="37" t="n">
        <v>5</v>
      </c>
      <c r="J333" s="37" t="n">
        <v>32</v>
      </c>
      <c r="K333" s="37" t="n">
        <v>0</v>
      </c>
      <c r="L333" s="37" t="str">
        <f aca="false">IF(C333="","",IF(C333&lt;=5,"Night (00-05)",IF(C333&lt;=11,"Morning (06-11)",IF(C333&lt;=16,"Afternoon (12-16)",IF(C333&lt;=20,"Evening (17-20)","Late (21-23)")))))</f>
        <v>Evening (17-20)</v>
      </c>
    </row>
    <row r="334" customFormat="false" ht="15" hidden="false" customHeight="false" outlineLevel="0" collapsed="false">
      <c r="A334" s="37" t="s">
        <v>439</v>
      </c>
      <c r="B334" s="38" t="n">
        <v>46320</v>
      </c>
      <c r="C334" s="37" t="n">
        <v>1</v>
      </c>
      <c r="D334" s="37" t="s">
        <v>38</v>
      </c>
      <c r="E334" s="37" t="s">
        <v>49</v>
      </c>
      <c r="F334" s="37" t="s">
        <v>23</v>
      </c>
      <c r="G334" s="39" t="b">
        <f aca="false">TRUE()</f>
        <v>1</v>
      </c>
      <c r="H334" s="37" t="n">
        <v>815.74</v>
      </c>
      <c r="I334" s="37" t="n">
        <v>5</v>
      </c>
      <c r="J334" s="37" t="n">
        <v>20</v>
      </c>
      <c r="K334" s="37" t="n">
        <v>0</v>
      </c>
      <c r="L334" s="37" t="str">
        <f aca="false">IF(C334="","",IF(C334&lt;=5,"Night (00-05)",IF(C334&lt;=11,"Morning (06-11)",IF(C334&lt;=16,"Afternoon (12-16)",IF(C334&lt;=20,"Evening (17-20)","Late (21-23)")))))</f>
        <v>Night (00-05)</v>
      </c>
    </row>
    <row r="335" customFormat="false" ht="15" hidden="false" customHeight="false" outlineLevel="0" collapsed="false">
      <c r="A335" s="37" t="s">
        <v>440</v>
      </c>
      <c r="B335" s="38" t="n">
        <v>46316</v>
      </c>
      <c r="C335" s="37" t="n">
        <v>1</v>
      </c>
      <c r="D335" s="37" t="s">
        <v>40</v>
      </c>
      <c r="E335" s="37" t="s">
        <v>47</v>
      </c>
      <c r="F335" s="37" t="s">
        <v>129</v>
      </c>
      <c r="G335" s="39" t="b">
        <f aca="false">FALSE()</f>
        <v>0</v>
      </c>
      <c r="H335" s="37" t="n">
        <v>663.16</v>
      </c>
      <c r="K335" s="37" t="n">
        <v>0</v>
      </c>
      <c r="L335" s="37" t="str">
        <f aca="false">IF(C335="","",IF(C335&lt;=5,"Night (00-05)",IF(C335&lt;=11,"Morning (06-11)",IF(C335&lt;=16,"Afternoon (12-16)",IF(C335&lt;=20,"Evening (17-20)","Late (21-23)")))))</f>
        <v>Night (00-05)</v>
      </c>
    </row>
    <row r="336" customFormat="false" ht="15" hidden="false" customHeight="false" outlineLevel="0" collapsed="false">
      <c r="A336" s="37" t="s">
        <v>441</v>
      </c>
      <c r="B336" s="38" t="n">
        <v>46318</v>
      </c>
      <c r="C336" s="37" t="n">
        <v>22</v>
      </c>
      <c r="D336" s="37" t="s">
        <v>40</v>
      </c>
      <c r="E336" s="37" t="s">
        <v>47</v>
      </c>
      <c r="F336" s="37" t="s">
        <v>23</v>
      </c>
      <c r="G336" s="39" t="b">
        <f aca="false">TRUE()</f>
        <v>1</v>
      </c>
      <c r="H336" s="37" t="n">
        <v>534.12</v>
      </c>
      <c r="I336" s="37" t="n">
        <v>4</v>
      </c>
      <c r="J336" s="37" t="n">
        <v>53</v>
      </c>
      <c r="K336" s="37" t="n">
        <v>0</v>
      </c>
      <c r="L336" s="37" t="str">
        <f aca="false">IF(C336="","",IF(C336&lt;=5,"Night (00-05)",IF(C336&lt;=11,"Morning (06-11)",IF(C336&lt;=16,"Afternoon (12-16)",IF(C336&lt;=20,"Evening (17-20)","Late (21-23)")))))</f>
        <v>Late (21-23)</v>
      </c>
    </row>
    <row r="337" customFormat="false" ht="15" hidden="false" customHeight="false" outlineLevel="0" collapsed="false">
      <c r="A337" s="37" t="s">
        <v>442</v>
      </c>
      <c r="B337" s="38" t="n">
        <v>46317</v>
      </c>
      <c r="C337" s="37" t="n">
        <v>21</v>
      </c>
      <c r="D337" s="37" t="s">
        <v>38</v>
      </c>
      <c r="E337" s="37" t="s">
        <v>48</v>
      </c>
      <c r="F337" s="37" t="s">
        <v>23</v>
      </c>
      <c r="G337" s="39" t="b">
        <f aca="false">TRUE()</f>
        <v>1</v>
      </c>
      <c r="H337" s="37" t="n">
        <v>1245.05</v>
      </c>
      <c r="I337" s="37" t="n">
        <v>4</v>
      </c>
      <c r="J337" s="37" t="n">
        <v>23</v>
      </c>
      <c r="K337" s="37" t="n">
        <v>0</v>
      </c>
      <c r="L337" s="37" t="str">
        <f aca="false">IF(C337="","",IF(C337&lt;=5,"Night (00-05)",IF(C337&lt;=11,"Morning (06-11)",IF(C337&lt;=16,"Afternoon (12-16)",IF(C337&lt;=20,"Evening (17-20)","Late (21-23)")))))</f>
        <v>Late (21-23)</v>
      </c>
    </row>
    <row r="338" customFormat="false" ht="15" hidden="false" customHeight="false" outlineLevel="0" collapsed="false">
      <c r="A338" s="37" t="s">
        <v>443</v>
      </c>
      <c r="B338" s="38" t="n">
        <v>46316</v>
      </c>
      <c r="C338" s="37" t="n">
        <v>17</v>
      </c>
      <c r="D338" s="37" t="s">
        <v>40</v>
      </c>
      <c r="E338" s="37" t="s">
        <v>49</v>
      </c>
      <c r="F338" s="37" t="s">
        <v>23</v>
      </c>
      <c r="G338" s="39" t="b">
        <f aca="false">TRUE()</f>
        <v>1</v>
      </c>
      <c r="H338" s="37" t="n">
        <v>1059.58</v>
      </c>
      <c r="I338" s="37" t="n">
        <v>4</v>
      </c>
      <c r="J338" s="37" t="n">
        <v>40</v>
      </c>
      <c r="K338" s="37" t="n">
        <v>0</v>
      </c>
      <c r="L338" s="37" t="str">
        <f aca="false">IF(C338="","",IF(C338&lt;=5,"Night (00-05)",IF(C338&lt;=11,"Morning (06-11)",IF(C338&lt;=16,"Afternoon (12-16)",IF(C338&lt;=20,"Evening (17-20)","Late (21-23)")))))</f>
        <v>Evening (17-20)</v>
      </c>
    </row>
    <row r="339" customFormat="false" ht="15" hidden="false" customHeight="false" outlineLevel="0" collapsed="false">
      <c r="A339" s="37" t="s">
        <v>444</v>
      </c>
      <c r="B339" s="38" t="n">
        <v>46316</v>
      </c>
      <c r="C339" s="37" t="n">
        <v>14</v>
      </c>
      <c r="D339" s="37" t="s">
        <v>38</v>
      </c>
      <c r="E339" s="37" t="s">
        <v>48</v>
      </c>
      <c r="F339" s="37" t="s">
        <v>23</v>
      </c>
      <c r="G339" s="39" t="b">
        <f aca="false">TRUE()</f>
        <v>1</v>
      </c>
      <c r="H339" s="37" t="n">
        <v>872.96</v>
      </c>
      <c r="I339" s="37" t="n">
        <v>4</v>
      </c>
      <c r="J339" s="37" t="n">
        <v>40</v>
      </c>
      <c r="K339" s="37" t="n">
        <v>0</v>
      </c>
      <c r="L339" s="37" t="str">
        <f aca="false">IF(C339="","",IF(C339&lt;=5,"Night (00-05)",IF(C339&lt;=11,"Morning (06-11)",IF(C339&lt;=16,"Afternoon (12-16)",IF(C339&lt;=20,"Evening (17-20)","Late (21-23)")))))</f>
        <v>Afternoon (12-16)</v>
      </c>
    </row>
    <row r="340" customFormat="false" ht="15" hidden="false" customHeight="false" outlineLevel="0" collapsed="false">
      <c r="A340" s="37" t="s">
        <v>445</v>
      </c>
      <c r="B340" s="38" t="n">
        <v>46319</v>
      </c>
      <c r="C340" s="37" t="n">
        <v>19</v>
      </c>
      <c r="D340" s="37" t="s">
        <v>39</v>
      </c>
      <c r="E340" s="37" t="s">
        <v>46</v>
      </c>
      <c r="F340" s="37" t="s">
        <v>23</v>
      </c>
      <c r="G340" s="39" t="b">
        <f aca="false">TRUE()</f>
        <v>1</v>
      </c>
      <c r="H340" s="37" t="n">
        <v>484.34</v>
      </c>
      <c r="I340" s="37" t="n">
        <v>4</v>
      </c>
      <c r="J340" s="37" t="n">
        <v>25</v>
      </c>
      <c r="K340" s="37" t="n">
        <v>0</v>
      </c>
      <c r="L340" s="37" t="str">
        <f aca="false">IF(C340="","",IF(C340&lt;=5,"Night (00-05)",IF(C340&lt;=11,"Morning (06-11)",IF(C340&lt;=16,"Afternoon (12-16)",IF(C340&lt;=20,"Evening (17-20)","Late (21-23)")))))</f>
        <v>Evening (17-20)</v>
      </c>
    </row>
    <row r="341" customFormat="false" ht="15" hidden="false" customHeight="false" outlineLevel="0" collapsed="false">
      <c r="A341" s="37" t="s">
        <v>446</v>
      </c>
      <c r="B341" s="38" t="n">
        <v>46320</v>
      </c>
      <c r="C341" s="37" t="n">
        <v>18</v>
      </c>
      <c r="D341" s="37" t="s">
        <v>38</v>
      </c>
      <c r="E341" s="37" t="s">
        <v>48</v>
      </c>
      <c r="F341" s="37" t="s">
        <v>23</v>
      </c>
      <c r="G341" s="39" t="b">
        <f aca="false">TRUE()</f>
        <v>1</v>
      </c>
      <c r="H341" s="37" t="n">
        <v>1384.15</v>
      </c>
      <c r="I341" s="37" t="n">
        <v>5</v>
      </c>
      <c r="J341" s="37" t="n">
        <v>25</v>
      </c>
      <c r="K341" s="37" t="n">
        <v>0</v>
      </c>
      <c r="L341" s="37" t="str">
        <f aca="false">IF(C341="","",IF(C341&lt;=5,"Night (00-05)",IF(C341&lt;=11,"Morning (06-11)",IF(C341&lt;=16,"Afternoon (12-16)",IF(C341&lt;=20,"Evening (17-20)","Late (21-23)")))))</f>
        <v>Evening (17-20)</v>
      </c>
    </row>
    <row r="342" customFormat="false" ht="15" hidden="false" customHeight="false" outlineLevel="0" collapsed="false">
      <c r="A342" s="37" t="s">
        <v>447</v>
      </c>
      <c r="B342" s="38" t="n">
        <v>46317</v>
      </c>
      <c r="C342" s="37" t="n">
        <v>19</v>
      </c>
      <c r="D342" s="37" t="s">
        <v>40</v>
      </c>
      <c r="E342" s="37" t="s">
        <v>46</v>
      </c>
      <c r="F342" s="37" t="s">
        <v>23</v>
      </c>
      <c r="G342" s="39" t="b">
        <f aca="false">TRUE()</f>
        <v>1</v>
      </c>
      <c r="H342" s="37" t="n">
        <v>1155.07</v>
      </c>
      <c r="I342" s="37" t="n">
        <v>5</v>
      </c>
      <c r="J342" s="37" t="n">
        <v>45</v>
      </c>
      <c r="K342" s="37" t="n">
        <v>0</v>
      </c>
      <c r="L342" s="37" t="str">
        <f aca="false">IF(C342="","",IF(C342&lt;=5,"Night (00-05)",IF(C342&lt;=11,"Morning (06-11)",IF(C342&lt;=16,"Afternoon (12-16)",IF(C342&lt;=20,"Evening (17-20)","Late (21-23)")))))</f>
        <v>Evening (17-20)</v>
      </c>
    </row>
    <row r="343" customFormat="false" ht="15" hidden="false" customHeight="false" outlineLevel="0" collapsed="false">
      <c r="A343" s="37" t="s">
        <v>448</v>
      </c>
      <c r="B343" s="38" t="n">
        <v>46320</v>
      </c>
      <c r="C343" s="37" t="n">
        <v>1</v>
      </c>
      <c r="D343" s="37" t="s">
        <v>39</v>
      </c>
      <c r="E343" s="37" t="s">
        <v>47</v>
      </c>
      <c r="F343" s="37" t="s">
        <v>23</v>
      </c>
      <c r="G343" s="39" t="b">
        <f aca="false">TRUE()</f>
        <v>1</v>
      </c>
      <c r="H343" s="37" t="n">
        <v>620.56</v>
      </c>
      <c r="I343" s="37" t="n">
        <v>3</v>
      </c>
      <c r="J343" s="37" t="n">
        <v>20</v>
      </c>
      <c r="K343" s="37" t="n">
        <v>0</v>
      </c>
      <c r="L343" s="37" t="str">
        <f aca="false">IF(C343="","",IF(C343&lt;=5,"Night (00-05)",IF(C343&lt;=11,"Morning (06-11)",IF(C343&lt;=16,"Afternoon (12-16)",IF(C343&lt;=20,"Evening (17-20)","Late (21-23)")))))</f>
        <v>Night (00-05)</v>
      </c>
    </row>
    <row r="344" customFormat="false" ht="15" hidden="false" customHeight="false" outlineLevel="0" collapsed="false">
      <c r="A344" s="37" t="s">
        <v>449</v>
      </c>
      <c r="B344" s="38" t="n">
        <v>46322</v>
      </c>
      <c r="C344" s="37" t="n">
        <v>6</v>
      </c>
      <c r="D344" s="37" t="s">
        <v>39</v>
      </c>
      <c r="E344" s="37" t="s">
        <v>46</v>
      </c>
      <c r="F344" s="37" t="s">
        <v>113</v>
      </c>
      <c r="G344" s="39" t="b">
        <f aca="false">TRUE()</f>
        <v>1</v>
      </c>
      <c r="H344" s="37" t="n">
        <v>573.51</v>
      </c>
      <c r="K344" s="37" t="n">
        <v>0</v>
      </c>
      <c r="L344" s="37" t="str">
        <f aca="false">IF(C344="","",IF(C344&lt;=5,"Night (00-05)",IF(C344&lt;=11,"Morning (06-11)",IF(C344&lt;=16,"Afternoon (12-16)",IF(C344&lt;=20,"Evening (17-20)","Late (21-23)")))))</f>
        <v>Morning (06-11)</v>
      </c>
    </row>
    <row r="345" customFormat="false" ht="15" hidden="false" customHeight="false" outlineLevel="0" collapsed="false">
      <c r="A345" s="37" t="s">
        <v>450</v>
      </c>
      <c r="B345" s="38" t="n">
        <v>46315</v>
      </c>
      <c r="C345" s="37" t="n">
        <v>23</v>
      </c>
      <c r="D345" s="37" t="s">
        <v>38</v>
      </c>
      <c r="E345" s="37" t="s">
        <v>47</v>
      </c>
      <c r="F345" s="37" t="s">
        <v>23</v>
      </c>
      <c r="G345" s="39" t="b">
        <f aca="false">TRUE()</f>
        <v>1</v>
      </c>
      <c r="H345" s="37" t="n">
        <v>1497.01</v>
      </c>
      <c r="I345" s="37" t="n">
        <v>5</v>
      </c>
      <c r="J345" s="37" t="n">
        <v>48</v>
      </c>
      <c r="K345" s="37" t="n">
        <v>0</v>
      </c>
      <c r="L345" s="37" t="str">
        <f aca="false">IF(C345="","",IF(C345&lt;=5,"Night (00-05)",IF(C345&lt;=11,"Morning (06-11)",IF(C345&lt;=16,"Afternoon (12-16)",IF(C345&lt;=20,"Evening (17-20)","Late (21-23)")))))</f>
        <v>Late (21-23)</v>
      </c>
    </row>
    <row r="346" customFormat="false" ht="15" hidden="false" customHeight="false" outlineLevel="0" collapsed="false">
      <c r="A346" s="37" t="s">
        <v>451</v>
      </c>
      <c r="B346" s="38" t="n">
        <v>46316</v>
      </c>
      <c r="C346" s="37" t="n">
        <v>3</v>
      </c>
      <c r="D346" s="37" t="s">
        <v>40</v>
      </c>
      <c r="E346" s="37" t="s">
        <v>47</v>
      </c>
      <c r="F346" s="37" t="s">
        <v>23</v>
      </c>
      <c r="G346" s="39" t="b">
        <f aca="false">TRUE()</f>
        <v>1</v>
      </c>
      <c r="H346" s="37" t="n">
        <v>533.16</v>
      </c>
      <c r="I346" s="37" t="n">
        <v>5</v>
      </c>
      <c r="J346" s="37" t="n">
        <v>30</v>
      </c>
      <c r="K346" s="37" t="n">
        <v>0</v>
      </c>
      <c r="L346" s="37" t="str">
        <f aca="false">IF(C346="","",IF(C346&lt;=5,"Night (00-05)",IF(C346&lt;=11,"Morning (06-11)",IF(C346&lt;=16,"Afternoon (12-16)",IF(C346&lt;=20,"Evening (17-20)","Late (21-23)")))))</f>
        <v>Night (00-05)</v>
      </c>
    </row>
    <row r="347" customFormat="false" ht="15" hidden="false" customHeight="false" outlineLevel="0" collapsed="false">
      <c r="A347" s="37" t="s">
        <v>452</v>
      </c>
      <c r="B347" s="38" t="n">
        <v>46319</v>
      </c>
      <c r="C347" s="37" t="n">
        <v>2</v>
      </c>
      <c r="D347" s="37" t="s">
        <v>38</v>
      </c>
      <c r="E347" s="37" t="s">
        <v>49</v>
      </c>
      <c r="F347" s="37" t="s">
        <v>23</v>
      </c>
      <c r="G347" s="39" t="b">
        <f aca="false">TRUE()</f>
        <v>1</v>
      </c>
      <c r="H347" s="37" t="n">
        <v>1277.25</v>
      </c>
      <c r="I347" s="37" t="n">
        <v>5</v>
      </c>
      <c r="J347" s="37" t="n">
        <v>33</v>
      </c>
      <c r="K347" s="37" t="n">
        <v>0</v>
      </c>
      <c r="L347" s="37" t="str">
        <f aca="false">IF(C347="","",IF(C347&lt;=5,"Night (00-05)",IF(C347&lt;=11,"Morning (06-11)",IF(C347&lt;=16,"Afternoon (12-16)",IF(C347&lt;=20,"Evening (17-20)","Late (21-23)")))))</f>
        <v>Night (00-05)</v>
      </c>
    </row>
    <row r="348" customFormat="false" ht="15" hidden="false" customHeight="false" outlineLevel="0" collapsed="false">
      <c r="A348" s="37" t="s">
        <v>453</v>
      </c>
      <c r="B348" s="38" t="n">
        <v>46317</v>
      </c>
      <c r="C348" s="37" t="n">
        <v>18</v>
      </c>
      <c r="D348" s="37" t="s">
        <v>38</v>
      </c>
      <c r="E348" s="37" t="s">
        <v>48</v>
      </c>
      <c r="F348" s="37" t="s">
        <v>23</v>
      </c>
      <c r="G348" s="39" t="b">
        <f aca="false">TRUE()</f>
        <v>1</v>
      </c>
      <c r="H348" s="37" t="n">
        <v>1252.09</v>
      </c>
      <c r="I348" s="37" t="n">
        <v>4</v>
      </c>
      <c r="J348" s="37" t="n">
        <v>55</v>
      </c>
      <c r="K348" s="37" t="n">
        <v>0</v>
      </c>
      <c r="L348" s="37" t="str">
        <f aca="false">IF(C348="","",IF(C348&lt;=5,"Night (00-05)",IF(C348&lt;=11,"Morning (06-11)",IF(C348&lt;=16,"Afternoon (12-16)",IF(C348&lt;=20,"Evening (17-20)","Late (21-23)")))))</f>
        <v>Evening (17-20)</v>
      </c>
    </row>
    <row r="349" customFormat="false" ht="15" hidden="false" customHeight="false" outlineLevel="0" collapsed="false">
      <c r="A349" s="37" t="s">
        <v>454</v>
      </c>
      <c r="B349" s="38" t="n">
        <v>46315</v>
      </c>
      <c r="C349" s="37" t="n">
        <v>18</v>
      </c>
      <c r="D349" s="37" t="s">
        <v>37</v>
      </c>
      <c r="E349" s="37" t="s">
        <v>48</v>
      </c>
      <c r="F349" s="37" t="s">
        <v>23</v>
      </c>
      <c r="G349" s="39" t="b">
        <f aca="false">TRUE()</f>
        <v>1</v>
      </c>
      <c r="H349" s="37" t="n">
        <v>714.38</v>
      </c>
      <c r="I349" s="37" t="n">
        <v>5</v>
      </c>
      <c r="J349" s="37" t="n">
        <v>21</v>
      </c>
      <c r="K349" s="37" t="n">
        <v>0</v>
      </c>
      <c r="L349" s="37" t="str">
        <f aca="false">IF(C349="","",IF(C349&lt;=5,"Night (00-05)",IF(C349&lt;=11,"Morning (06-11)",IF(C349&lt;=16,"Afternoon (12-16)",IF(C349&lt;=20,"Evening (17-20)","Late (21-23)")))))</f>
        <v>Evening (17-20)</v>
      </c>
    </row>
    <row r="350" customFormat="false" ht="15" hidden="false" customHeight="false" outlineLevel="0" collapsed="false">
      <c r="A350" s="37" t="s">
        <v>455</v>
      </c>
      <c r="B350" s="38" t="n">
        <v>46322</v>
      </c>
      <c r="C350" s="37" t="n">
        <v>1</v>
      </c>
      <c r="D350" s="37" t="s">
        <v>39</v>
      </c>
      <c r="E350" s="37" t="s">
        <v>46</v>
      </c>
      <c r="F350" s="37" t="s">
        <v>23</v>
      </c>
      <c r="G350" s="39" t="b">
        <f aca="false">TRUE()</f>
        <v>1</v>
      </c>
      <c r="H350" s="37" t="n">
        <v>664.07</v>
      </c>
      <c r="I350" s="37" t="n">
        <v>4</v>
      </c>
      <c r="J350" s="37" t="n">
        <v>44</v>
      </c>
      <c r="K350" s="37" t="n">
        <v>0</v>
      </c>
      <c r="L350" s="37" t="str">
        <f aca="false">IF(C350="","",IF(C350&lt;=5,"Night (00-05)",IF(C350&lt;=11,"Morning (06-11)",IF(C350&lt;=16,"Afternoon (12-16)",IF(C350&lt;=20,"Evening (17-20)","Late (21-23)")))))</f>
        <v>Night (00-05)</v>
      </c>
    </row>
    <row r="351" customFormat="false" ht="15" hidden="false" customHeight="false" outlineLevel="0" collapsed="false">
      <c r="A351" s="37" t="s">
        <v>456</v>
      </c>
      <c r="B351" s="38" t="n">
        <v>46315</v>
      </c>
      <c r="C351" s="37" t="n">
        <v>18</v>
      </c>
      <c r="D351" s="37" t="s">
        <v>40</v>
      </c>
      <c r="E351" s="37" t="s">
        <v>47</v>
      </c>
      <c r="F351" s="37" t="s">
        <v>23</v>
      </c>
      <c r="G351" s="39" t="b">
        <f aca="false">TRUE()</f>
        <v>1</v>
      </c>
      <c r="H351" s="37" t="n">
        <v>1145.92</v>
      </c>
      <c r="I351" s="37" t="n">
        <v>5</v>
      </c>
      <c r="J351" s="37" t="n">
        <v>42</v>
      </c>
      <c r="K351" s="37" t="n">
        <v>0</v>
      </c>
      <c r="L351" s="37" t="str">
        <f aca="false">IF(C351="","",IF(C351&lt;=5,"Night (00-05)",IF(C351&lt;=11,"Morning (06-11)",IF(C351&lt;=16,"Afternoon (12-16)",IF(C351&lt;=20,"Evening (17-20)","Late (21-23)")))))</f>
        <v>Evening (17-20)</v>
      </c>
    </row>
    <row r="352" customFormat="false" ht="15" hidden="false" customHeight="false" outlineLevel="0" collapsed="false">
      <c r="A352" s="37" t="s">
        <v>457</v>
      </c>
      <c r="B352" s="38" t="n">
        <v>46317</v>
      </c>
      <c r="C352" s="37" t="n">
        <v>6</v>
      </c>
      <c r="D352" s="37" t="s">
        <v>37</v>
      </c>
      <c r="E352" s="37" t="s">
        <v>46</v>
      </c>
      <c r="F352" s="37" t="s">
        <v>23</v>
      </c>
      <c r="G352" s="39" t="b">
        <f aca="false">TRUE()</f>
        <v>1</v>
      </c>
      <c r="H352" s="37" t="n">
        <v>665.84</v>
      </c>
      <c r="I352" s="37" t="n">
        <v>5</v>
      </c>
      <c r="J352" s="37" t="n">
        <v>23</v>
      </c>
      <c r="K352" s="37" t="n">
        <v>0</v>
      </c>
      <c r="L352" s="37" t="str">
        <f aca="false">IF(C352="","",IF(C352&lt;=5,"Night (00-05)",IF(C352&lt;=11,"Morning (06-11)",IF(C352&lt;=16,"Afternoon (12-16)",IF(C352&lt;=20,"Evening (17-20)","Late (21-23)")))))</f>
        <v>Morning (06-11)</v>
      </c>
    </row>
    <row r="353" customFormat="false" ht="15" hidden="false" customHeight="false" outlineLevel="0" collapsed="false">
      <c r="A353" s="37" t="s">
        <v>458</v>
      </c>
      <c r="B353" s="38" t="n">
        <v>46316</v>
      </c>
      <c r="C353" s="37" t="n">
        <v>23</v>
      </c>
      <c r="D353" s="37" t="s">
        <v>40</v>
      </c>
      <c r="E353" s="37" t="s">
        <v>48</v>
      </c>
      <c r="F353" s="37" t="s">
        <v>23</v>
      </c>
      <c r="G353" s="39" t="b">
        <f aca="false">TRUE()</f>
        <v>1</v>
      </c>
      <c r="H353" s="37" t="n">
        <v>639.88</v>
      </c>
      <c r="I353" s="37" t="n">
        <v>5</v>
      </c>
      <c r="J353" s="37" t="n">
        <v>42</v>
      </c>
      <c r="K353" s="37" t="n">
        <v>0</v>
      </c>
      <c r="L353" s="37" t="str">
        <f aca="false">IF(C353="","",IF(C353&lt;=5,"Night (00-05)",IF(C353&lt;=11,"Morning (06-11)",IF(C353&lt;=16,"Afternoon (12-16)",IF(C353&lt;=20,"Evening (17-20)","Late (21-23)")))))</f>
        <v>Late (21-23)</v>
      </c>
    </row>
    <row r="354" customFormat="false" ht="15" hidden="false" customHeight="false" outlineLevel="0" collapsed="false">
      <c r="A354" s="37" t="s">
        <v>459</v>
      </c>
      <c r="B354" s="38" t="n">
        <v>46316</v>
      </c>
      <c r="C354" s="37" t="n">
        <v>1</v>
      </c>
      <c r="D354" s="37" t="s">
        <v>37</v>
      </c>
      <c r="E354" s="37" t="s">
        <v>48</v>
      </c>
      <c r="F354" s="37" t="s">
        <v>23</v>
      </c>
      <c r="G354" s="39" t="b">
        <f aca="false">TRUE()</f>
        <v>1</v>
      </c>
      <c r="H354" s="37" t="n">
        <v>817.35</v>
      </c>
      <c r="I354" s="37" t="n">
        <v>4</v>
      </c>
      <c r="J354" s="37" t="n">
        <v>51</v>
      </c>
      <c r="K354" s="37" t="n">
        <v>0</v>
      </c>
      <c r="L354" s="37" t="str">
        <f aca="false">IF(C354="","",IF(C354&lt;=5,"Night (00-05)",IF(C354&lt;=11,"Morning (06-11)",IF(C354&lt;=16,"Afternoon (12-16)",IF(C354&lt;=20,"Evening (17-20)","Late (21-23)")))))</f>
        <v>Night (00-05)</v>
      </c>
    </row>
    <row r="355" customFormat="false" ht="15" hidden="false" customHeight="false" outlineLevel="0" collapsed="false">
      <c r="A355" s="37" t="s">
        <v>460</v>
      </c>
      <c r="B355" s="38" t="n">
        <v>46316</v>
      </c>
      <c r="C355" s="37" t="n">
        <v>22</v>
      </c>
      <c r="D355" s="37" t="s">
        <v>37</v>
      </c>
      <c r="E355" s="37" t="s">
        <v>48</v>
      </c>
      <c r="F355" s="37" t="s">
        <v>23</v>
      </c>
      <c r="G355" s="39" t="b">
        <f aca="false">TRUE()</f>
        <v>1</v>
      </c>
      <c r="H355" s="37" t="n">
        <v>408.96</v>
      </c>
      <c r="I355" s="37" t="n">
        <v>5</v>
      </c>
      <c r="J355" s="37" t="n">
        <v>41</v>
      </c>
      <c r="K355" s="37" t="n">
        <v>0</v>
      </c>
      <c r="L355" s="37" t="str">
        <f aca="false">IF(C355="","",IF(C355&lt;=5,"Night (00-05)",IF(C355&lt;=11,"Morning (06-11)",IF(C355&lt;=16,"Afternoon (12-16)",IF(C355&lt;=20,"Evening (17-20)","Late (21-23)")))))</f>
        <v>Late (21-23)</v>
      </c>
    </row>
    <row r="356" customFormat="false" ht="15" hidden="false" customHeight="false" outlineLevel="0" collapsed="false">
      <c r="A356" s="37" t="s">
        <v>461</v>
      </c>
      <c r="B356" s="38" t="n">
        <v>46317</v>
      </c>
      <c r="C356" s="37" t="n">
        <v>2</v>
      </c>
      <c r="D356" s="37" t="s">
        <v>37</v>
      </c>
      <c r="E356" s="37" t="s">
        <v>46</v>
      </c>
      <c r="F356" s="37" t="s">
        <v>23</v>
      </c>
      <c r="G356" s="39" t="b">
        <f aca="false">TRUE()</f>
        <v>1</v>
      </c>
      <c r="H356" s="37" t="n">
        <v>428.78</v>
      </c>
      <c r="I356" s="37" t="n">
        <v>1</v>
      </c>
      <c r="J356" s="37" t="n">
        <v>94</v>
      </c>
      <c r="K356" s="37" t="n">
        <v>1</v>
      </c>
      <c r="L356" s="37" t="str">
        <f aca="false">IF(C356="","",IF(C356&lt;=5,"Night (00-05)",IF(C356&lt;=11,"Morning (06-11)",IF(C356&lt;=16,"Afternoon (12-16)",IF(C356&lt;=20,"Evening (17-20)","Late (21-23)")))))</f>
        <v>Night (00-05)</v>
      </c>
    </row>
    <row r="357" customFormat="false" ht="15" hidden="false" customHeight="false" outlineLevel="0" collapsed="false">
      <c r="A357" s="37" t="s">
        <v>462</v>
      </c>
      <c r="B357" s="38" t="n">
        <v>46320</v>
      </c>
      <c r="C357" s="37" t="n">
        <v>3</v>
      </c>
      <c r="D357" s="37" t="s">
        <v>39</v>
      </c>
      <c r="E357" s="37" t="s">
        <v>47</v>
      </c>
      <c r="F357" s="37" t="s">
        <v>23</v>
      </c>
      <c r="G357" s="39" t="b">
        <f aca="false">TRUE()</f>
        <v>1</v>
      </c>
      <c r="H357" s="37" t="n">
        <v>433.62</v>
      </c>
      <c r="I357" s="37" t="n">
        <v>5</v>
      </c>
      <c r="J357" s="37" t="n">
        <v>30</v>
      </c>
      <c r="K357" s="37" t="n">
        <v>0</v>
      </c>
      <c r="L357" s="37" t="str">
        <f aca="false">IF(C357="","",IF(C357&lt;=5,"Night (00-05)",IF(C357&lt;=11,"Morning (06-11)",IF(C357&lt;=16,"Afternoon (12-16)",IF(C357&lt;=20,"Evening (17-20)","Late (21-23)")))))</f>
        <v>Night (00-05)</v>
      </c>
    </row>
    <row r="358" customFormat="false" ht="15" hidden="false" customHeight="false" outlineLevel="0" collapsed="false">
      <c r="A358" s="37" t="s">
        <v>463</v>
      </c>
      <c r="B358" s="38" t="n">
        <v>46319</v>
      </c>
      <c r="C358" s="37" t="n">
        <v>2</v>
      </c>
      <c r="D358" s="37" t="s">
        <v>40</v>
      </c>
      <c r="E358" s="37" t="s">
        <v>48</v>
      </c>
      <c r="F358" s="37" t="s">
        <v>23</v>
      </c>
      <c r="G358" s="39" t="b">
        <f aca="false">TRUE()</f>
        <v>1</v>
      </c>
      <c r="H358" s="37" t="n">
        <v>1064.75</v>
      </c>
      <c r="I358" s="37" t="n">
        <v>4</v>
      </c>
      <c r="J358" s="37" t="n">
        <v>42</v>
      </c>
      <c r="K358" s="37" t="n">
        <v>0</v>
      </c>
      <c r="L358" s="37" t="str">
        <f aca="false">IF(C358="","",IF(C358&lt;=5,"Night (00-05)",IF(C358&lt;=11,"Morning (06-11)",IF(C358&lt;=16,"Afternoon (12-16)",IF(C358&lt;=20,"Evening (17-20)","Late (21-23)")))))</f>
        <v>Night (00-05)</v>
      </c>
    </row>
    <row r="359" customFormat="false" ht="15" hidden="false" customHeight="false" outlineLevel="0" collapsed="false">
      <c r="A359" s="37" t="s">
        <v>464</v>
      </c>
      <c r="B359" s="38" t="n">
        <v>46320</v>
      </c>
      <c r="C359" s="37" t="n">
        <v>2</v>
      </c>
      <c r="D359" s="37" t="s">
        <v>40</v>
      </c>
      <c r="E359" s="37" t="s">
        <v>48</v>
      </c>
      <c r="F359" s="37" t="s">
        <v>23</v>
      </c>
      <c r="G359" s="39" t="b">
        <f aca="false">TRUE()</f>
        <v>1</v>
      </c>
      <c r="H359" s="37" t="n">
        <v>641.17</v>
      </c>
      <c r="I359" s="37" t="n">
        <v>5</v>
      </c>
      <c r="J359" s="37" t="n">
        <v>45</v>
      </c>
      <c r="K359" s="37" t="n">
        <v>0</v>
      </c>
      <c r="L359" s="37" t="str">
        <f aca="false">IF(C359="","",IF(C359&lt;=5,"Night (00-05)",IF(C359&lt;=11,"Morning (06-11)",IF(C359&lt;=16,"Afternoon (12-16)",IF(C359&lt;=20,"Evening (17-20)","Late (21-23)")))))</f>
        <v>Night (00-05)</v>
      </c>
    </row>
    <row r="360" customFormat="false" ht="15" hidden="false" customHeight="false" outlineLevel="0" collapsed="false">
      <c r="A360" s="37" t="s">
        <v>465</v>
      </c>
      <c r="B360" s="38" t="n">
        <v>46322</v>
      </c>
      <c r="C360" s="37" t="n">
        <v>5</v>
      </c>
      <c r="D360" s="37" t="s">
        <v>40</v>
      </c>
      <c r="E360" s="37" t="s">
        <v>48</v>
      </c>
      <c r="F360" s="37" t="s">
        <v>23</v>
      </c>
      <c r="G360" s="39" t="b">
        <f aca="false">TRUE()</f>
        <v>1</v>
      </c>
      <c r="H360" s="37" t="n">
        <v>1010.72</v>
      </c>
      <c r="I360" s="37" t="n">
        <v>3</v>
      </c>
      <c r="J360" s="37" t="n">
        <v>51</v>
      </c>
      <c r="K360" s="37" t="n">
        <v>0</v>
      </c>
      <c r="L360" s="37" t="str">
        <f aca="false">IF(C360="","",IF(C360&lt;=5,"Night (00-05)",IF(C360&lt;=11,"Morning (06-11)",IF(C360&lt;=16,"Afternoon (12-16)",IF(C360&lt;=20,"Evening (17-20)","Late (21-23)")))))</f>
        <v>Night (00-05)</v>
      </c>
    </row>
    <row r="361" customFormat="false" ht="15" hidden="false" customHeight="false" outlineLevel="0" collapsed="false">
      <c r="A361" s="37" t="s">
        <v>466</v>
      </c>
      <c r="B361" s="38" t="n">
        <v>46320</v>
      </c>
      <c r="C361" s="37" t="n">
        <v>14</v>
      </c>
      <c r="D361" s="37" t="s">
        <v>37</v>
      </c>
      <c r="E361" s="37" t="s">
        <v>47</v>
      </c>
      <c r="F361" s="37" t="s">
        <v>23</v>
      </c>
      <c r="G361" s="39" t="b">
        <f aca="false">TRUE()</f>
        <v>1</v>
      </c>
      <c r="H361" s="37" t="n">
        <v>809.83</v>
      </c>
      <c r="I361" s="37" t="n">
        <v>4</v>
      </c>
      <c r="J361" s="37" t="n">
        <v>41</v>
      </c>
      <c r="K361" s="37" t="n">
        <v>0</v>
      </c>
      <c r="L361" s="37" t="str">
        <f aca="false">IF(C361="","",IF(C361&lt;=5,"Night (00-05)",IF(C361&lt;=11,"Morning (06-11)",IF(C361&lt;=16,"Afternoon (12-16)",IF(C361&lt;=20,"Evening (17-20)","Late (21-23)")))))</f>
        <v>Afternoon (12-16)</v>
      </c>
    </row>
    <row r="362" customFormat="false" ht="15" hidden="false" customHeight="false" outlineLevel="0" collapsed="false">
      <c r="A362" s="37" t="s">
        <v>467</v>
      </c>
      <c r="B362" s="38" t="n">
        <v>46317</v>
      </c>
      <c r="C362" s="37" t="n">
        <v>17</v>
      </c>
      <c r="D362" s="37" t="s">
        <v>40</v>
      </c>
      <c r="E362" s="37" t="s">
        <v>46</v>
      </c>
      <c r="F362" s="37" t="s">
        <v>23</v>
      </c>
      <c r="G362" s="39" t="b">
        <f aca="false">TRUE()</f>
        <v>1</v>
      </c>
      <c r="H362" s="37" t="n">
        <v>1128.62</v>
      </c>
      <c r="I362" s="37" t="n">
        <v>4</v>
      </c>
      <c r="J362" s="37" t="n">
        <v>23</v>
      </c>
      <c r="K362" s="37" t="n">
        <v>0</v>
      </c>
      <c r="L362" s="37" t="str">
        <f aca="false">IF(C362="","",IF(C362&lt;=5,"Night (00-05)",IF(C362&lt;=11,"Morning (06-11)",IF(C362&lt;=16,"Afternoon (12-16)",IF(C362&lt;=20,"Evening (17-20)","Late (21-23)")))))</f>
        <v>Evening (17-20)</v>
      </c>
    </row>
    <row r="363" customFormat="false" ht="15" hidden="false" customHeight="false" outlineLevel="0" collapsed="false">
      <c r="A363" s="37" t="s">
        <v>468</v>
      </c>
      <c r="B363" s="38" t="n">
        <v>46320</v>
      </c>
      <c r="C363" s="37" t="n">
        <v>20</v>
      </c>
      <c r="D363" s="37" t="s">
        <v>39</v>
      </c>
      <c r="E363" s="37" t="s">
        <v>49</v>
      </c>
      <c r="F363" s="37" t="s">
        <v>23</v>
      </c>
      <c r="G363" s="39" t="b">
        <f aca="false">TRUE()</f>
        <v>1</v>
      </c>
      <c r="H363" s="37" t="n">
        <v>651.71</v>
      </c>
      <c r="I363" s="37" t="n">
        <v>3</v>
      </c>
      <c r="J363" s="37" t="n">
        <v>44</v>
      </c>
      <c r="K363" s="37" t="n">
        <v>0</v>
      </c>
      <c r="L363" s="37" t="str">
        <f aca="false">IF(C363="","",IF(C363&lt;=5,"Night (00-05)",IF(C363&lt;=11,"Morning (06-11)",IF(C363&lt;=16,"Afternoon (12-16)",IF(C363&lt;=20,"Evening (17-20)","Late (21-23)")))))</f>
        <v>Evening (17-20)</v>
      </c>
    </row>
    <row r="364" customFormat="false" ht="15" hidden="false" customHeight="false" outlineLevel="0" collapsed="false">
      <c r="A364" s="37" t="s">
        <v>469</v>
      </c>
      <c r="B364" s="38" t="n">
        <v>46319</v>
      </c>
      <c r="C364" s="37" t="n">
        <v>2</v>
      </c>
      <c r="D364" s="37" t="s">
        <v>37</v>
      </c>
      <c r="E364" s="37" t="s">
        <v>48</v>
      </c>
      <c r="F364" s="37" t="s">
        <v>23</v>
      </c>
      <c r="G364" s="39" t="b">
        <f aca="false">TRUE()</f>
        <v>1</v>
      </c>
      <c r="H364" s="37" t="n">
        <v>624.64</v>
      </c>
      <c r="I364" s="37" t="n">
        <v>4</v>
      </c>
      <c r="J364" s="37" t="n">
        <v>22</v>
      </c>
      <c r="K364" s="37" t="n">
        <v>0</v>
      </c>
      <c r="L364" s="37" t="str">
        <f aca="false">IF(C364="","",IF(C364&lt;=5,"Night (00-05)",IF(C364&lt;=11,"Morning (06-11)",IF(C364&lt;=16,"Afternoon (12-16)",IF(C364&lt;=20,"Evening (17-20)","Late (21-23)")))))</f>
        <v>Night (00-05)</v>
      </c>
    </row>
    <row r="365" customFormat="false" ht="15" hidden="false" customHeight="false" outlineLevel="0" collapsed="false">
      <c r="A365" s="37" t="s">
        <v>470</v>
      </c>
      <c r="B365" s="38" t="n">
        <v>46317</v>
      </c>
      <c r="C365" s="37" t="n">
        <v>17</v>
      </c>
      <c r="D365" s="37" t="s">
        <v>40</v>
      </c>
      <c r="E365" s="37" t="s">
        <v>48</v>
      </c>
      <c r="F365" s="37" t="s">
        <v>23</v>
      </c>
      <c r="G365" s="39" t="b">
        <f aca="false">TRUE()</f>
        <v>1</v>
      </c>
      <c r="H365" s="37" t="n">
        <v>1209.35</v>
      </c>
      <c r="I365" s="37" t="n">
        <v>4</v>
      </c>
      <c r="J365" s="37" t="n">
        <v>24</v>
      </c>
      <c r="K365" s="37" t="n">
        <v>0</v>
      </c>
      <c r="L365" s="37" t="str">
        <f aca="false">IF(C365="","",IF(C365&lt;=5,"Night (00-05)",IF(C365&lt;=11,"Morning (06-11)",IF(C365&lt;=16,"Afternoon (12-16)",IF(C365&lt;=20,"Evening (17-20)","Late (21-23)")))))</f>
        <v>Evening (17-20)</v>
      </c>
    </row>
    <row r="366" customFormat="false" ht="15" hidden="false" customHeight="false" outlineLevel="0" collapsed="false">
      <c r="A366" s="37" t="s">
        <v>471</v>
      </c>
      <c r="B366" s="38" t="n">
        <v>46315</v>
      </c>
      <c r="C366" s="37" t="n">
        <v>18</v>
      </c>
      <c r="D366" s="37" t="s">
        <v>39</v>
      </c>
      <c r="E366" s="37" t="s">
        <v>47</v>
      </c>
      <c r="F366" s="37" t="s">
        <v>23</v>
      </c>
      <c r="G366" s="39" t="b">
        <f aca="false">TRUE()</f>
        <v>1</v>
      </c>
      <c r="H366" s="37" t="n">
        <v>471.53</v>
      </c>
      <c r="I366" s="37" t="n">
        <v>4</v>
      </c>
      <c r="J366" s="37" t="n">
        <v>47</v>
      </c>
      <c r="K366" s="37" t="n">
        <v>0</v>
      </c>
      <c r="L366" s="37" t="str">
        <f aca="false">IF(C366="","",IF(C366&lt;=5,"Night (00-05)",IF(C366&lt;=11,"Morning (06-11)",IF(C366&lt;=16,"Afternoon (12-16)",IF(C366&lt;=20,"Evening (17-20)","Late (21-23)")))))</f>
        <v>Evening (17-20)</v>
      </c>
    </row>
    <row r="367" customFormat="false" ht="15" hidden="false" customHeight="false" outlineLevel="0" collapsed="false">
      <c r="A367" s="37" t="s">
        <v>472</v>
      </c>
      <c r="B367" s="38" t="n">
        <v>46315</v>
      </c>
      <c r="C367" s="37" t="n">
        <v>18</v>
      </c>
      <c r="D367" s="37" t="s">
        <v>40</v>
      </c>
      <c r="E367" s="37" t="s">
        <v>46</v>
      </c>
      <c r="F367" s="37" t="s">
        <v>23</v>
      </c>
      <c r="G367" s="39" t="b">
        <f aca="false">TRUE()</f>
        <v>1</v>
      </c>
      <c r="H367" s="37" t="n">
        <v>736.92</v>
      </c>
      <c r="I367" s="37" t="n">
        <v>5</v>
      </c>
      <c r="J367" s="37" t="n">
        <v>45</v>
      </c>
      <c r="K367" s="37" t="n">
        <v>0</v>
      </c>
      <c r="L367" s="37" t="str">
        <f aca="false">IF(C367="","",IF(C367&lt;=5,"Night (00-05)",IF(C367&lt;=11,"Morning (06-11)",IF(C367&lt;=16,"Afternoon (12-16)",IF(C367&lt;=20,"Evening (17-20)","Late (21-23)")))))</f>
        <v>Evening (17-20)</v>
      </c>
    </row>
    <row r="368" customFormat="false" ht="15" hidden="false" customHeight="false" outlineLevel="0" collapsed="false">
      <c r="A368" s="37" t="s">
        <v>473</v>
      </c>
      <c r="B368" s="38" t="n">
        <v>46321</v>
      </c>
      <c r="C368" s="37" t="n">
        <v>22</v>
      </c>
      <c r="D368" s="37" t="s">
        <v>38</v>
      </c>
      <c r="E368" s="37" t="s">
        <v>49</v>
      </c>
      <c r="F368" s="37" t="s">
        <v>23</v>
      </c>
      <c r="G368" s="39" t="b">
        <f aca="false">TRUE()</f>
        <v>1</v>
      </c>
      <c r="H368" s="37" t="n">
        <v>860.34</v>
      </c>
      <c r="I368" s="37" t="n">
        <v>4</v>
      </c>
      <c r="J368" s="37" t="n">
        <v>50</v>
      </c>
      <c r="K368" s="37" t="n">
        <v>0</v>
      </c>
      <c r="L368" s="37" t="str">
        <f aca="false">IF(C368="","",IF(C368&lt;=5,"Night (00-05)",IF(C368&lt;=11,"Morning (06-11)",IF(C368&lt;=16,"Afternoon (12-16)",IF(C368&lt;=20,"Evening (17-20)","Late (21-23)")))))</f>
        <v>Late (21-23)</v>
      </c>
    </row>
    <row r="369" customFormat="false" ht="15" hidden="false" customHeight="false" outlineLevel="0" collapsed="false">
      <c r="A369" s="37" t="s">
        <v>474</v>
      </c>
      <c r="B369" s="38" t="n">
        <v>46315</v>
      </c>
      <c r="C369" s="37" t="n">
        <v>17</v>
      </c>
      <c r="D369" s="37" t="s">
        <v>38</v>
      </c>
      <c r="E369" s="37" t="s">
        <v>49</v>
      </c>
      <c r="F369" s="37" t="s">
        <v>23</v>
      </c>
      <c r="G369" s="39" t="b">
        <f aca="false">TRUE()</f>
        <v>1</v>
      </c>
      <c r="H369" s="37" t="n">
        <v>1389.64</v>
      </c>
      <c r="I369" s="37" t="n">
        <v>4</v>
      </c>
      <c r="J369" s="37" t="n">
        <v>45</v>
      </c>
      <c r="K369" s="37" t="n">
        <v>0</v>
      </c>
      <c r="L369" s="37" t="str">
        <f aca="false">IF(C369="","",IF(C369&lt;=5,"Night (00-05)",IF(C369&lt;=11,"Morning (06-11)",IF(C369&lt;=16,"Afternoon (12-16)",IF(C369&lt;=20,"Evening (17-20)","Late (21-23)")))))</f>
        <v>Evening (17-20)</v>
      </c>
    </row>
    <row r="370" customFormat="false" ht="15" hidden="false" customHeight="false" outlineLevel="0" collapsed="false">
      <c r="A370" s="37" t="s">
        <v>475</v>
      </c>
      <c r="B370" s="38" t="n">
        <v>46320</v>
      </c>
      <c r="C370" s="37" t="n">
        <v>17</v>
      </c>
      <c r="D370" s="37" t="s">
        <v>39</v>
      </c>
      <c r="E370" s="37" t="s">
        <v>48</v>
      </c>
      <c r="F370" s="37" t="s">
        <v>23</v>
      </c>
      <c r="G370" s="39" t="b">
        <f aca="false">TRUE()</f>
        <v>1</v>
      </c>
      <c r="H370" s="37" t="n">
        <v>447.41</v>
      </c>
      <c r="I370" s="37" t="n">
        <v>4</v>
      </c>
      <c r="J370" s="37" t="n">
        <v>31</v>
      </c>
      <c r="K370" s="37" t="n">
        <v>0</v>
      </c>
      <c r="L370" s="37" t="str">
        <f aca="false">IF(C370="","",IF(C370&lt;=5,"Night (00-05)",IF(C370&lt;=11,"Morning (06-11)",IF(C370&lt;=16,"Afternoon (12-16)",IF(C370&lt;=20,"Evening (17-20)","Late (21-23)")))))</f>
        <v>Evening (17-20)</v>
      </c>
    </row>
    <row r="371" customFormat="false" ht="15" hidden="false" customHeight="false" outlineLevel="0" collapsed="false">
      <c r="A371" s="37" t="s">
        <v>476</v>
      </c>
      <c r="B371" s="38" t="n">
        <v>46317</v>
      </c>
      <c r="C371" s="37" t="n">
        <v>20</v>
      </c>
      <c r="D371" s="37" t="s">
        <v>40</v>
      </c>
      <c r="E371" s="37" t="s">
        <v>47</v>
      </c>
      <c r="F371" s="37" t="s">
        <v>23</v>
      </c>
      <c r="G371" s="39" t="b">
        <f aca="false">TRUE()</f>
        <v>1</v>
      </c>
      <c r="H371" s="37" t="n">
        <v>619.9</v>
      </c>
      <c r="I371" s="37" t="n">
        <v>3</v>
      </c>
      <c r="J371" s="37" t="n">
        <v>26</v>
      </c>
      <c r="K371" s="37" t="n">
        <v>0</v>
      </c>
      <c r="L371" s="37" t="str">
        <f aca="false">IF(C371="","",IF(C371&lt;=5,"Night (00-05)",IF(C371&lt;=11,"Morning (06-11)",IF(C371&lt;=16,"Afternoon (12-16)",IF(C371&lt;=20,"Evening (17-20)","Late (21-23)")))))</f>
        <v>Evening (17-20)</v>
      </c>
    </row>
    <row r="372" customFormat="false" ht="15" hidden="false" customHeight="false" outlineLevel="0" collapsed="false">
      <c r="A372" s="37" t="s">
        <v>477</v>
      </c>
      <c r="B372" s="38" t="n">
        <v>46318</v>
      </c>
      <c r="C372" s="37" t="n">
        <v>2</v>
      </c>
      <c r="D372" s="37" t="s">
        <v>37</v>
      </c>
      <c r="E372" s="37" t="s">
        <v>47</v>
      </c>
      <c r="F372" s="37" t="s">
        <v>23</v>
      </c>
      <c r="G372" s="39" t="b">
        <f aca="false">TRUE()</f>
        <v>1</v>
      </c>
      <c r="H372" s="37" t="n">
        <v>819.4</v>
      </c>
      <c r="I372" s="37" t="n">
        <v>5</v>
      </c>
      <c r="J372" s="37" t="n">
        <v>46</v>
      </c>
      <c r="K372" s="37" t="n">
        <v>0</v>
      </c>
      <c r="L372" s="37" t="str">
        <f aca="false">IF(C372="","",IF(C372&lt;=5,"Night (00-05)",IF(C372&lt;=11,"Morning (06-11)",IF(C372&lt;=16,"Afternoon (12-16)",IF(C372&lt;=20,"Evening (17-20)","Late (21-23)")))))</f>
        <v>Night (00-05)</v>
      </c>
    </row>
    <row r="373" customFormat="false" ht="15" hidden="false" customHeight="false" outlineLevel="0" collapsed="false">
      <c r="A373" s="37" t="s">
        <v>478</v>
      </c>
      <c r="B373" s="38" t="n">
        <v>46321</v>
      </c>
      <c r="C373" s="37" t="n">
        <v>3</v>
      </c>
      <c r="D373" s="37" t="s">
        <v>37</v>
      </c>
      <c r="E373" s="37" t="s">
        <v>49</v>
      </c>
      <c r="F373" s="37" t="s">
        <v>23</v>
      </c>
      <c r="G373" s="39" t="b">
        <f aca="false">TRUE()</f>
        <v>1</v>
      </c>
      <c r="H373" s="37" t="n">
        <v>548.43</v>
      </c>
      <c r="I373" s="37" t="n">
        <v>4</v>
      </c>
      <c r="J373" s="37" t="n">
        <v>22</v>
      </c>
      <c r="K373" s="37" t="n">
        <v>0</v>
      </c>
      <c r="L373" s="37" t="str">
        <f aca="false">IF(C373="","",IF(C373&lt;=5,"Night (00-05)",IF(C373&lt;=11,"Morning (06-11)",IF(C373&lt;=16,"Afternoon (12-16)",IF(C373&lt;=20,"Evening (17-20)","Late (21-23)")))))</f>
        <v>Night (00-05)</v>
      </c>
    </row>
    <row r="374" customFormat="false" ht="15" hidden="false" customHeight="false" outlineLevel="0" collapsed="false">
      <c r="A374" s="37" t="s">
        <v>479</v>
      </c>
      <c r="B374" s="38" t="n">
        <v>46320</v>
      </c>
      <c r="C374" s="37" t="n">
        <v>2</v>
      </c>
      <c r="D374" s="37" t="s">
        <v>37</v>
      </c>
      <c r="E374" s="37" t="s">
        <v>47</v>
      </c>
      <c r="F374" s="37" t="s">
        <v>23</v>
      </c>
      <c r="G374" s="39" t="b">
        <f aca="false">TRUE()</f>
        <v>1</v>
      </c>
      <c r="H374" s="37" t="n">
        <v>873.63</v>
      </c>
      <c r="I374" s="37" t="n">
        <v>5</v>
      </c>
      <c r="J374" s="37" t="n">
        <v>30</v>
      </c>
      <c r="K374" s="37" t="n">
        <v>0</v>
      </c>
      <c r="L374" s="37" t="str">
        <f aca="false">IF(C374="","",IF(C374&lt;=5,"Night (00-05)",IF(C374&lt;=11,"Morning (06-11)",IF(C374&lt;=16,"Afternoon (12-16)",IF(C374&lt;=20,"Evening (17-20)","Late (21-23)")))))</f>
        <v>Night (00-05)</v>
      </c>
    </row>
    <row r="375" customFormat="false" ht="15" hidden="false" customHeight="false" outlineLevel="0" collapsed="false">
      <c r="A375" s="37" t="s">
        <v>480</v>
      </c>
      <c r="B375" s="38" t="n">
        <v>46321</v>
      </c>
      <c r="C375" s="37" t="n">
        <v>16</v>
      </c>
      <c r="D375" s="37" t="s">
        <v>38</v>
      </c>
      <c r="E375" s="37" t="s">
        <v>49</v>
      </c>
      <c r="F375" s="37" t="s">
        <v>23</v>
      </c>
      <c r="G375" s="39" t="b">
        <f aca="false">TRUE()</f>
        <v>1</v>
      </c>
      <c r="H375" s="37" t="n">
        <v>940.34</v>
      </c>
      <c r="I375" s="37" t="n">
        <v>5</v>
      </c>
      <c r="J375" s="37" t="n">
        <v>29</v>
      </c>
      <c r="K375" s="37" t="n">
        <v>0</v>
      </c>
      <c r="L375" s="37" t="str">
        <f aca="false">IF(C375="","",IF(C375&lt;=5,"Night (00-05)",IF(C375&lt;=11,"Morning (06-11)",IF(C375&lt;=16,"Afternoon (12-16)",IF(C375&lt;=20,"Evening (17-20)","Late (21-23)")))))</f>
        <v>Afternoon (12-16)</v>
      </c>
    </row>
    <row r="376" customFormat="false" ht="15" hidden="false" customHeight="false" outlineLevel="0" collapsed="false">
      <c r="A376" s="37" t="s">
        <v>481</v>
      </c>
      <c r="B376" s="38" t="n">
        <v>46317</v>
      </c>
      <c r="C376" s="37" t="n">
        <v>18</v>
      </c>
      <c r="D376" s="37" t="s">
        <v>38</v>
      </c>
      <c r="E376" s="37" t="s">
        <v>47</v>
      </c>
      <c r="F376" s="37" t="s">
        <v>23</v>
      </c>
      <c r="G376" s="39" t="b">
        <f aca="false">TRUE()</f>
        <v>1</v>
      </c>
      <c r="H376" s="37" t="n">
        <v>1070.67</v>
      </c>
      <c r="I376" s="37" t="n">
        <v>5</v>
      </c>
      <c r="J376" s="37" t="n">
        <v>40</v>
      </c>
      <c r="K376" s="37" t="n">
        <v>0</v>
      </c>
      <c r="L376" s="37" t="str">
        <f aca="false">IF(C376="","",IF(C376&lt;=5,"Night (00-05)",IF(C376&lt;=11,"Morning (06-11)",IF(C376&lt;=16,"Afternoon (12-16)",IF(C376&lt;=20,"Evening (17-20)","Late (21-23)")))))</f>
        <v>Evening (17-20)</v>
      </c>
    </row>
    <row r="377" customFormat="false" ht="15" hidden="false" customHeight="false" outlineLevel="0" collapsed="false">
      <c r="A377" s="37" t="s">
        <v>482</v>
      </c>
      <c r="B377" s="38" t="n">
        <v>46319</v>
      </c>
      <c r="C377" s="37" t="n">
        <v>21</v>
      </c>
      <c r="D377" s="37" t="s">
        <v>39</v>
      </c>
      <c r="E377" s="37" t="s">
        <v>47</v>
      </c>
      <c r="F377" s="37" t="s">
        <v>23</v>
      </c>
      <c r="G377" s="39" t="b">
        <f aca="false">TRUE()</f>
        <v>1</v>
      </c>
      <c r="H377" s="37" t="n">
        <v>464.78</v>
      </c>
      <c r="I377" s="37" t="n">
        <v>5</v>
      </c>
      <c r="J377" s="37" t="n">
        <v>26</v>
      </c>
      <c r="K377" s="37" t="n">
        <v>0</v>
      </c>
      <c r="L377" s="37" t="str">
        <f aca="false">IF(C377="","",IF(C377&lt;=5,"Night (00-05)",IF(C377&lt;=11,"Morning (06-11)",IF(C377&lt;=16,"Afternoon (12-16)",IF(C377&lt;=20,"Evening (17-20)","Late (21-23)")))))</f>
        <v>Late (21-23)</v>
      </c>
    </row>
    <row r="378" customFormat="false" ht="15" hidden="false" customHeight="false" outlineLevel="0" collapsed="false">
      <c r="A378" s="37" t="s">
        <v>483</v>
      </c>
      <c r="B378" s="38" t="n">
        <v>46320</v>
      </c>
      <c r="C378" s="37" t="n">
        <v>2</v>
      </c>
      <c r="D378" s="37" t="s">
        <v>40</v>
      </c>
      <c r="E378" s="37" t="s">
        <v>49</v>
      </c>
      <c r="F378" s="37" t="s">
        <v>23</v>
      </c>
      <c r="G378" s="39" t="b">
        <f aca="false">TRUE()</f>
        <v>1</v>
      </c>
      <c r="H378" s="37" t="n">
        <v>710.31</v>
      </c>
      <c r="I378" s="37" t="n">
        <v>2</v>
      </c>
      <c r="J378" s="37" t="n">
        <v>50</v>
      </c>
      <c r="K378" s="37" t="n">
        <v>0</v>
      </c>
      <c r="L378" s="37" t="str">
        <f aca="false">IF(C378="","",IF(C378&lt;=5,"Night (00-05)",IF(C378&lt;=11,"Morning (06-11)",IF(C378&lt;=16,"Afternoon (12-16)",IF(C378&lt;=20,"Evening (17-20)","Late (21-23)")))))</f>
        <v>Night (00-05)</v>
      </c>
    </row>
    <row r="379" customFormat="false" ht="15" hidden="false" customHeight="false" outlineLevel="0" collapsed="false">
      <c r="A379" s="37" t="s">
        <v>484</v>
      </c>
      <c r="B379" s="38" t="n">
        <v>46317</v>
      </c>
      <c r="C379" s="37" t="n">
        <v>20</v>
      </c>
      <c r="D379" s="37" t="s">
        <v>39</v>
      </c>
      <c r="E379" s="37" t="s">
        <v>47</v>
      </c>
      <c r="F379" s="37" t="s">
        <v>23</v>
      </c>
      <c r="G379" s="39" t="b">
        <f aca="false">TRUE()</f>
        <v>1</v>
      </c>
      <c r="H379" s="37" t="n">
        <v>457.32</v>
      </c>
      <c r="I379" s="37" t="n">
        <v>2</v>
      </c>
      <c r="J379" s="37" t="n">
        <v>35</v>
      </c>
      <c r="K379" s="37" t="n">
        <v>0</v>
      </c>
      <c r="L379" s="37" t="str">
        <f aca="false">IF(C379="","",IF(C379&lt;=5,"Night (00-05)",IF(C379&lt;=11,"Morning (06-11)",IF(C379&lt;=16,"Afternoon (12-16)",IF(C379&lt;=20,"Evening (17-20)","Late (21-23)")))))</f>
        <v>Evening (17-20)</v>
      </c>
    </row>
    <row r="380" customFormat="false" ht="15" hidden="false" customHeight="false" outlineLevel="0" collapsed="false">
      <c r="A380" s="37" t="s">
        <v>485</v>
      </c>
      <c r="B380" s="38" t="n">
        <v>46319</v>
      </c>
      <c r="C380" s="37" t="n">
        <v>4</v>
      </c>
      <c r="D380" s="37" t="s">
        <v>38</v>
      </c>
      <c r="E380" s="37" t="s">
        <v>46</v>
      </c>
      <c r="F380" s="37" t="s">
        <v>23</v>
      </c>
      <c r="G380" s="39" t="b">
        <f aca="false">FALSE()</f>
        <v>0</v>
      </c>
      <c r="H380" s="37" t="n">
        <v>1371.17</v>
      </c>
      <c r="I380" s="37" t="n">
        <v>4</v>
      </c>
      <c r="J380" s="37" t="n">
        <v>76</v>
      </c>
      <c r="K380" s="37" t="n">
        <v>1</v>
      </c>
      <c r="L380" s="37" t="str">
        <f aca="false">IF(C380="","",IF(C380&lt;=5,"Night (00-05)",IF(C380&lt;=11,"Morning (06-11)",IF(C380&lt;=16,"Afternoon (12-16)",IF(C380&lt;=20,"Evening (17-20)","Late (21-23)")))))</f>
        <v>Night (00-05)</v>
      </c>
    </row>
    <row r="381" customFormat="false" ht="15" hidden="false" customHeight="false" outlineLevel="0" collapsed="false">
      <c r="A381" s="37" t="s">
        <v>486</v>
      </c>
      <c r="B381" s="38" t="n">
        <v>46320</v>
      </c>
      <c r="C381" s="37" t="n">
        <v>15</v>
      </c>
      <c r="D381" s="37" t="s">
        <v>37</v>
      </c>
      <c r="E381" s="37" t="s">
        <v>46</v>
      </c>
      <c r="F381" s="37" t="s">
        <v>23</v>
      </c>
      <c r="G381" s="39" t="b">
        <f aca="false">TRUE()</f>
        <v>1</v>
      </c>
      <c r="H381" s="37" t="n">
        <v>886.11</v>
      </c>
      <c r="I381" s="37" t="n">
        <v>4</v>
      </c>
      <c r="J381" s="37" t="n">
        <v>40</v>
      </c>
      <c r="K381" s="37" t="n">
        <v>0</v>
      </c>
      <c r="L381" s="37" t="str">
        <f aca="false">IF(C381="","",IF(C381&lt;=5,"Night (00-05)",IF(C381&lt;=11,"Morning (06-11)",IF(C381&lt;=16,"Afternoon (12-16)",IF(C381&lt;=20,"Evening (17-20)","Late (21-23)")))))</f>
        <v>Afternoon (12-16)</v>
      </c>
    </row>
    <row r="382" customFormat="false" ht="15" hidden="false" customHeight="false" outlineLevel="0" collapsed="false">
      <c r="A382" s="37" t="s">
        <v>487</v>
      </c>
      <c r="B382" s="38" t="n">
        <v>46319</v>
      </c>
      <c r="C382" s="37" t="n">
        <v>0</v>
      </c>
      <c r="D382" s="37" t="s">
        <v>39</v>
      </c>
      <c r="E382" s="37" t="s">
        <v>48</v>
      </c>
      <c r="F382" s="37" t="s">
        <v>23</v>
      </c>
      <c r="G382" s="39" t="b">
        <f aca="false">TRUE()</f>
        <v>1</v>
      </c>
      <c r="H382" s="37" t="n">
        <v>664.37</v>
      </c>
      <c r="I382" s="37" t="n">
        <v>5</v>
      </c>
      <c r="J382" s="37" t="n">
        <v>51</v>
      </c>
      <c r="K382" s="37" t="n">
        <v>0</v>
      </c>
      <c r="L382" s="37" t="str">
        <f aca="false">IF(C382="","",IF(C382&lt;=5,"Night (00-05)",IF(C382&lt;=11,"Morning (06-11)",IF(C382&lt;=16,"Afternoon (12-16)",IF(C382&lt;=20,"Evening (17-20)","Late (21-23)")))))</f>
        <v>Night (00-05)</v>
      </c>
    </row>
    <row r="383" customFormat="false" ht="15" hidden="false" customHeight="false" outlineLevel="0" collapsed="false">
      <c r="A383" s="37" t="s">
        <v>488</v>
      </c>
      <c r="B383" s="38" t="n">
        <v>46321</v>
      </c>
      <c r="C383" s="37" t="n">
        <v>19</v>
      </c>
      <c r="D383" s="37" t="s">
        <v>37</v>
      </c>
      <c r="E383" s="37" t="s">
        <v>47</v>
      </c>
      <c r="F383" s="37" t="s">
        <v>23</v>
      </c>
      <c r="G383" s="39" t="b">
        <f aca="false">TRUE()</f>
        <v>1</v>
      </c>
      <c r="H383" s="37" t="n">
        <v>554.56</v>
      </c>
      <c r="I383" s="37" t="n">
        <v>5</v>
      </c>
      <c r="J383" s="37" t="n">
        <v>28</v>
      </c>
      <c r="K383" s="37" t="n">
        <v>0</v>
      </c>
      <c r="L383" s="37" t="str">
        <f aca="false">IF(C383="","",IF(C383&lt;=5,"Night (00-05)",IF(C383&lt;=11,"Morning (06-11)",IF(C383&lt;=16,"Afternoon (12-16)",IF(C383&lt;=20,"Evening (17-20)","Late (21-23)")))))</f>
        <v>Evening (17-20)</v>
      </c>
    </row>
    <row r="384" customFormat="false" ht="15" hidden="false" customHeight="false" outlineLevel="0" collapsed="false">
      <c r="A384" s="37" t="s">
        <v>489</v>
      </c>
      <c r="B384" s="38" t="n">
        <v>46320</v>
      </c>
      <c r="C384" s="37" t="n">
        <v>3</v>
      </c>
      <c r="D384" s="37" t="s">
        <v>37</v>
      </c>
      <c r="E384" s="37" t="s">
        <v>48</v>
      </c>
      <c r="F384" s="37" t="s">
        <v>23</v>
      </c>
      <c r="G384" s="39" t="b">
        <f aca="false">TRUE()</f>
        <v>1</v>
      </c>
      <c r="H384" s="37" t="n">
        <v>817.49</v>
      </c>
      <c r="I384" s="37" t="n">
        <v>3</v>
      </c>
      <c r="J384" s="37" t="n">
        <v>49</v>
      </c>
      <c r="K384" s="37" t="n">
        <v>0</v>
      </c>
      <c r="L384" s="37" t="str">
        <f aca="false">IF(C384="","",IF(C384&lt;=5,"Night (00-05)",IF(C384&lt;=11,"Morning (06-11)",IF(C384&lt;=16,"Afternoon (12-16)",IF(C384&lt;=20,"Evening (17-20)","Late (21-23)")))))</f>
        <v>Night (00-05)</v>
      </c>
    </row>
    <row r="385" customFormat="false" ht="15" hidden="false" customHeight="false" outlineLevel="0" collapsed="false">
      <c r="A385" s="37" t="s">
        <v>490</v>
      </c>
      <c r="B385" s="38" t="n">
        <v>46318</v>
      </c>
      <c r="C385" s="37" t="n">
        <v>1</v>
      </c>
      <c r="D385" s="37" t="s">
        <v>39</v>
      </c>
      <c r="E385" s="37" t="s">
        <v>49</v>
      </c>
      <c r="F385" s="37" t="s">
        <v>23</v>
      </c>
      <c r="G385" s="39" t="b">
        <f aca="false">TRUE()</f>
        <v>1</v>
      </c>
      <c r="H385" s="37" t="n">
        <v>553.16</v>
      </c>
      <c r="I385" s="37" t="n">
        <v>4</v>
      </c>
      <c r="J385" s="37" t="n">
        <v>21</v>
      </c>
      <c r="K385" s="37" t="n">
        <v>0</v>
      </c>
      <c r="L385" s="37" t="str">
        <f aca="false">IF(C385="","",IF(C385&lt;=5,"Night (00-05)",IF(C385&lt;=11,"Morning (06-11)",IF(C385&lt;=16,"Afternoon (12-16)",IF(C385&lt;=20,"Evening (17-20)","Late (21-23)")))))</f>
        <v>Night (00-05)</v>
      </c>
    </row>
    <row r="386" customFormat="false" ht="15" hidden="false" customHeight="false" outlineLevel="0" collapsed="false">
      <c r="A386" s="37" t="s">
        <v>491</v>
      </c>
      <c r="B386" s="38" t="n">
        <v>46318</v>
      </c>
      <c r="C386" s="37" t="n">
        <v>23</v>
      </c>
      <c r="D386" s="37" t="s">
        <v>39</v>
      </c>
      <c r="E386" s="37" t="s">
        <v>46</v>
      </c>
      <c r="F386" s="37" t="s">
        <v>23</v>
      </c>
      <c r="G386" s="39" t="b">
        <f aca="false">TRUE()</f>
        <v>1</v>
      </c>
      <c r="H386" s="37" t="n">
        <v>436.7</v>
      </c>
      <c r="I386" s="37" t="n">
        <v>5</v>
      </c>
      <c r="J386" s="37" t="n">
        <v>36</v>
      </c>
      <c r="K386" s="37" t="n">
        <v>0</v>
      </c>
      <c r="L386" s="37" t="str">
        <f aca="false">IF(C386="","",IF(C386&lt;=5,"Night (00-05)",IF(C386&lt;=11,"Morning (06-11)",IF(C386&lt;=16,"Afternoon (12-16)",IF(C386&lt;=20,"Evening (17-20)","Late (21-23)")))))</f>
        <v>Late (21-23)</v>
      </c>
    </row>
    <row r="387" customFormat="false" ht="15" hidden="false" customHeight="false" outlineLevel="0" collapsed="false">
      <c r="A387" s="37" t="s">
        <v>492</v>
      </c>
      <c r="B387" s="38" t="n">
        <v>46320</v>
      </c>
      <c r="C387" s="37" t="n">
        <v>15</v>
      </c>
      <c r="D387" s="37" t="s">
        <v>38</v>
      </c>
      <c r="E387" s="37" t="s">
        <v>48</v>
      </c>
      <c r="F387" s="37" t="s">
        <v>23</v>
      </c>
      <c r="G387" s="39" t="b">
        <f aca="false">TRUE()</f>
        <v>1</v>
      </c>
      <c r="H387" s="37" t="n">
        <v>1396.67</v>
      </c>
      <c r="I387" s="37" t="n">
        <v>5</v>
      </c>
      <c r="J387" s="37" t="n">
        <v>33</v>
      </c>
      <c r="K387" s="37" t="n">
        <v>0</v>
      </c>
      <c r="L387" s="37" t="str">
        <f aca="false">IF(C387="","",IF(C387&lt;=5,"Night (00-05)",IF(C387&lt;=11,"Morning (06-11)",IF(C387&lt;=16,"Afternoon (12-16)",IF(C387&lt;=20,"Evening (17-20)","Late (21-23)")))))</f>
        <v>Afternoon (12-16)</v>
      </c>
    </row>
    <row r="388" customFormat="false" ht="15" hidden="false" customHeight="false" outlineLevel="0" collapsed="false">
      <c r="A388" s="37" t="s">
        <v>493</v>
      </c>
      <c r="B388" s="38" t="n">
        <v>46320</v>
      </c>
      <c r="C388" s="37" t="n">
        <v>17</v>
      </c>
      <c r="D388" s="37" t="s">
        <v>39</v>
      </c>
      <c r="E388" s="37" t="s">
        <v>47</v>
      </c>
      <c r="F388" s="37" t="s">
        <v>129</v>
      </c>
      <c r="G388" s="39" t="b">
        <f aca="false">FALSE()</f>
        <v>0</v>
      </c>
      <c r="H388" s="37" t="n">
        <v>644.85</v>
      </c>
      <c r="K388" s="37" t="n">
        <v>0</v>
      </c>
      <c r="L388" s="37" t="str">
        <f aca="false">IF(C388="","",IF(C388&lt;=5,"Night (00-05)",IF(C388&lt;=11,"Morning (06-11)",IF(C388&lt;=16,"Afternoon (12-16)",IF(C388&lt;=20,"Evening (17-20)","Late (21-23)")))))</f>
        <v>Evening (17-20)</v>
      </c>
    </row>
    <row r="389" customFormat="false" ht="15" hidden="false" customHeight="false" outlineLevel="0" collapsed="false">
      <c r="A389" s="37" t="s">
        <v>494</v>
      </c>
      <c r="B389" s="38" t="n">
        <v>46320</v>
      </c>
      <c r="C389" s="37" t="n">
        <v>9</v>
      </c>
      <c r="D389" s="37" t="s">
        <v>37</v>
      </c>
      <c r="E389" s="37" t="s">
        <v>47</v>
      </c>
      <c r="F389" s="37" t="s">
        <v>23</v>
      </c>
      <c r="G389" s="39" t="b">
        <f aca="false">TRUE()</f>
        <v>1</v>
      </c>
      <c r="H389" s="37" t="n">
        <v>510.89</v>
      </c>
      <c r="I389" s="37" t="n">
        <v>5</v>
      </c>
      <c r="J389" s="37" t="n">
        <v>39</v>
      </c>
      <c r="K389" s="37" t="n">
        <v>0</v>
      </c>
      <c r="L389" s="37" t="str">
        <f aca="false">IF(C389="","",IF(C389&lt;=5,"Night (00-05)",IF(C389&lt;=11,"Morning (06-11)",IF(C389&lt;=16,"Afternoon (12-16)",IF(C389&lt;=20,"Evening (17-20)","Late (21-23)")))))</f>
        <v>Morning (06-11)</v>
      </c>
    </row>
    <row r="390" customFormat="false" ht="15" hidden="false" customHeight="false" outlineLevel="0" collapsed="false">
      <c r="A390" s="37" t="s">
        <v>495</v>
      </c>
      <c r="B390" s="38" t="n">
        <v>46321</v>
      </c>
      <c r="C390" s="37" t="n">
        <v>0</v>
      </c>
      <c r="D390" s="37" t="s">
        <v>39</v>
      </c>
      <c r="E390" s="37" t="s">
        <v>46</v>
      </c>
      <c r="F390" s="37" t="s">
        <v>23</v>
      </c>
      <c r="G390" s="39" t="b">
        <f aca="false">TRUE()</f>
        <v>1</v>
      </c>
      <c r="H390" s="37" t="n">
        <v>482.6</v>
      </c>
      <c r="I390" s="37" t="n">
        <v>5</v>
      </c>
      <c r="J390" s="37" t="n">
        <v>39</v>
      </c>
      <c r="K390" s="37" t="n">
        <v>0</v>
      </c>
      <c r="L390" s="37" t="str">
        <f aca="false">IF(C390="","",IF(C390&lt;=5,"Night (00-05)",IF(C390&lt;=11,"Morning (06-11)",IF(C390&lt;=16,"Afternoon (12-16)",IF(C390&lt;=20,"Evening (17-20)","Late (21-23)")))))</f>
        <v>Night (00-05)</v>
      </c>
    </row>
    <row r="391" customFormat="false" ht="15" hidden="false" customHeight="false" outlineLevel="0" collapsed="false">
      <c r="A391" s="37" t="s">
        <v>496</v>
      </c>
      <c r="B391" s="38" t="n">
        <v>46322</v>
      </c>
      <c r="C391" s="37" t="n">
        <v>0</v>
      </c>
      <c r="D391" s="37" t="s">
        <v>38</v>
      </c>
      <c r="E391" s="37" t="s">
        <v>46</v>
      </c>
      <c r="F391" s="37" t="s">
        <v>23</v>
      </c>
      <c r="G391" s="39" t="b">
        <f aca="false">TRUE()</f>
        <v>1</v>
      </c>
      <c r="H391" s="37" t="n">
        <v>1192.02</v>
      </c>
      <c r="I391" s="37" t="n">
        <v>4</v>
      </c>
      <c r="J391" s="37" t="n">
        <v>38</v>
      </c>
      <c r="K391" s="37" t="n">
        <v>0</v>
      </c>
      <c r="L391" s="37" t="str">
        <f aca="false">IF(C391="","",IF(C391&lt;=5,"Night (00-05)",IF(C391&lt;=11,"Morning (06-11)",IF(C391&lt;=16,"Afternoon (12-16)",IF(C391&lt;=20,"Evening (17-20)","Late (21-23)")))))</f>
        <v>Night (00-05)</v>
      </c>
    </row>
    <row r="392" customFormat="false" ht="15" hidden="false" customHeight="false" outlineLevel="0" collapsed="false">
      <c r="A392" s="37" t="s">
        <v>497</v>
      </c>
      <c r="B392" s="38" t="n">
        <v>46315</v>
      </c>
      <c r="C392" s="37" t="n">
        <v>21</v>
      </c>
      <c r="D392" s="37" t="s">
        <v>40</v>
      </c>
      <c r="E392" s="37" t="s">
        <v>46</v>
      </c>
      <c r="F392" s="37" t="s">
        <v>23</v>
      </c>
      <c r="G392" s="39" t="b">
        <f aca="false">TRUE()</f>
        <v>1</v>
      </c>
      <c r="H392" s="37" t="n">
        <v>707.92</v>
      </c>
      <c r="I392" s="37" t="n">
        <v>4</v>
      </c>
      <c r="J392" s="37" t="n">
        <v>39</v>
      </c>
      <c r="K392" s="37" t="n">
        <v>0</v>
      </c>
      <c r="L392" s="37" t="str">
        <f aca="false">IF(C392="","",IF(C392&lt;=5,"Night (00-05)",IF(C392&lt;=11,"Morning (06-11)",IF(C392&lt;=16,"Afternoon (12-16)",IF(C392&lt;=20,"Evening (17-20)","Late (21-23)")))))</f>
        <v>Late (21-23)</v>
      </c>
    </row>
    <row r="393" customFormat="false" ht="15" hidden="false" customHeight="false" outlineLevel="0" collapsed="false">
      <c r="A393" s="37" t="s">
        <v>498</v>
      </c>
      <c r="B393" s="38" t="n">
        <v>46320</v>
      </c>
      <c r="C393" s="37" t="n">
        <v>2</v>
      </c>
      <c r="D393" s="37" t="s">
        <v>39</v>
      </c>
      <c r="E393" s="37" t="s">
        <v>46</v>
      </c>
      <c r="F393" s="37" t="s">
        <v>113</v>
      </c>
      <c r="G393" s="39" t="b">
        <f aca="false">FALSE()</f>
        <v>0</v>
      </c>
      <c r="H393" s="37" t="n">
        <v>571.3</v>
      </c>
      <c r="K393" s="37" t="n">
        <v>0</v>
      </c>
      <c r="L393" s="37" t="str">
        <f aca="false">IF(C393="","",IF(C393&lt;=5,"Night (00-05)",IF(C393&lt;=11,"Morning (06-11)",IF(C393&lt;=16,"Afternoon (12-16)",IF(C393&lt;=20,"Evening (17-20)","Late (21-23)")))))</f>
        <v>Night (00-05)</v>
      </c>
    </row>
    <row r="394" customFormat="false" ht="15" hidden="false" customHeight="false" outlineLevel="0" collapsed="false">
      <c r="A394" s="37" t="s">
        <v>499</v>
      </c>
      <c r="B394" s="38" t="n">
        <v>46317</v>
      </c>
      <c r="C394" s="37" t="n">
        <v>17</v>
      </c>
      <c r="D394" s="37" t="s">
        <v>39</v>
      </c>
      <c r="E394" s="37" t="s">
        <v>47</v>
      </c>
      <c r="F394" s="37" t="s">
        <v>129</v>
      </c>
      <c r="G394" s="39" t="b">
        <f aca="false">FALSE()</f>
        <v>0</v>
      </c>
      <c r="H394" s="37" t="n">
        <v>532.21</v>
      </c>
      <c r="K394" s="37" t="n">
        <v>0</v>
      </c>
      <c r="L394" s="37" t="str">
        <f aca="false">IF(C394="","",IF(C394&lt;=5,"Night (00-05)",IF(C394&lt;=11,"Morning (06-11)",IF(C394&lt;=16,"Afternoon (12-16)",IF(C394&lt;=20,"Evening (17-20)","Late (21-23)")))))</f>
        <v>Evening (17-20)</v>
      </c>
    </row>
    <row r="395" customFormat="false" ht="15" hidden="false" customHeight="false" outlineLevel="0" collapsed="false">
      <c r="A395" s="37" t="s">
        <v>500</v>
      </c>
      <c r="B395" s="38" t="n">
        <v>46321</v>
      </c>
      <c r="C395" s="37" t="n">
        <v>16</v>
      </c>
      <c r="D395" s="37" t="s">
        <v>37</v>
      </c>
      <c r="E395" s="37" t="s">
        <v>49</v>
      </c>
      <c r="F395" s="37" t="s">
        <v>23</v>
      </c>
      <c r="G395" s="39" t="b">
        <f aca="false">TRUE()</f>
        <v>1</v>
      </c>
      <c r="H395" s="37" t="n">
        <v>852.26</v>
      </c>
      <c r="I395" s="37" t="n">
        <v>4</v>
      </c>
      <c r="J395" s="37" t="n">
        <v>52</v>
      </c>
      <c r="K395" s="37" t="n">
        <v>0</v>
      </c>
      <c r="L395" s="37" t="str">
        <f aca="false">IF(C395="","",IF(C395&lt;=5,"Night (00-05)",IF(C395&lt;=11,"Morning (06-11)",IF(C395&lt;=16,"Afternoon (12-16)",IF(C395&lt;=20,"Evening (17-20)","Late (21-23)")))))</f>
        <v>Afternoon (12-16)</v>
      </c>
    </row>
    <row r="396" customFormat="false" ht="15" hidden="false" customHeight="false" outlineLevel="0" collapsed="false">
      <c r="A396" s="37" t="s">
        <v>501</v>
      </c>
      <c r="B396" s="38" t="n">
        <v>46317</v>
      </c>
      <c r="C396" s="37" t="n">
        <v>2</v>
      </c>
      <c r="D396" s="37" t="s">
        <v>37</v>
      </c>
      <c r="E396" s="37" t="s">
        <v>46</v>
      </c>
      <c r="F396" s="37" t="s">
        <v>23</v>
      </c>
      <c r="G396" s="39" t="b">
        <f aca="false">FALSE()</f>
        <v>0</v>
      </c>
      <c r="H396" s="37" t="n">
        <v>447.8</v>
      </c>
      <c r="I396" s="37" t="n">
        <v>3</v>
      </c>
      <c r="J396" s="37" t="n">
        <v>91</v>
      </c>
      <c r="K396" s="37" t="n">
        <v>1</v>
      </c>
      <c r="L396" s="37" t="str">
        <f aca="false">IF(C396="","",IF(C396&lt;=5,"Night (00-05)",IF(C396&lt;=11,"Morning (06-11)",IF(C396&lt;=16,"Afternoon (12-16)",IF(C396&lt;=20,"Evening (17-20)","Late (21-23)")))))</f>
        <v>Night (00-05)</v>
      </c>
    </row>
    <row r="397" customFormat="false" ht="15" hidden="false" customHeight="false" outlineLevel="0" collapsed="false">
      <c r="A397" s="37" t="s">
        <v>502</v>
      </c>
      <c r="B397" s="38" t="n">
        <v>46322</v>
      </c>
      <c r="C397" s="37" t="n">
        <v>3</v>
      </c>
      <c r="D397" s="37" t="s">
        <v>40</v>
      </c>
      <c r="E397" s="37" t="s">
        <v>47</v>
      </c>
      <c r="F397" s="37" t="s">
        <v>23</v>
      </c>
      <c r="G397" s="39" t="b">
        <f aca="false">TRUE()</f>
        <v>1</v>
      </c>
      <c r="H397" s="37" t="n">
        <v>676.8</v>
      </c>
      <c r="I397" s="37" t="n">
        <v>4</v>
      </c>
      <c r="J397" s="37" t="n">
        <v>39</v>
      </c>
      <c r="K397" s="37" t="n">
        <v>0</v>
      </c>
      <c r="L397" s="37" t="str">
        <f aca="false">IF(C397="","",IF(C397&lt;=5,"Night (00-05)",IF(C397&lt;=11,"Morning (06-11)",IF(C397&lt;=16,"Afternoon (12-16)",IF(C397&lt;=20,"Evening (17-20)","Late (21-23)")))))</f>
        <v>Night (00-05)</v>
      </c>
    </row>
    <row r="398" customFormat="false" ht="15" hidden="false" customHeight="false" outlineLevel="0" collapsed="false">
      <c r="A398" s="37" t="s">
        <v>503</v>
      </c>
      <c r="B398" s="38" t="n">
        <v>46317</v>
      </c>
      <c r="C398" s="37" t="n">
        <v>19</v>
      </c>
      <c r="D398" s="37" t="s">
        <v>39</v>
      </c>
      <c r="E398" s="37" t="s">
        <v>47</v>
      </c>
      <c r="F398" s="37" t="s">
        <v>23</v>
      </c>
      <c r="G398" s="39" t="b">
        <f aca="false">TRUE()</f>
        <v>1</v>
      </c>
      <c r="H398" s="37" t="n">
        <v>487.21</v>
      </c>
      <c r="I398" s="37" t="n">
        <v>4</v>
      </c>
      <c r="J398" s="37" t="n">
        <v>24</v>
      </c>
      <c r="K398" s="37" t="n">
        <v>0</v>
      </c>
      <c r="L398" s="37" t="str">
        <f aca="false">IF(C398="","",IF(C398&lt;=5,"Night (00-05)",IF(C398&lt;=11,"Morning (06-11)",IF(C398&lt;=16,"Afternoon (12-16)",IF(C398&lt;=20,"Evening (17-20)","Late (21-23)")))))</f>
        <v>Evening (17-20)</v>
      </c>
    </row>
    <row r="399" customFormat="false" ht="15" hidden="false" customHeight="false" outlineLevel="0" collapsed="false">
      <c r="A399" s="37" t="s">
        <v>504</v>
      </c>
      <c r="B399" s="38" t="n">
        <v>46316</v>
      </c>
      <c r="C399" s="37" t="n">
        <v>22</v>
      </c>
      <c r="D399" s="37" t="s">
        <v>39</v>
      </c>
      <c r="E399" s="37" t="s">
        <v>46</v>
      </c>
      <c r="F399" s="37" t="s">
        <v>23</v>
      </c>
      <c r="G399" s="39" t="b">
        <f aca="false">TRUE()</f>
        <v>1</v>
      </c>
      <c r="H399" s="37" t="n">
        <v>464.24</v>
      </c>
      <c r="I399" s="37" t="n">
        <v>3</v>
      </c>
      <c r="J399" s="37" t="n">
        <v>29</v>
      </c>
      <c r="K399" s="37" t="n">
        <v>0</v>
      </c>
      <c r="L399" s="37" t="str">
        <f aca="false">IF(C399="","",IF(C399&lt;=5,"Night (00-05)",IF(C399&lt;=11,"Morning (06-11)",IF(C399&lt;=16,"Afternoon (12-16)",IF(C399&lt;=20,"Evening (17-20)","Late (21-23)")))))</f>
        <v>Late (21-23)</v>
      </c>
    </row>
    <row r="400" customFormat="false" ht="15" hidden="false" customHeight="false" outlineLevel="0" collapsed="false">
      <c r="A400" s="37" t="s">
        <v>505</v>
      </c>
      <c r="B400" s="38" t="n">
        <v>46316</v>
      </c>
      <c r="C400" s="37" t="n">
        <v>18</v>
      </c>
      <c r="D400" s="37" t="s">
        <v>39</v>
      </c>
      <c r="E400" s="37" t="s">
        <v>48</v>
      </c>
      <c r="F400" s="37" t="s">
        <v>23</v>
      </c>
      <c r="G400" s="39" t="b">
        <f aca="false">TRUE()</f>
        <v>1</v>
      </c>
      <c r="H400" s="37" t="n">
        <v>425.55</v>
      </c>
      <c r="I400" s="37" t="n">
        <v>4</v>
      </c>
      <c r="J400" s="37" t="n">
        <v>25</v>
      </c>
      <c r="K400" s="37" t="n">
        <v>0</v>
      </c>
      <c r="L400" s="37" t="str">
        <f aca="false">IF(C400="","",IF(C400&lt;=5,"Night (00-05)",IF(C400&lt;=11,"Morning (06-11)",IF(C400&lt;=16,"Afternoon (12-16)",IF(C400&lt;=20,"Evening (17-20)","Late (21-23)")))))</f>
        <v>Evening (17-20)</v>
      </c>
    </row>
    <row r="401" customFormat="false" ht="15" hidden="false" customHeight="false" outlineLevel="0" collapsed="false">
      <c r="A401" s="37" t="s">
        <v>506</v>
      </c>
      <c r="B401" s="38" t="n">
        <v>46321</v>
      </c>
      <c r="C401" s="37" t="n">
        <v>6</v>
      </c>
      <c r="D401" s="37" t="s">
        <v>38</v>
      </c>
      <c r="E401" s="37" t="s">
        <v>47</v>
      </c>
      <c r="F401" s="37" t="s">
        <v>23</v>
      </c>
      <c r="G401" s="39" t="b">
        <f aca="false">TRUE()</f>
        <v>1</v>
      </c>
      <c r="H401" s="37" t="n">
        <v>1115.44</v>
      </c>
      <c r="I401" s="37" t="n">
        <v>5</v>
      </c>
      <c r="J401" s="37" t="n">
        <v>30</v>
      </c>
      <c r="K401" s="37" t="n">
        <v>0</v>
      </c>
      <c r="L401" s="37" t="str">
        <f aca="false">IF(C401="","",IF(C401&lt;=5,"Night (00-05)",IF(C401&lt;=11,"Morning (06-11)",IF(C401&lt;=16,"Afternoon (12-16)",IF(C401&lt;=20,"Evening (17-20)","Late (21-23)")))))</f>
        <v>Morning (06-11)</v>
      </c>
    </row>
    <row r="402" customFormat="false" ht="15" hidden="false" customHeight="false" outlineLevel="0" collapsed="false">
      <c r="A402" s="37" t="s">
        <v>507</v>
      </c>
      <c r="B402" s="38" t="n">
        <v>46316</v>
      </c>
      <c r="C402" s="37" t="n">
        <v>22</v>
      </c>
      <c r="D402" s="37" t="s">
        <v>38</v>
      </c>
      <c r="E402" s="37" t="s">
        <v>48</v>
      </c>
      <c r="F402" s="37" t="s">
        <v>23</v>
      </c>
      <c r="G402" s="39" t="b">
        <f aca="false">TRUE()</f>
        <v>1</v>
      </c>
      <c r="H402" s="37" t="n">
        <v>1229.14</v>
      </c>
      <c r="I402" s="37" t="n">
        <v>4</v>
      </c>
      <c r="J402" s="37" t="n">
        <v>45</v>
      </c>
      <c r="K402" s="37" t="n">
        <v>0</v>
      </c>
      <c r="L402" s="37" t="str">
        <f aca="false">IF(C402="","",IF(C402&lt;=5,"Night (00-05)",IF(C402&lt;=11,"Morning (06-11)",IF(C402&lt;=16,"Afternoon (12-16)",IF(C402&lt;=20,"Evening (17-20)","Late (21-23)")))))</f>
        <v>Late (21-23)</v>
      </c>
    </row>
    <row r="403" customFormat="false" ht="15" hidden="false" customHeight="false" outlineLevel="0" collapsed="false">
      <c r="A403" s="37" t="s">
        <v>508</v>
      </c>
      <c r="B403" s="38" t="n">
        <v>46318</v>
      </c>
      <c r="C403" s="37" t="n">
        <v>19</v>
      </c>
      <c r="D403" s="37" t="s">
        <v>37</v>
      </c>
      <c r="E403" s="37" t="s">
        <v>46</v>
      </c>
      <c r="F403" s="37" t="s">
        <v>113</v>
      </c>
      <c r="G403" s="39" t="b">
        <f aca="false">TRUE()</f>
        <v>1</v>
      </c>
      <c r="H403" s="37" t="n">
        <v>874.03</v>
      </c>
      <c r="K403" s="37" t="n">
        <v>0</v>
      </c>
      <c r="L403" s="37" t="str">
        <f aca="false">IF(C403="","",IF(C403&lt;=5,"Night (00-05)",IF(C403&lt;=11,"Morning (06-11)",IF(C403&lt;=16,"Afternoon (12-16)",IF(C403&lt;=20,"Evening (17-20)","Late (21-23)")))))</f>
        <v>Evening (17-20)</v>
      </c>
    </row>
    <row r="404" customFormat="false" ht="15" hidden="false" customHeight="false" outlineLevel="0" collapsed="false">
      <c r="A404" s="37" t="s">
        <v>509</v>
      </c>
      <c r="B404" s="38" t="n">
        <v>46322</v>
      </c>
      <c r="C404" s="37" t="n">
        <v>2</v>
      </c>
      <c r="D404" s="37" t="s">
        <v>38</v>
      </c>
      <c r="E404" s="37" t="s">
        <v>48</v>
      </c>
      <c r="F404" s="37" t="s">
        <v>23</v>
      </c>
      <c r="G404" s="39" t="b">
        <f aca="false">TRUE()</f>
        <v>1</v>
      </c>
      <c r="H404" s="37" t="n">
        <v>957.39</v>
      </c>
      <c r="I404" s="37" t="n">
        <v>3</v>
      </c>
      <c r="J404" s="37" t="n">
        <v>39</v>
      </c>
      <c r="K404" s="37" t="n">
        <v>0</v>
      </c>
      <c r="L404" s="37" t="str">
        <f aca="false">IF(C404="","",IF(C404&lt;=5,"Night (00-05)",IF(C404&lt;=11,"Morning (06-11)",IF(C404&lt;=16,"Afternoon (12-16)",IF(C404&lt;=20,"Evening (17-20)","Late (21-23)")))))</f>
        <v>Night (00-05)</v>
      </c>
    </row>
    <row r="405" customFormat="false" ht="15" hidden="false" customHeight="false" outlineLevel="0" collapsed="false">
      <c r="A405" s="37" t="s">
        <v>510</v>
      </c>
      <c r="B405" s="38" t="n">
        <v>46318</v>
      </c>
      <c r="C405" s="37" t="n">
        <v>22</v>
      </c>
      <c r="D405" s="37" t="s">
        <v>38</v>
      </c>
      <c r="E405" s="37" t="s">
        <v>47</v>
      </c>
      <c r="F405" s="37" t="s">
        <v>23</v>
      </c>
      <c r="G405" s="39" t="b">
        <f aca="false">TRUE()</f>
        <v>1</v>
      </c>
      <c r="H405" s="37" t="n">
        <v>1007.74</v>
      </c>
      <c r="I405" s="37" t="n">
        <v>5</v>
      </c>
      <c r="J405" s="37" t="n">
        <v>53</v>
      </c>
      <c r="K405" s="37" t="n">
        <v>0</v>
      </c>
      <c r="L405" s="37" t="str">
        <f aca="false">IF(C405="","",IF(C405&lt;=5,"Night (00-05)",IF(C405&lt;=11,"Morning (06-11)",IF(C405&lt;=16,"Afternoon (12-16)",IF(C405&lt;=20,"Evening (17-20)","Late (21-23)")))))</f>
        <v>Late (21-23)</v>
      </c>
    </row>
    <row r="406" customFormat="false" ht="15" hidden="false" customHeight="false" outlineLevel="0" collapsed="false">
      <c r="A406" s="37" t="s">
        <v>511</v>
      </c>
      <c r="B406" s="38" t="n">
        <v>46317</v>
      </c>
      <c r="C406" s="37" t="n">
        <v>20</v>
      </c>
      <c r="D406" s="37" t="s">
        <v>40</v>
      </c>
      <c r="E406" s="37" t="s">
        <v>49</v>
      </c>
      <c r="F406" s="37" t="s">
        <v>23</v>
      </c>
      <c r="G406" s="39" t="b">
        <f aca="false">TRUE()</f>
        <v>1</v>
      </c>
      <c r="H406" s="37" t="n">
        <v>786.4</v>
      </c>
      <c r="I406" s="37" t="n">
        <v>1</v>
      </c>
      <c r="J406" s="37" t="n">
        <v>45</v>
      </c>
      <c r="K406" s="37" t="n">
        <v>0</v>
      </c>
      <c r="L406" s="37" t="str">
        <f aca="false">IF(C406="","",IF(C406&lt;=5,"Night (00-05)",IF(C406&lt;=11,"Morning (06-11)",IF(C406&lt;=16,"Afternoon (12-16)",IF(C406&lt;=20,"Evening (17-20)","Late (21-23)")))))</f>
        <v>Evening (17-20)</v>
      </c>
    </row>
    <row r="407" customFormat="false" ht="15" hidden="false" customHeight="false" outlineLevel="0" collapsed="false">
      <c r="A407" s="37" t="s">
        <v>512</v>
      </c>
      <c r="B407" s="38" t="n">
        <v>46317</v>
      </c>
      <c r="C407" s="37" t="n">
        <v>1</v>
      </c>
      <c r="D407" s="37" t="s">
        <v>38</v>
      </c>
      <c r="E407" s="37" t="s">
        <v>48</v>
      </c>
      <c r="F407" s="37" t="s">
        <v>23</v>
      </c>
      <c r="G407" s="39" t="b">
        <f aca="false">TRUE()</f>
        <v>1</v>
      </c>
      <c r="H407" s="37" t="n">
        <v>885.21</v>
      </c>
      <c r="I407" s="37" t="n">
        <v>4</v>
      </c>
      <c r="J407" s="37" t="n">
        <v>22</v>
      </c>
      <c r="K407" s="37" t="n">
        <v>0</v>
      </c>
      <c r="L407" s="37" t="str">
        <f aca="false">IF(C407="","",IF(C407&lt;=5,"Night (00-05)",IF(C407&lt;=11,"Morning (06-11)",IF(C407&lt;=16,"Afternoon (12-16)",IF(C407&lt;=20,"Evening (17-20)","Late (21-23)")))))</f>
        <v>Night (00-05)</v>
      </c>
    </row>
    <row r="408" customFormat="false" ht="15" hidden="false" customHeight="false" outlineLevel="0" collapsed="false">
      <c r="A408" s="37" t="s">
        <v>513</v>
      </c>
      <c r="B408" s="38" t="n">
        <v>46320</v>
      </c>
      <c r="C408" s="37" t="n">
        <v>17</v>
      </c>
      <c r="D408" s="37" t="s">
        <v>38</v>
      </c>
      <c r="E408" s="37" t="s">
        <v>47</v>
      </c>
      <c r="F408" s="37" t="s">
        <v>23</v>
      </c>
      <c r="G408" s="39" t="b">
        <f aca="false">TRUE()</f>
        <v>1</v>
      </c>
      <c r="H408" s="37" t="n">
        <v>1262.38</v>
      </c>
      <c r="I408" s="37" t="n">
        <v>2</v>
      </c>
      <c r="J408" s="37" t="n">
        <v>21</v>
      </c>
      <c r="K408" s="37" t="n">
        <v>0</v>
      </c>
      <c r="L408" s="37" t="str">
        <f aca="false">IF(C408="","",IF(C408&lt;=5,"Night (00-05)",IF(C408&lt;=11,"Morning (06-11)",IF(C408&lt;=16,"Afternoon (12-16)",IF(C408&lt;=20,"Evening (17-20)","Late (21-23)")))))</f>
        <v>Evening (17-20)</v>
      </c>
    </row>
    <row r="409" customFormat="false" ht="15" hidden="false" customHeight="false" outlineLevel="0" collapsed="false">
      <c r="A409" s="37" t="s">
        <v>514</v>
      </c>
      <c r="B409" s="38" t="n">
        <v>46315</v>
      </c>
      <c r="C409" s="37" t="n">
        <v>20</v>
      </c>
      <c r="D409" s="37" t="s">
        <v>40</v>
      </c>
      <c r="E409" s="37" t="s">
        <v>49</v>
      </c>
      <c r="F409" s="37" t="s">
        <v>23</v>
      </c>
      <c r="G409" s="39" t="b">
        <f aca="false">TRUE()</f>
        <v>1</v>
      </c>
      <c r="H409" s="37" t="n">
        <v>1060.49</v>
      </c>
      <c r="I409" s="37" t="n">
        <v>4</v>
      </c>
      <c r="J409" s="37" t="n">
        <v>20</v>
      </c>
      <c r="K409" s="37" t="n">
        <v>0</v>
      </c>
      <c r="L409" s="37" t="str">
        <f aca="false">IF(C409="","",IF(C409&lt;=5,"Night (00-05)",IF(C409&lt;=11,"Morning (06-11)",IF(C409&lt;=16,"Afternoon (12-16)",IF(C409&lt;=20,"Evening (17-20)","Late (21-23)")))))</f>
        <v>Evening (17-20)</v>
      </c>
    </row>
    <row r="410" customFormat="false" ht="15" hidden="false" customHeight="false" outlineLevel="0" collapsed="false">
      <c r="A410" s="37" t="s">
        <v>515</v>
      </c>
      <c r="B410" s="38" t="n">
        <v>46320</v>
      </c>
      <c r="C410" s="37" t="n">
        <v>15</v>
      </c>
      <c r="D410" s="37" t="s">
        <v>37</v>
      </c>
      <c r="E410" s="37" t="s">
        <v>49</v>
      </c>
      <c r="F410" s="37" t="s">
        <v>23</v>
      </c>
      <c r="G410" s="39" t="b">
        <f aca="false">TRUE()</f>
        <v>1</v>
      </c>
      <c r="H410" s="37" t="n">
        <v>814.33</v>
      </c>
      <c r="I410" s="37" t="n">
        <v>4</v>
      </c>
      <c r="J410" s="37" t="n">
        <v>27</v>
      </c>
      <c r="K410" s="37" t="n">
        <v>0</v>
      </c>
      <c r="L410" s="37" t="str">
        <f aca="false">IF(C410="","",IF(C410&lt;=5,"Night (00-05)",IF(C410&lt;=11,"Morning (06-11)",IF(C410&lt;=16,"Afternoon (12-16)",IF(C410&lt;=20,"Evening (17-20)","Late (21-23)")))))</f>
        <v>Afternoon (12-16)</v>
      </c>
    </row>
    <row r="411" customFormat="false" ht="15" hidden="false" customHeight="false" outlineLevel="0" collapsed="false">
      <c r="A411" s="37" t="s">
        <v>516</v>
      </c>
      <c r="B411" s="38" t="n">
        <v>46321</v>
      </c>
      <c r="C411" s="37" t="n">
        <v>15</v>
      </c>
      <c r="D411" s="37" t="s">
        <v>37</v>
      </c>
      <c r="E411" s="37" t="s">
        <v>46</v>
      </c>
      <c r="F411" s="37" t="s">
        <v>129</v>
      </c>
      <c r="G411" s="39" t="b">
        <f aca="false">FALSE()</f>
        <v>0</v>
      </c>
      <c r="H411" s="37" t="n">
        <v>814.75</v>
      </c>
      <c r="K411" s="37" t="n">
        <v>0</v>
      </c>
      <c r="L411" s="37" t="str">
        <f aca="false">IF(C411="","",IF(C411&lt;=5,"Night (00-05)",IF(C411&lt;=11,"Morning (06-11)",IF(C411&lt;=16,"Afternoon (12-16)",IF(C411&lt;=20,"Evening (17-20)","Late (21-23)")))))</f>
        <v>Afternoon (12-16)</v>
      </c>
    </row>
    <row r="412" customFormat="false" ht="15" hidden="false" customHeight="false" outlineLevel="0" collapsed="false">
      <c r="A412" s="37" t="s">
        <v>517</v>
      </c>
      <c r="B412" s="38" t="n">
        <v>46318</v>
      </c>
      <c r="C412" s="37" t="n">
        <v>1</v>
      </c>
      <c r="D412" s="37" t="s">
        <v>38</v>
      </c>
      <c r="E412" s="37" t="s">
        <v>49</v>
      </c>
      <c r="F412" s="37" t="s">
        <v>23</v>
      </c>
      <c r="G412" s="39" t="b">
        <f aca="false">TRUE()</f>
        <v>1</v>
      </c>
      <c r="H412" s="37" t="n">
        <v>1436.25</v>
      </c>
      <c r="I412" s="37" t="n">
        <v>4</v>
      </c>
      <c r="J412" s="37" t="n">
        <v>50</v>
      </c>
      <c r="K412" s="37" t="n">
        <v>0</v>
      </c>
      <c r="L412" s="37" t="str">
        <f aca="false">IF(C412="","",IF(C412&lt;=5,"Night (00-05)",IF(C412&lt;=11,"Morning (06-11)",IF(C412&lt;=16,"Afternoon (12-16)",IF(C412&lt;=20,"Evening (17-20)","Late (21-23)")))))</f>
        <v>Night (00-05)</v>
      </c>
    </row>
    <row r="413" customFormat="false" ht="15" hidden="false" customHeight="false" outlineLevel="0" collapsed="false">
      <c r="A413" s="37" t="s">
        <v>518</v>
      </c>
      <c r="B413" s="38" t="n">
        <v>46315</v>
      </c>
      <c r="C413" s="37" t="n">
        <v>9</v>
      </c>
      <c r="D413" s="37" t="s">
        <v>38</v>
      </c>
      <c r="E413" s="37" t="s">
        <v>49</v>
      </c>
      <c r="F413" s="37" t="s">
        <v>23</v>
      </c>
      <c r="G413" s="39" t="b">
        <f aca="false">TRUE()</f>
        <v>1</v>
      </c>
      <c r="H413" s="37" t="n">
        <v>903.4</v>
      </c>
      <c r="I413" s="37" t="n">
        <v>3</v>
      </c>
      <c r="J413" s="37" t="n">
        <v>52</v>
      </c>
      <c r="K413" s="37" t="n">
        <v>0</v>
      </c>
      <c r="L413" s="37" t="str">
        <f aca="false">IF(C413="","",IF(C413&lt;=5,"Night (00-05)",IF(C413&lt;=11,"Morning (06-11)",IF(C413&lt;=16,"Afternoon (12-16)",IF(C413&lt;=20,"Evening (17-20)","Late (21-23)")))))</f>
        <v>Morning (06-11)</v>
      </c>
    </row>
    <row r="414" customFormat="false" ht="15" hidden="false" customHeight="false" outlineLevel="0" collapsed="false">
      <c r="A414" s="37" t="s">
        <v>519</v>
      </c>
      <c r="B414" s="38" t="n">
        <v>46320</v>
      </c>
      <c r="C414" s="37" t="n">
        <v>15</v>
      </c>
      <c r="D414" s="37" t="s">
        <v>37</v>
      </c>
      <c r="E414" s="37" t="s">
        <v>49</v>
      </c>
      <c r="F414" s="37" t="s">
        <v>23</v>
      </c>
      <c r="G414" s="39" t="b">
        <f aca="false">TRUE()</f>
        <v>1</v>
      </c>
      <c r="H414" s="37" t="n">
        <v>893.33</v>
      </c>
      <c r="I414" s="37" t="n">
        <v>3</v>
      </c>
      <c r="J414" s="37" t="n">
        <v>49</v>
      </c>
      <c r="K414" s="37" t="n">
        <v>0</v>
      </c>
      <c r="L414" s="37" t="str">
        <f aca="false">IF(C414="","",IF(C414&lt;=5,"Night (00-05)",IF(C414&lt;=11,"Morning (06-11)",IF(C414&lt;=16,"Afternoon (12-16)",IF(C414&lt;=20,"Evening (17-20)","Late (21-23)")))))</f>
        <v>Afternoon (12-16)</v>
      </c>
    </row>
    <row r="415" customFormat="false" ht="15" hidden="false" customHeight="false" outlineLevel="0" collapsed="false">
      <c r="A415" s="37" t="s">
        <v>520</v>
      </c>
      <c r="B415" s="38" t="n">
        <v>46321</v>
      </c>
      <c r="C415" s="37" t="n">
        <v>16</v>
      </c>
      <c r="D415" s="37" t="s">
        <v>40</v>
      </c>
      <c r="E415" s="37" t="s">
        <v>46</v>
      </c>
      <c r="F415" s="37" t="s">
        <v>23</v>
      </c>
      <c r="G415" s="39" t="b">
        <f aca="false">TRUE()</f>
        <v>1</v>
      </c>
      <c r="H415" s="37" t="n">
        <v>1140.28</v>
      </c>
      <c r="I415" s="37" t="n">
        <v>3</v>
      </c>
      <c r="J415" s="37" t="n">
        <v>27</v>
      </c>
      <c r="K415" s="37" t="n">
        <v>0</v>
      </c>
      <c r="L415" s="37" t="str">
        <f aca="false">IF(C415="","",IF(C415&lt;=5,"Night (00-05)",IF(C415&lt;=11,"Morning (06-11)",IF(C415&lt;=16,"Afternoon (12-16)",IF(C415&lt;=20,"Evening (17-20)","Late (21-23)")))))</f>
        <v>Afternoon (12-16)</v>
      </c>
    </row>
    <row r="416" customFormat="false" ht="15" hidden="false" customHeight="false" outlineLevel="0" collapsed="false">
      <c r="A416" s="37" t="s">
        <v>521</v>
      </c>
      <c r="B416" s="38" t="n">
        <v>46322</v>
      </c>
      <c r="C416" s="37" t="n">
        <v>3</v>
      </c>
      <c r="D416" s="37" t="s">
        <v>37</v>
      </c>
      <c r="E416" s="37" t="s">
        <v>48</v>
      </c>
      <c r="F416" s="37" t="s">
        <v>113</v>
      </c>
      <c r="G416" s="39" t="b">
        <f aca="false">TRUE()</f>
        <v>1</v>
      </c>
      <c r="H416" s="37" t="n">
        <v>563.33</v>
      </c>
      <c r="K416" s="37" t="n">
        <v>0</v>
      </c>
      <c r="L416" s="37" t="str">
        <f aca="false">IF(C416="","",IF(C416&lt;=5,"Night (00-05)",IF(C416&lt;=11,"Morning (06-11)",IF(C416&lt;=16,"Afternoon (12-16)",IF(C416&lt;=20,"Evening (17-20)","Late (21-23)")))))</f>
        <v>Night (00-05)</v>
      </c>
    </row>
    <row r="417" customFormat="false" ht="15" hidden="false" customHeight="false" outlineLevel="0" collapsed="false">
      <c r="A417" s="37" t="s">
        <v>522</v>
      </c>
      <c r="B417" s="38" t="n">
        <v>46319</v>
      </c>
      <c r="C417" s="37" t="n">
        <v>17</v>
      </c>
      <c r="D417" s="37" t="s">
        <v>40</v>
      </c>
      <c r="E417" s="37" t="s">
        <v>46</v>
      </c>
      <c r="F417" s="37" t="s">
        <v>23</v>
      </c>
      <c r="G417" s="39" t="b">
        <f aca="false">TRUE()</f>
        <v>1</v>
      </c>
      <c r="H417" s="37" t="n">
        <v>645.3</v>
      </c>
      <c r="I417" s="37" t="n">
        <v>4</v>
      </c>
      <c r="J417" s="37" t="n">
        <v>49</v>
      </c>
      <c r="K417" s="37" t="n">
        <v>0</v>
      </c>
      <c r="L417" s="37" t="str">
        <f aca="false">IF(C417="","",IF(C417&lt;=5,"Night (00-05)",IF(C417&lt;=11,"Morning (06-11)",IF(C417&lt;=16,"Afternoon (12-16)",IF(C417&lt;=20,"Evening (17-20)","Late (21-23)")))))</f>
        <v>Evening (17-20)</v>
      </c>
    </row>
    <row r="418" customFormat="false" ht="15" hidden="false" customHeight="false" outlineLevel="0" collapsed="false">
      <c r="A418" s="37" t="s">
        <v>523</v>
      </c>
      <c r="B418" s="38" t="n">
        <v>46319</v>
      </c>
      <c r="C418" s="37" t="n">
        <v>1</v>
      </c>
      <c r="D418" s="37" t="s">
        <v>39</v>
      </c>
      <c r="E418" s="37" t="s">
        <v>48</v>
      </c>
      <c r="F418" s="37" t="s">
        <v>23</v>
      </c>
      <c r="G418" s="39" t="b">
        <f aca="false">TRUE()</f>
        <v>1</v>
      </c>
      <c r="H418" s="37" t="n">
        <v>344.22</v>
      </c>
      <c r="I418" s="37" t="n">
        <v>5</v>
      </c>
      <c r="J418" s="37" t="n">
        <v>23</v>
      </c>
      <c r="K418" s="37" t="n">
        <v>0</v>
      </c>
      <c r="L418" s="37" t="str">
        <f aca="false">IF(C418="","",IF(C418&lt;=5,"Night (00-05)",IF(C418&lt;=11,"Morning (06-11)",IF(C418&lt;=16,"Afternoon (12-16)",IF(C418&lt;=20,"Evening (17-20)","Late (21-23)")))))</f>
        <v>Night (00-05)</v>
      </c>
    </row>
    <row r="419" customFormat="false" ht="15" hidden="false" customHeight="false" outlineLevel="0" collapsed="false">
      <c r="A419" s="37" t="s">
        <v>524</v>
      </c>
      <c r="B419" s="38" t="n">
        <v>46321</v>
      </c>
      <c r="C419" s="37" t="n">
        <v>16</v>
      </c>
      <c r="D419" s="37" t="s">
        <v>39</v>
      </c>
      <c r="E419" s="37" t="s">
        <v>49</v>
      </c>
      <c r="F419" s="37" t="s">
        <v>23</v>
      </c>
      <c r="G419" s="39" t="b">
        <f aca="false">TRUE()</f>
        <v>1</v>
      </c>
      <c r="H419" s="37" t="n">
        <v>371.5</v>
      </c>
      <c r="I419" s="37" t="n">
        <v>5</v>
      </c>
      <c r="J419" s="37" t="n">
        <v>42</v>
      </c>
      <c r="K419" s="37" t="n">
        <v>0</v>
      </c>
      <c r="L419" s="37" t="str">
        <f aca="false">IF(C419="","",IF(C419&lt;=5,"Night (00-05)",IF(C419&lt;=11,"Morning (06-11)",IF(C419&lt;=16,"Afternoon (12-16)",IF(C419&lt;=20,"Evening (17-20)","Late (21-23)")))))</f>
        <v>Afternoon (12-16)</v>
      </c>
    </row>
    <row r="420" customFormat="false" ht="15" hidden="false" customHeight="false" outlineLevel="0" collapsed="false">
      <c r="A420" s="37" t="s">
        <v>525</v>
      </c>
      <c r="B420" s="38" t="n">
        <v>46322</v>
      </c>
      <c r="C420" s="37" t="n">
        <v>1</v>
      </c>
      <c r="D420" s="37" t="s">
        <v>37</v>
      </c>
      <c r="E420" s="37" t="s">
        <v>49</v>
      </c>
      <c r="F420" s="37" t="s">
        <v>23</v>
      </c>
      <c r="G420" s="39" t="b">
        <f aca="false">TRUE()</f>
        <v>1</v>
      </c>
      <c r="H420" s="37" t="n">
        <v>859.2</v>
      </c>
      <c r="I420" s="37" t="n">
        <v>4</v>
      </c>
      <c r="J420" s="37" t="n">
        <v>46</v>
      </c>
      <c r="K420" s="37" t="n">
        <v>0</v>
      </c>
      <c r="L420" s="37" t="str">
        <f aca="false">IF(C420="","",IF(C420&lt;=5,"Night (00-05)",IF(C420&lt;=11,"Morning (06-11)",IF(C420&lt;=16,"Afternoon (12-16)",IF(C420&lt;=20,"Evening (17-20)","Late (21-23)")))))</f>
        <v>Night (00-05)</v>
      </c>
    </row>
    <row r="421" customFormat="false" ht="15" hidden="false" customHeight="false" outlineLevel="0" collapsed="false">
      <c r="A421" s="37" t="s">
        <v>526</v>
      </c>
      <c r="B421" s="38" t="n">
        <v>46315</v>
      </c>
      <c r="C421" s="37" t="n">
        <v>17</v>
      </c>
      <c r="D421" s="37" t="s">
        <v>37</v>
      </c>
      <c r="E421" s="37" t="s">
        <v>46</v>
      </c>
      <c r="F421" s="37" t="s">
        <v>23</v>
      </c>
      <c r="G421" s="39" t="b">
        <f aca="false">TRUE()</f>
        <v>1</v>
      </c>
      <c r="H421" s="37" t="n">
        <v>658.55</v>
      </c>
      <c r="I421" s="37" t="n">
        <v>4</v>
      </c>
      <c r="J421" s="37" t="n">
        <v>26</v>
      </c>
      <c r="K421" s="37" t="n">
        <v>0</v>
      </c>
      <c r="L421" s="37" t="str">
        <f aca="false">IF(C421="","",IF(C421&lt;=5,"Night (00-05)",IF(C421&lt;=11,"Morning (06-11)",IF(C421&lt;=16,"Afternoon (12-16)",IF(C421&lt;=20,"Evening (17-20)","Late (21-23)")))))</f>
        <v>Evening (17-20)</v>
      </c>
    </row>
    <row r="422" customFormat="false" ht="15" hidden="false" customHeight="false" outlineLevel="0" collapsed="false">
      <c r="A422" s="37" t="s">
        <v>527</v>
      </c>
      <c r="B422" s="38" t="n">
        <v>46320</v>
      </c>
      <c r="C422" s="37" t="n">
        <v>17</v>
      </c>
      <c r="D422" s="37" t="s">
        <v>39</v>
      </c>
      <c r="E422" s="37" t="s">
        <v>48</v>
      </c>
      <c r="F422" s="37" t="s">
        <v>23</v>
      </c>
      <c r="G422" s="39" t="b">
        <f aca="false">TRUE()</f>
        <v>1</v>
      </c>
      <c r="H422" s="37" t="n">
        <v>634.61</v>
      </c>
      <c r="I422" s="37" t="n">
        <v>1</v>
      </c>
      <c r="J422" s="37" t="n">
        <v>23</v>
      </c>
      <c r="K422" s="37" t="n">
        <v>0</v>
      </c>
      <c r="L422" s="37" t="str">
        <f aca="false">IF(C422="","",IF(C422&lt;=5,"Night (00-05)",IF(C422&lt;=11,"Morning (06-11)",IF(C422&lt;=16,"Afternoon (12-16)",IF(C422&lt;=20,"Evening (17-20)","Late (21-23)")))))</f>
        <v>Evening (17-20)</v>
      </c>
    </row>
    <row r="423" customFormat="false" ht="15" hidden="false" customHeight="false" outlineLevel="0" collapsed="false">
      <c r="A423" s="37" t="s">
        <v>528</v>
      </c>
      <c r="B423" s="38" t="n">
        <v>46316</v>
      </c>
      <c r="C423" s="37" t="n">
        <v>22</v>
      </c>
      <c r="D423" s="37" t="s">
        <v>39</v>
      </c>
      <c r="E423" s="37" t="s">
        <v>48</v>
      </c>
      <c r="F423" s="37" t="s">
        <v>23</v>
      </c>
      <c r="G423" s="39" t="b">
        <f aca="false">TRUE()</f>
        <v>1</v>
      </c>
      <c r="H423" s="37" t="n">
        <v>328.95</v>
      </c>
      <c r="I423" s="37" t="n">
        <v>4</v>
      </c>
      <c r="J423" s="37" t="n">
        <v>35</v>
      </c>
      <c r="K423" s="37" t="n">
        <v>0</v>
      </c>
      <c r="L423" s="37" t="str">
        <f aca="false">IF(C423="","",IF(C423&lt;=5,"Night (00-05)",IF(C423&lt;=11,"Morning (06-11)",IF(C423&lt;=16,"Afternoon (12-16)",IF(C423&lt;=20,"Evening (17-20)","Late (21-23)")))))</f>
        <v>Late (21-23)</v>
      </c>
    </row>
    <row r="424" customFormat="false" ht="15" hidden="false" customHeight="false" outlineLevel="0" collapsed="false">
      <c r="A424" s="37" t="s">
        <v>529</v>
      </c>
      <c r="B424" s="38" t="n">
        <v>46317</v>
      </c>
      <c r="C424" s="37" t="n">
        <v>13</v>
      </c>
      <c r="D424" s="37" t="s">
        <v>39</v>
      </c>
      <c r="E424" s="37" t="s">
        <v>49</v>
      </c>
      <c r="F424" s="37" t="s">
        <v>23</v>
      </c>
      <c r="G424" s="39" t="b">
        <f aca="false">TRUE()</f>
        <v>1</v>
      </c>
      <c r="H424" s="37" t="n">
        <v>625.84</v>
      </c>
      <c r="I424" s="37" t="n">
        <v>5</v>
      </c>
      <c r="J424" s="37" t="n">
        <v>48</v>
      </c>
      <c r="K424" s="37" t="n">
        <v>0</v>
      </c>
      <c r="L424" s="37" t="str">
        <f aca="false">IF(C424="","",IF(C424&lt;=5,"Night (00-05)",IF(C424&lt;=11,"Morning (06-11)",IF(C424&lt;=16,"Afternoon (12-16)",IF(C424&lt;=20,"Evening (17-20)","Late (21-23)")))))</f>
        <v>Afternoon (12-16)</v>
      </c>
    </row>
    <row r="425" customFormat="false" ht="15" hidden="false" customHeight="false" outlineLevel="0" collapsed="false">
      <c r="A425" s="37" t="s">
        <v>530</v>
      </c>
      <c r="B425" s="38" t="n">
        <v>46318</v>
      </c>
      <c r="C425" s="37" t="n">
        <v>15</v>
      </c>
      <c r="D425" s="37" t="s">
        <v>40</v>
      </c>
      <c r="E425" s="37" t="s">
        <v>47</v>
      </c>
      <c r="F425" s="37" t="s">
        <v>23</v>
      </c>
      <c r="G425" s="39" t="b">
        <f aca="false">TRUE()</f>
        <v>1</v>
      </c>
      <c r="H425" s="37" t="n">
        <v>1283.54</v>
      </c>
      <c r="I425" s="37" t="n">
        <v>3</v>
      </c>
      <c r="J425" s="37" t="n">
        <v>21</v>
      </c>
      <c r="K425" s="37" t="n">
        <v>0</v>
      </c>
      <c r="L425" s="37" t="str">
        <f aca="false">IF(C425="","",IF(C425&lt;=5,"Night (00-05)",IF(C425&lt;=11,"Morning (06-11)",IF(C425&lt;=16,"Afternoon (12-16)",IF(C425&lt;=20,"Evening (17-20)","Late (21-23)")))))</f>
        <v>Afternoon (12-16)</v>
      </c>
    </row>
    <row r="426" customFormat="false" ht="15" hidden="false" customHeight="false" outlineLevel="0" collapsed="false">
      <c r="A426" s="37" t="s">
        <v>531</v>
      </c>
      <c r="B426" s="38" t="n">
        <v>46318</v>
      </c>
      <c r="C426" s="37" t="n">
        <v>12</v>
      </c>
      <c r="D426" s="37" t="s">
        <v>38</v>
      </c>
      <c r="E426" s="37" t="s">
        <v>46</v>
      </c>
      <c r="F426" s="37" t="s">
        <v>23</v>
      </c>
      <c r="G426" s="39" t="b">
        <f aca="false">TRUE()</f>
        <v>1</v>
      </c>
      <c r="H426" s="37" t="n">
        <v>1422.08</v>
      </c>
      <c r="I426" s="37" t="n">
        <v>5</v>
      </c>
      <c r="J426" s="37" t="n">
        <v>49</v>
      </c>
      <c r="K426" s="37" t="n">
        <v>0</v>
      </c>
      <c r="L426" s="37" t="str">
        <f aca="false">IF(C426="","",IF(C426&lt;=5,"Night (00-05)",IF(C426&lt;=11,"Morning (06-11)",IF(C426&lt;=16,"Afternoon (12-16)",IF(C426&lt;=20,"Evening (17-20)","Late (21-23)")))))</f>
        <v>Afternoon (12-16)</v>
      </c>
    </row>
    <row r="427" customFormat="false" ht="15" hidden="false" customHeight="false" outlineLevel="0" collapsed="false">
      <c r="A427" s="37" t="s">
        <v>532</v>
      </c>
      <c r="B427" s="38" t="n">
        <v>46318</v>
      </c>
      <c r="C427" s="37" t="n">
        <v>2</v>
      </c>
      <c r="D427" s="37" t="s">
        <v>39</v>
      </c>
      <c r="E427" s="37" t="s">
        <v>46</v>
      </c>
      <c r="F427" s="37" t="s">
        <v>113</v>
      </c>
      <c r="G427" s="39" t="b">
        <f aca="false">FALSE()</f>
        <v>0</v>
      </c>
      <c r="H427" s="37" t="n">
        <v>523.06</v>
      </c>
      <c r="K427" s="37" t="n">
        <v>0</v>
      </c>
      <c r="L427" s="37" t="str">
        <f aca="false">IF(C427="","",IF(C427&lt;=5,"Night (00-05)",IF(C427&lt;=11,"Morning (06-11)",IF(C427&lt;=16,"Afternoon (12-16)",IF(C427&lt;=20,"Evening (17-20)","Late (21-23)")))))</f>
        <v>Night (00-05)</v>
      </c>
    </row>
    <row r="428" customFormat="false" ht="15" hidden="false" customHeight="false" outlineLevel="0" collapsed="false">
      <c r="A428" s="37" t="s">
        <v>533</v>
      </c>
      <c r="B428" s="38" t="n">
        <v>46321</v>
      </c>
      <c r="C428" s="37" t="n">
        <v>0</v>
      </c>
      <c r="D428" s="37" t="s">
        <v>38</v>
      </c>
      <c r="E428" s="37" t="s">
        <v>47</v>
      </c>
      <c r="F428" s="37" t="s">
        <v>23</v>
      </c>
      <c r="G428" s="39" t="b">
        <f aca="false">TRUE()</f>
        <v>1</v>
      </c>
      <c r="H428" s="37" t="n">
        <v>1330.52</v>
      </c>
      <c r="I428" s="37" t="n">
        <v>4</v>
      </c>
      <c r="J428" s="37" t="n">
        <v>41</v>
      </c>
      <c r="K428" s="37" t="n">
        <v>0</v>
      </c>
      <c r="L428" s="37" t="str">
        <f aca="false">IF(C428="","",IF(C428&lt;=5,"Night (00-05)",IF(C428&lt;=11,"Morning (06-11)",IF(C428&lt;=16,"Afternoon (12-16)",IF(C428&lt;=20,"Evening (17-20)","Late (21-23)")))))</f>
        <v>Night (00-05)</v>
      </c>
    </row>
    <row r="429" customFormat="false" ht="15" hidden="false" customHeight="false" outlineLevel="0" collapsed="false">
      <c r="A429" s="37" t="s">
        <v>534</v>
      </c>
      <c r="B429" s="38" t="n">
        <v>46321</v>
      </c>
      <c r="C429" s="37" t="n">
        <v>5</v>
      </c>
      <c r="D429" s="37" t="s">
        <v>40</v>
      </c>
      <c r="E429" s="37" t="s">
        <v>47</v>
      </c>
      <c r="F429" s="37" t="s">
        <v>23</v>
      </c>
      <c r="G429" s="39" t="b">
        <f aca="false">TRUE()</f>
        <v>1</v>
      </c>
      <c r="H429" s="37" t="n">
        <v>535.62</v>
      </c>
      <c r="I429" s="37" t="n">
        <v>5</v>
      </c>
      <c r="J429" s="37" t="n">
        <v>28</v>
      </c>
      <c r="K429" s="37" t="n">
        <v>0</v>
      </c>
      <c r="L429" s="37" t="str">
        <f aca="false">IF(C429="","",IF(C429&lt;=5,"Night (00-05)",IF(C429&lt;=11,"Morning (06-11)",IF(C429&lt;=16,"Afternoon (12-16)",IF(C429&lt;=20,"Evening (17-20)","Late (21-23)")))))</f>
        <v>Night (00-05)</v>
      </c>
    </row>
    <row r="430" customFormat="false" ht="15" hidden="false" customHeight="false" outlineLevel="0" collapsed="false">
      <c r="A430" s="37" t="s">
        <v>535</v>
      </c>
      <c r="B430" s="38" t="n">
        <v>46321</v>
      </c>
      <c r="C430" s="37" t="n">
        <v>1</v>
      </c>
      <c r="D430" s="37" t="s">
        <v>37</v>
      </c>
      <c r="E430" s="37" t="s">
        <v>48</v>
      </c>
      <c r="F430" s="37" t="s">
        <v>23</v>
      </c>
      <c r="G430" s="39" t="b">
        <f aca="false">TRUE()</f>
        <v>1</v>
      </c>
      <c r="H430" s="37" t="n">
        <v>459.37</v>
      </c>
      <c r="I430" s="37" t="n">
        <v>4</v>
      </c>
      <c r="J430" s="37" t="n">
        <v>33</v>
      </c>
      <c r="K430" s="37" t="n">
        <v>0</v>
      </c>
      <c r="L430" s="37" t="str">
        <f aca="false">IF(C430="","",IF(C430&lt;=5,"Night (00-05)",IF(C430&lt;=11,"Morning (06-11)",IF(C430&lt;=16,"Afternoon (12-16)",IF(C430&lt;=20,"Evening (17-20)","Late (21-23)")))))</f>
        <v>Night (00-05)</v>
      </c>
    </row>
    <row r="431" customFormat="false" ht="15" hidden="false" customHeight="false" outlineLevel="0" collapsed="false">
      <c r="A431" s="37" t="s">
        <v>536</v>
      </c>
      <c r="B431" s="38" t="n">
        <v>46321</v>
      </c>
      <c r="C431" s="37" t="n">
        <v>16</v>
      </c>
      <c r="D431" s="37" t="s">
        <v>39</v>
      </c>
      <c r="E431" s="37" t="s">
        <v>47</v>
      </c>
      <c r="F431" s="37" t="s">
        <v>23</v>
      </c>
      <c r="G431" s="39" t="b">
        <f aca="false">TRUE()</f>
        <v>1</v>
      </c>
      <c r="H431" s="37" t="n">
        <v>669.65</v>
      </c>
      <c r="I431" s="37" t="n">
        <v>5</v>
      </c>
      <c r="J431" s="37" t="n">
        <v>27</v>
      </c>
      <c r="K431" s="37" t="n">
        <v>0</v>
      </c>
      <c r="L431" s="37" t="str">
        <f aca="false">IF(C431="","",IF(C431&lt;=5,"Night (00-05)",IF(C431&lt;=11,"Morning (06-11)",IF(C431&lt;=16,"Afternoon (12-16)",IF(C431&lt;=20,"Evening (17-20)","Late (21-23)")))))</f>
        <v>Afternoon (12-16)</v>
      </c>
    </row>
    <row r="432" customFormat="false" ht="15" hidden="false" customHeight="false" outlineLevel="0" collapsed="false">
      <c r="A432" s="37" t="s">
        <v>537</v>
      </c>
      <c r="B432" s="38" t="n">
        <v>46318</v>
      </c>
      <c r="C432" s="37" t="n">
        <v>21</v>
      </c>
      <c r="D432" s="37" t="s">
        <v>37</v>
      </c>
      <c r="E432" s="37" t="s">
        <v>49</v>
      </c>
      <c r="F432" s="37" t="s">
        <v>23</v>
      </c>
      <c r="G432" s="39" t="b">
        <f aca="false">TRUE()</f>
        <v>1</v>
      </c>
      <c r="H432" s="37" t="n">
        <v>401.17</v>
      </c>
      <c r="I432" s="37" t="n">
        <v>5</v>
      </c>
      <c r="J432" s="37" t="n">
        <v>55</v>
      </c>
      <c r="K432" s="37" t="n">
        <v>0</v>
      </c>
      <c r="L432" s="37" t="str">
        <f aca="false">IF(C432="","",IF(C432&lt;=5,"Night (00-05)",IF(C432&lt;=11,"Morning (06-11)",IF(C432&lt;=16,"Afternoon (12-16)",IF(C432&lt;=20,"Evening (17-20)","Late (21-23)")))))</f>
        <v>Late (21-23)</v>
      </c>
    </row>
    <row r="433" customFormat="false" ht="15" hidden="false" customHeight="false" outlineLevel="0" collapsed="false">
      <c r="A433" s="37" t="s">
        <v>538</v>
      </c>
      <c r="B433" s="38" t="n">
        <v>46321</v>
      </c>
      <c r="C433" s="37" t="n">
        <v>23</v>
      </c>
      <c r="D433" s="37" t="s">
        <v>37</v>
      </c>
      <c r="E433" s="37" t="s">
        <v>48</v>
      </c>
      <c r="F433" s="37" t="s">
        <v>23</v>
      </c>
      <c r="G433" s="39" t="b">
        <f aca="false">TRUE()</f>
        <v>1</v>
      </c>
      <c r="H433" s="37" t="n">
        <v>764.25</v>
      </c>
      <c r="I433" s="37" t="n">
        <v>5</v>
      </c>
      <c r="J433" s="37" t="n">
        <v>44</v>
      </c>
      <c r="K433" s="37" t="n">
        <v>0</v>
      </c>
      <c r="L433" s="37" t="str">
        <f aca="false">IF(C433="","",IF(C433&lt;=5,"Night (00-05)",IF(C433&lt;=11,"Morning (06-11)",IF(C433&lt;=16,"Afternoon (12-16)",IF(C433&lt;=20,"Evening (17-20)","Late (21-23)")))))</f>
        <v>Late (21-23)</v>
      </c>
    </row>
    <row r="434" customFormat="false" ht="15" hidden="false" customHeight="false" outlineLevel="0" collapsed="false">
      <c r="A434" s="37" t="s">
        <v>539</v>
      </c>
      <c r="B434" s="38" t="n">
        <v>46320</v>
      </c>
      <c r="C434" s="37" t="n">
        <v>3</v>
      </c>
      <c r="D434" s="37" t="s">
        <v>39</v>
      </c>
      <c r="E434" s="37" t="s">
        <v>49</v>
      </c>
      <c r="F434" s="37" t="s">
        <v>113</v>
      </c>
      <c r="G434" s="39" t="b">
        <f aca="false">TRUE()</f>
        <v>1</v>
      </c>
      <c r="H434" s="37" t="n">
        <v>690.8</v>
      </c>
      <c r="K434" s="37" t="n">
        <v>0</v>
      </c>
      <c r="L434" s="37" t="str">
        <f aca="false">IF(C434="","",IF(C434&lt;=5,"Night (00-05)",IF(C434&lt;=11,"Morning (06-11)",IF(C434&lt;=16,"Afternoon (12-16)",IF(C434&lt;=20,"Evening (17-20)","Late (21-23)")))))</f>
        <v>Night (00-05)</v>
      </c>
    </row>
    <row r="435" customFormat="false" ht="15" hidden="false" customHeight="false" outlineLevel="0" collapsed="false">
      <c r="A435" s="37" t="s">
        <v>540</v>
      </c>
      <c r="B435" s="38" t="n">
        <v>46321</v>
      </c>
      <c r="C435" s="37" t="n">
        <v>17</v>
      </c>
      <c r="D435" s="37" t="s">
        <v>40</v>
      </c>
      <c r="E435" s="37" t="s">
        <v>49</v>
      </c>
      <c r="F435" s="37" t="s">
        <v>23</v>
      </c>
      <c r="G435" s="39" t="b">
        <f aca="false">TRUE()</f>
        <v>1</v>
      </c>
      <c r="H435" s="37" t="n">
        <v>1142.84</v>
      </c>
      <c r="I435" s="37" t="n">
        <v>4</v>
      </c>
      <c r="J435" s="37" t="n">
        <v>52</v>
      </c>
      <c r="K435" s="37" t="n">
        <v>0</v>
      </c>
      <c r="L435" s="37" t="str">
        <f aca="false">IF(C435="","",IF(C435&lt;=5,"Night (00-05)",IF(C435&lt;=11,"Morning (06-11)",IF(C435&lt;=16,"Afternoon (12-16)",IF(C435&lt;=20,"Evening (17-20)","Late (21-23)")))))</f>
        <v>Evening (17-20)</v>
      </c>
    </row>
    <row r="436" customFormat="false" ht="15" hidden="false" customHeight="false" outlineLevel="0" collapsed="false">
      <c r="A436" s="37" t="s">
        <v>541</v>
      </c>
      <c r="B436" s="38" t="n">
        <v>46320</v>
      </c>
      <c r="C436" s="37" t="n">
        <v>23</v>
      </c>
      <c r="D436" s="37" t="s">
        <v>37</v>
      </c>
      <c r="E436" s="37" t="s">
        <v>48</v>
      </c>
      <c r="F436" s="37" t="s">
        <v>23</v>
      </c>
      <c r="G436" s="39" t="b">
        <f aca="false">TRUE()</f>
        <v>1</v>
      </c>
      <c r="H436" s="37" t="n">
        <v>503.86</v>
      </c>
      <c r="I436" s="37" t="n">
        <v>5</v>
      </c>
      <c r="J436" s="37" t="n">
        <v>42</v>
      </c>
      <c r="K436" s="37" t="n">
        <v>0</v>
      </c>
      <c r="L436" s="37" t="str">
        <f aca="false">IF(C436="","",IF(C436&lt;=5,"Night (00-05)",IF(C436&lt;=11,"Morning (06-11)",IF(C436&lt;=16,"Afternoon (12-16)",IF(C436&lt;=20,"Evening (17-20)","Late (21-23)")))))</f>
        <v>Late (21-23)</v>
      </c>
    </row>
    <row r="437" customFormat="false" ht="15" hidden="false" customHeight="false" outlineLevel="0" collapsed="false">
      <c r="A437" s="37" t="s">
        <v>542</v>
      </c>
      <c r="B437" s="38" t="n">
        <v>46317</v>
      </c>
      <c r="C437" s="37" t="n">
        <v>6</v>
      </c>
      <c r="D437" s="37" t="s">
        <v>40</v>
      </c>
      <c r="E437" s="37" t="s">
        <v>47</v>
      </c>
      <c r="F437" s="37" t="s">
        <v>23</v>
      </c>
      <c r="G437" s="39" t="b">
        <f aca="false">TRUE()</f>
        <v>1</v>
      </c>
      <c r="H437" s="37" t="n">
        <v>1107.62</v>
      </c>
      <c r="I437" s="37" t="n">
        <v>5</v>
      </c>
      <c r="J437" s="37" t="n">
        <v>46</v>
      </c>
      <c r="K437" s="37" t="n">
        <v>0</v>
      </c>
      <c r="L437" s="37" t="str">
        <f aca="false">IF(C437="","",IF(C437&lt;=5,"Night (00-05)",IF(C437&lt;=11,"Morning (06-11)",IF(C437&lt;=16,"Afternoon (12-16)",IF(C437&lt;=20,"Evening (17-20)","Late (21-23)")))))</f>
        <v>Morning (06-11)</v>
      </c>
    </row>
    <row r="438" customFormat="false" ht="15" hidden="false" customHeight="false" outlineLevel="0" collapsed="false">
      <c r="A438" s="37" t="s">
        <v>543</v>
      </c>
      <c r="B438" s="38" t="n">
        <v>46321</v>
      </c>
      <c r="C438" s="37" t="n">
        <v>22</v>
      </c>
      <c r="D438" s="37" t="s">
        <v>39</v>
      </c>
      <c r="E438" s="37" t="s">
        <v>47</v>
      </c>
      <c r="F438" s="37" t="s">
        <v>23</v>
      </c>
      <c r="G438" s="39" t="b">
        <f aca="false">TRUE()</f>
        <v>1</v>
      </c>
      <c r="H438" s="37" t="n">
        <v>508.09</v>
      </c>
      <c r="I438" s="37" t="n">
        <v>3</v>
      </c>
      <c r="J438" s="37" t="n">
        <v>29</v>
      </c>
      <c r="K438" s="37" t="n">
        <v>0</v>
      </c>
      <c r="L438" s="37" t="str">
        <f aca="false">IF(C438="","",IF(C438&lt;=5,"Night (00-05)",IF(C438&lt;=11,"Morning (06-11)",IF(C438&lt;=16,"Afternoon (12-16)",IF(C438&lt;=20,"Evening (17-20)","Late (21-23)")))))</f>
        <v>Late (21-23)</v>
      </c>
    </row>
    <row r="439" customFormat="false" ht="15" hidden="false" customHeight="false" outlineLevel="0" collapsed="false">
      <c r="A439" s="37" t="s">
        <v>544</v>
      </c>
      <c r="B439" s="38" t="n">
        <v>46315</v>
      </c>
      <c r="C439" s="37" t="n">
        <v>16</v>
      </c>
      <c r="D439" s="37" t="s">
        <v>37</v>
      </c>
      <c r="E439" s="37" t="s">
        <v>46</v>
      </c>
      <c r="F439" s="37" t="s">
        <v>23</v>
      </c>
      <c r="G439" s="39" t="b">
        <f aca="false">TRUE()</f>
        <v>1</v>
      </c>
      <c r="H439" s="37" t="n">
        <v>740.7</v>
      </c>
      <c r="I439" s="37" t="n">
        <v>5</v>
      </c>
      <c r="J439" s="37" t="n">
        <v>23</v>
      </c>
      <c r="K439" s="37" t="n">
        <v>0</v>
      </c>
      <c r="L439" s="37" t="str">
        <f aca="false">IF(C439="","",IF(C439&lt;=5,"Night (00-05)",IF(C439&lt;=11,"Morning (06-11)",IF(C439&lt;=16,"Afternoon (12-16)",IF(C439&lt;=20,"Evening (17-20)","Late (21-23)")))))</f>
        <v>Afternoon (12-16)</v>
      </c>
    </row>
    <row r="440" customFormat="false" ht="15" hidden="false" customHeight="false" outlineLevel="0" collapsed="false">
      <c r="A440" s="37" t="s">
        <v>545</v>
      </c>
      <c r="B440" s="38" t="n">
        <v>46317</v>
      </c>
      <c r="C440" s="37" t="n">
        <v>17</v>
      </c>
      <c r="D440" s="37" t="s">
        <v>40</v>
      </c>
      <c r="E440" s="37" t="s">
        <v>49</v>
      </c>
      <c r="F440" s="37" t="s">
        <v>23</v>
      </c>
      <c r="G440" s="39" t="b">
        <f aca="false">TRUE()</f>
        <v>1</v>
      </c>
      <c r="H440" s="37" t="n">
        <v>580.98</v>
      </c>
      <c r="I440" s="37" t="n">
        <v>5</v>
      </c>
      <c r="J440" s="37" t="n">
        <v>55</v>
      </c>
      <c r="K440" s="37" t="n">
        <v>0</v>
      </c>
      <c r="L440" s="37" t="str">
        <f aca="false">IF(C440="","",IF(C440&lt;=5,"Night (00-05)",IF(C440&lt;=11,"Morning (06-11)",IF(C440&lt;=16,"Afternoon (12-16)",IF(C440&lt;=20,"Evening (17-20)","Late (21-23)")))))</f>
        <v>Evening (17-20)</v>
      </c>
    </row>
    <row r="441" customFormat="false" ht="15" hidden="false" customHeight="false" outlineLevel="0" collapsed="false">
      <c r="A441" s="37" t="s">
        <v>546</v>
      </c>
      <c r="B441" s="38" t="n">
        <v>46321</v>
      </c>
      <c r="C441" s="37" t="n">
        <v>0</v>
      </c>
      <c r="D441" s="37" t="s">
        <v>40</v>
      </c>
      <c r="E441" s="37" t="s">
        <v>47</v>
      </c>
      <c r="F441" s="37" t="s">
        <v>23</v>
      </c>
      <c r="G441" s="39" t="b">
        <f aca="false">TRUE()</f>
        <v>1</v>
      </c>
      <c r="H441" s="37" t="n">
        <v>1240.19</v>
      </c>
      <c r="I441" s="37" t="n">
        <v>5</v>
      </c>
      <c r="J441" s="37" t="n">
        <v>40</v>
      </c>
      <c r="K441" s="37" t="n">
        <v>0</v>
      </c>
      <c r="L441" s="37" t="str">
        <f aca="false">IF(C441="","",IF(C441&lt;=5,"Night (00-05)",IF(C441&lt;=11,"Morning (06-11)",IF(C441&lt;=16,"Afternoon (12-16)",IF(C441&lt;=20,"Evening (17-20)","Late (21-23)")))))</f>
        <v>Night (00-05)</v>
      </c>
    </row>
    <row r="442" customFormat="false" ht="15" hidden="false" customHeight="false" outlineLevel="0" collapsed="false">
      <c r="A442" s="37" t="s">
        <v>547</v>
      </c>
      <c r="B442" s="38" t="n">
        <v>46315</v>
      </c>
      <c r="C442" s="37" t="n">
        <v>9</v>
      </c>
      <c r="D442" s="37" t="s">
        <v>39</v>
      </c>
      <c r="E442" s="37" t="s">
        <v>48</v>
      </c>
      <c r="F442" s="37" t="s">
        <v>23</v>
      </c>
      <c r="G442" s="39" t="b">
        <f aca="false">TRUE()</f>
        <v>1</v>
      </c>
      <c r="H442" s="37" t="n">
        <v>663.59</v>
      </c>
      <c r="I442" s="37" t="n">
        <v>5</v>
      </c>
      <c r="J442" s="37" t="n">
        <v>43</v>
      </c>
      <c r="K442" s="37" t="n">
        <v>0</v>
      </c>
      <c r="L442" s="37" t="str">
        <f aca="false">IF(C442="","",IF(C442&lt;=5,"Night (00-05)",IF(C442&lt;=11,"Morning (06-11)",IF(C442&lt;=16,"Afternoon (12-16)",IF(C442&lt;=20,"Evening (17-20)","Late (21-23)")))))</f>
        <v>Morning (06-11)</v>
      </c>
    </row>
    <row r="443" customFormat="false" ht="15" hidden="false" customHeight="false" outlineLevel="0" collapsed="false">
      <c r="A443" s="37" t="s">
        <v>548</v>
      </c>
      <c r="B443" s="38" t="n">
        <v>46320</v>
      </c>
      <c r="C443" s="37" t="n">
        <v>1</v>
      </c>
      <c r="D443" s="37" t="s">
        <v>37</v>
      </c>
      <c r="E443" s="37" t="s">
        <v>46</v>
      </c>
      <c r="F443" s="37" t="s">
        <v>129</v>
      </c>
      <c r="G443" s="39" t="b">
        <f aca="false">FALSE()</f>
        <v>0</v>
      </c>
      <c r="H443" s="37" t="n">
        <v>623.41</v>
      </c>
      <c r="K443" s="37" t="n">
        <v>0</v>
      </c>
      <c r="L443" s="37" t="str">
        <f aca="false">IF(C443="","",IF(C443&lt;=5,"Night (00-05)",IF(C443&lt;=11,"Morning (06-11)",IF(C443&lt;=16,"Afternoon (12-16)",IF(C443&lt;=20,"Evening (17-20)","Late (21-23)")))))</f>
        <v>Night (00-05)</v>
      </c>
    </row>
    <row r="444" customFormat="false" ht="15" hidden="false" customHeight="false" outlineLevel="0" collapsed="false">
      <c r="A444" s="37" t="s">
        <v>549</v>
      </c>
      <c r="B444" s="38" t="n">
        <v>46315</v>
      </c>
      <c r="C444" s="37" t="n">
        <v>16</v>
      </c>
      <c r="D444" s="37" t="s">
        <v>38</v>
      </c>
      <c r="E444" s="37" t="s">
        <v>49</v>
      </c>
      <c r="F444" s="37" t="s">
        <v>23</v>
      </c>
      <c r="G444" s="39" t="b">
        <f aca="false">TRUE()</f>
        <v>1</v>
      </c>
      <c r="H444" s="37" t="n">
        <v>827.44</v>
      </c>
      <c r="I444" s="37" t="n">
        <v>3</v>
      </c>
      <c r="J444" s="37" t="n">
        <v>36</v>
      </c>
      <c r="K444" s="37" t="n">
        <v>0</v>
      </c>
      <c r="L444" s="37" t="str">
        <f aca="false">IF(C444="","",IF(C444&lt;=5,"Night (00-05)",IF(C444&lt;=11,"Morning (06-11)",IF(C444&lt;=16,"Afternoon (12-16)",IF(C444&lt;=20,"Evening (17-20)","Late (21-23)")))))</f>
        <v>Afternoon (12-16)</v>
      </c>
    </row>
    <row r="445" customFormat="false" ht="15" hidden="false" customHeight="false" outlineLevel="0" collapsed="false">
      <c r="A445" s="37" t="s">
        <v>550</v>
      </c>
      <c r="B445" s="38" t="n">
        <v>46320</v>
      </c>
      <c r="C445" s="37" t="n">
        <v>3</v>
      </c>
      <c r="D445" s="37" t="s">
        <v>39</v>
      </c>
      <c r="E445" s="37" t="s">
        <v>48</v>
      </c>
      <c r="F445" s="37" t="s">
        <v>113</v>
      </c>
      <c r="G445" s="39" t="b">
        <f aca="false">TRUE()</f>
        <v>1</v>
      </c>
      <c r="H445" s="37" t="n">
        <v>314.98</v>
      </c>
      <c r="K445" s="37" t="n">
        <v>0</v>
      </c>
      <c r="L445" s="37" t="str">
        <f aca="false">IF(C445="","",IF(C445&lt;=5,"Night (00-05)",IF(C445&lt;=11,"Morning (06-11)",IF(C445&lt;=16,"Afternoon (12-16)",IF(C445&lt;=20,"Evening (17-20)","Late (21-23)")))))</f>
        <v>Night (00-05)</v>
      </c>
    </row>
    <row r="446" customFormat="false" ht="15" hidden="false" customHeight="false" outlineLevel="0" collapsed="false">
      <c r="A446" s="37" t="s">
        <v>551</v>
      </c>
      <c r="B446" s="38" t="n">
        <v>46319</v>
      </c>
      <c r="C446" s="37" t="n">
        <v>13</v>
      </c>
      <c r="D446" s="37" t="s">
        <v>40</v>
      </c>
      <c r="E446" s="37" t="s">
        <v>49</v>
      </c>
      <c r="F446" s="37" t="s">
        <v>23</v>
      </c>
      <c r="G446" s="39" t="b">
        <f aca="false">TRUE()</f>
        <v>1</v>
      </c>
      <c r="H446" s="37" t="n">
        <v>1130.93</v>
      </c>
      <c r="I446" s="37" t="n">
        <v>5</v>
      </c>
      <c r="J446" s="37" t="n">
        <v>24</v>
      </c>
      <c r="K446" s="37" t="n">
        <v>0</v>
      </c>
      <c r="L446" s="37" t="str">
        <f aca="false">IF(C446="","",IF(C446&lt;=5,"Night (00-05)",IF(C446&lt;=11,"Morning (06-11)",IF(C446&lt;=16,"Afternoon (12-16)",IF(C446&lt;=20,"Evening (17-20)","Late (21-23)")))))</f>
        <v>Afternoon (12-16)</v>
      </c>
    </row>
    <row r="447" customFormat="false" ht="15" hidden="false" customHeight="false" outlineLevel="0" collapsed="false">
      <c r="A447" s="37" t="s">
        <v>552</v>
      </c>
      <c r="B447" s="38" t="n">
        <v>46317</v>
      </c>
      <c r="C447" s="37" t="n">
        <v>22</v>
      </c>
      <c r="D447" s="37" t="s">
        <v>38</v>
      </c>
      <c r="E447" s="37" t="s">
        <v>48</v>
      </c>
      <c r="F447" s="37" t="s">
        <v>23</v>
      </c>
      <c r="G447" s="39" t="b">
        <f aca="false">TRUE()</f>
        <v>1</v>
      </c>
      <c r="H447" s="37" t="n">
        <v>1090.15</v>
      </c>
      <c r="I447" s="37" t="n">
        <v>4</v>
      </c>
      <c r="J447" s="37" t="n">
        <v>25</v>
      </c>
      <c r="K447" s="37" t="n">
        <v>0</v>
      </c>
      <c r="L447" s="37" t="str">
        <f aca="false">IF(C447="","",IF(C447&lt;=5,"Night (00-05)",IF(C447&lt;=11,"Morning (06-11)",IF(C447&lt;=16,"Afternoon (12-16)",IF(C447&lt;=20,"Evening (17-20)","Late (21-23)")))))</f>
        <v>Late (21-23)</v>
      </c>
    </row>
    <row r="448" customFormat="false" ht="15" hidden="false" customHeight="false" outlineLevel="0" collapsed="false">
      <c r="A448" s="37" t="s">
        <v>553</v>
      </c>
      <c r="B448" s="38" t="n">
        <v>46317</v>
      </c>
      <c r="C448" s="37" t="n">
        <v>0</v>
      </c>
      <c r="D448" s="37" t="s">
        <v>40</v>
      </c>
      <c r="E448" s="37" t="s">
        <v>48</v>
      </c>
      <c r="F448" s="37" t="s">
        <v>23</v>
      </c>
      <c r="G448" s="39" t="b">
        <f aca="false">TRUE()</f>
        <v>1</v>
      </c>
      <c r="H448" s="37" t="n">
        <v>1259.25</v>
      </c>
      <c r="I448" s="37" t="n">
        <v>5</v>
      </c>
      <c r="J448" s="37" t="n">
        <v>50</v>
      </c>
      <c r="K448" s="37" t="n">
        <v>0</v>
      </c>
      <c r="L448" s="37" t="str">
        <f aca="false">IF(C448="","",IF(C448&lt;=5,"Night (00-05)",IF(C448&lt;=11,"Morning (06-11)",IF(C448&lt;=16,"Afternoon (12-16)",IF(C448&lt;=20,"Evening (17-20)","Late (21-23)")))))</f>
        <v>Night (00-05)</v>
      </c>
    </row>
    <row r="449" customFormat="false" ht="15" hidden="false" customHeight="false" outlineLevel="0" collapsed="false">
      <c r="A449" s="37" t="s">
        <v>554</v>
      </c>
      <c r="B449" s="38" t="n">
        <v>46322</v>
      </c>
      <c r="C449" s="37" t="n">
        <v>1</v>
      </c>
      <c r="D449" s="37" t="s">
        <v>38</v>
      </c>
      <c r="E449" s="37" t="s">
        <v>46</v>
      </c>
      <c r="F449" s="37" t="s">
        <v>113</v>
      </c>
      <c r="G449" s="39" t="b">
        <f aca="false">TRUE()</f>
        <v>1</v>
      </c>
      <c r="H449" s="37" t="n">
        <v>1110.97</v>
      </c>
      <c r="K449" s="37" t="n">
        <v>0</v>
      </c>
      <c r="L449" s="37" t="str">
        <f aca="false">IF(C449="","",IF(C449&lt;=5,"Night (00-05)",IF(C449&lt;=11,"Morning (06-11)",IF(C449&lt;=16,"Afternoon (12-16)",IF(C449&lt;=20,"Evening (17-20)","Late (21-23)")))))</f>
        <v>Night (00-05)</v>
      </c>
    </row>
    <row r="450" customFormat="false" ht="15" hidden="false" customHeight="false" outlineLevel="0" collapsed="false">
      <c r="A450" s="37" t="s">
        <v>555</v>
      </c>
      <c r="B450" s="38" t="n">
        <v>46320</v>
      </c>
      <c r="C450" s="37" t="n">
        <v>4</v>
      </c>
      <c r="D450" s="37" t="s">
        <v>40</v>
      </c>
      <c r="E450" s="37" t="s">
        <v>49</v>
      </c>
      <c r="F450" s="37" t="s">
        <v>113</v>
      </c>
      <c r="G450" s="39" t="b">
        <f aca="false">TRUE()</f>
        <v>1</v>
      </c>
      <c r="H450" s="37" t="n">
        <v>1231.75</v>
      </c>
      <c r="K450" s="37" t="n">
        <v>0</v>
      </c>
      <c r="L450" s="37" t="str">
        <f aca="false">IF(C450="","",IF(C450&lt;=5,"Night (00-05)",IF(C450&lt;=11,"Morning (06-11)",IF(C450&lt;=16,"Afternoon (12-16)",IF(C450&lt;=20,"Evening (17-20)","Late (21-23)")))))</f>
        <v>Night (00-05)</v>
      </c>
    </row>
    <row r="451" customFormat="false" ht="15" hidden="false" customHeight="false" outlineLevel="0" collapsed="false">
      <c r="A451" s="37" t="s">
        <v>556</v>
      </c>
      <c r="B451" s="38" t="n">
        <v>46318</v>
      </c>
      <c r="C451" s="37" t="n">
        <v>17</v>
      </c>
      <c r="D451" s="37" t="s">
        <v>38</v>
      </c>
      <c r="E451" s="37" t="s">
        <v>46</v>
      </c>
      <c r="F451" s="37" t="s">
        <v>23</v>
      </c>
      <c r="G451" s="39" t="b">
        <f aca="false">TRUE()</f>
        <v>1</v>
      </c>
      <c r="H451" s="37" t="n">
        <v>1159.02</v>
      </c>
      <c r="I451" s="37" t="n">
        <v>2</v>
      </c>
      <c r="J451" s="37" t="n">
        <v>51</v>
      </c>
      <c r="K451" s="37" t="n">
        <v>0</v>
      </c>
      <c r="L451" s="37" t="str">
        <f aca="false">IF(C451="","",IF(C451&lt;=5,"Night (00-05)",IF(C451&lt;=11,"Morning (06-11)",IF(C451&lt;=16,"Afternoon (12-16)",IF(C451&lt;=20,"Evening (17-20)","Late (21-23)")))))</f>
        <v>Evening (17-20)</v>
      </c>
    </row>
    <row r="452" customFormat="false" ht="15" hidden="false" customHeight="false" outlineLevel="0" collapsed="false">
      <c r="A452" s="37" t="s">
        <v>557</v>
      </c>
      <c r="B452" s="38" t="n">
        <v>46320</v>
      </c>
      <c r="C452" s="37" t="n">
        <v>16</v>
      </c>
      <c r="D452" s="37" t="s">
        <v>38</v>
      </c>
      <c r="E452" s="37" t="s">
        <v>48</v>
      </c>
      <c r="F452" s="37" t="s">
        <v>23</v>
      </c>
      <c r="G452" s="39" t="b">
        <f aca="false">TRUE()</f>
        <v>1</v>
      </c>
      <c r="H452" s="37" t="n">
        <v>1479.14</v>
      </c>
      <c r="I452" s="37" t="n">
        <v>1</v>
      </c>
      <c r="J452" s="37" t="n">
        <v>54</v>
      </c>
      <c r="K452" s="37" t="n">
        <v>0</v>
      </c>
      <c r="L452" s="37" t="str">
        <f aca="false">IF(C452="","",IF(C452&lt;=5,"Night (00-05)",IF(C452&lt;=11,"Morning (06-11)",IF(C452&lt;=16,"Afternoon (12-16)",IF(C452&lt;=20,"Evening (17-20)","Late (21-23)")))))</f>
        <v>Afternoon (12-16)</v>
      </c>
    </row>
    <row r="453" customFormat="false" ht="15" hidden="false" customHeight="false" outlineLevel="0" collapsed="false">
      <c r="A453" s="37" t="s">
        <v>558</v>
      </c>
      <c r="B453" s="38" t="n">
        <v>46315</v>
      </c>
      <c r="C453" s="37" t="n">
        <v>17</v>
      </c>
      <c r="D453" s="37" t="s">
        <v>37</v>
      </c>
      <c r="E453" s="37" t="s">
        <v>49</v>
      </c>
      <c r="F453" s="37" t="s">
        <v>23</v>
      </c>
      <c r="G453" s="39" t="b">
        <f aca="false">TRUE()</f>
        <v>1</v>
      </c>
      <c r="H453" s="37" t="n">
        <v>816.83</v>
      </c>
      <c r="I453" s="37" t="n">
        <v>5</v>
      </c>
      <c r="J453" s="37" t="n">
        <v>47</v>
      </c>
      <c r="K453" s="37" t="n">
        <v>0</v>
      </c>
      <c r="L453" s="37" t="str">
        <f aca="false">IF(C453="","",IF(C453&lt;=5,"Night (00-05)",IF(C453&lt;=11,"Morning (06-11)",IF(C453&lt;=16,"Afternoon (12-16)",IF(C453&lt;=20,"Evening (17-20)","Late (21-23)")))))</f>
        <v>Evening (17-20)</v>
      </c>
    </row>
    <row r="454" customFormat="false" ht="15" hidden="false" customHeight="false" outlineLevel="0" collapsed="false">
      <c r="A454" s="37" t="s">
        <v>559</v>
      </c>
      <c r="B454" s="38" t="n">
        <v>46316</v>
      </c>
      <c r="C454" s="37" t="n">
        <v>1</v>
      </c>
      <c r="D454" s="37" t="s">
        <v>39</v>
      </c>
      <c r="E454" s="37" t="s">
        <v>46</v>
      </c>
      <c r="F454" s="37" t="s">
        <v>23</v>
      </c>
      <c r="G454" s="39" t="b">
        <f aca="false">TRUE()</f>
        <v>1</v>
      </c>
      <c r="H454" s="37" t="n">
        <v>314.15</v>
      </c>
      <c r="I454" s="37" t="n">
        <v>5</v>
      </c>
      <c r="J454" s="37" t="n">
        <v>31</v>
      </c>
      <c r="K454" s="37" t="n">
        <v>0</v>
      </c>
      <c r="L454" s="37" t="str">
        <f aca="false">IF(C454="","",IF(C454&lt;=5,"Night (00-05)",IF(C454&lt;=11,"Morning (06-11)",IF(C454&lt;=16,"Afternoon (12-16)",IF(C454&lt;=20,"Evening (17-20)","Late (21-23)")))))</f>
        <v>Night (00-05)</v>
      </c>
    </row>
    <row r="455" customFormat="false" ht="15" hidden="false" customHeight="false" outlineLevel="0" collapsed="false">
      <c r="A455" s="37" t="s">
        <v>560</v>
      </c>
      <c r="B455" s="38" t="n">
        <v>46319</v>
      </c>
      <c r="C455" s="37" t="n">
        <v>14</v>
      </c>
      <c r="D455" s="37" t="s">
        <v>40</v>
      </c>
      <c r="E455" s="37" t="s">
        <v>49</v>
      </c>
      <c r="F455" s="37" t="s">
        <v>23</v>
      </c>
      <c r="G455" s="39" t="b">
        <f aca="false">TRUE()</f>
        <v>1</v>
      </c>
      <c r="H455" s="37" t="n">
        <v>809.43</v>
      </c>
      <c r="I455" s="37" t="n">
        <v>4</v>
      </c>
      <c r="J455" s="37" t="n">
        <v>47</v>
      </c>
      <c r="K455" s="37" t="n">
        <v>0</v>
      </c>
      <c r="L455" s="37" t="str">
        <f aca="false">IF(C455="","",IF(C455&lt;=5,"Night (00-05)",IF(C455&lt;=11,"Morning (06-11)",IF(C455&lt;=16,"Afternoon (12-16)",IF(C455&lt;=20,"Evening (17-20)","Late (21-23)")))))</f>
        <v>Afternoon (12-16)</v>
      </c>
    </row>
    <row r="456" customFormat="false" ht="15" hidden="false" customHeight="false" outlineLevel="0" collapsed="false">
      <c r="A456" s="37" t="s">
        <v>561</v>
      </c>
      <c r="B456" s="38" t="n">
        <v>46319</v>
      </c>
      <c r="C456" s="37" t="n">
        <v>0</v>
      </c>
      <c r="D456" s="37" t="s">
        <v>38</v>
      </c>
      <c r="E456" s="37" t="s">
        <v>47</v>
      </c>
      <c r="F456" s="37" t="s">
        <v>23</v>
      </c>
      <c r="G456" s="39" t="b">
        <f aca="false">TRUE()</f>
        <v>1</v>
      </c>
      <c r="H456" s="37" t="n">
        <v>1289.62</v>
      </c>
      <c r="I456" s="37" t="n">
        <v>3</v>
      </c>
      <c r="J456" s="37" t="n">
        <v>52</v>
      </c>
      <c r="K456" s="37" t="n">
        <v>0</v>
      </c>
      <c r="L456" s="37" t="str">
        <f aca="false">IF(C456="","",IF(C456&lt;=5,"Night (00-05)",IF(C456&lt;=11,"Morning (06-11)",IF(C456&lt;=16,"Afternoon (12-16)",IF(C456&lt;=20,"Evening (17-20)","Late (21-23)")))))</f>
        <v>Night (00-05)</v>
      </c>
    </row>
    <row r="457" customFormat="false" ht="15" hidden="false" customHeight="false" outlineLevel="0" collapsed="false">
      <c r="A457" s="37" t="s">
        <v>562</v>
      </c>
      <c r="B457" s="38" t="n">
        <v>46322</v>
      </c>
      <c r="C457" s="37" t="n">
        <v>1</v>
      </c>
      <c r="D457" s="37" t="s">
        <v>40</v>
      </c>
      <c r="E457" s="37" t="s">
        <v>49</v>
      </c>
      <c r="F457" s="37" t="s">
        <v>23</v>
      </c>
      <c r="G457" s="39" t="b">
        <f aca="false">TRUE()</f>
        <v>1</v>
      </c>
      <c r="H457" s="37" t="n">
        <v>804.13</v>
      </c>
      <c r="I457" s="37" t="n">
        <v>4</v>
      </c>
      <c r="J457" s="37" t="n">
        <v>21</v>
      </c>
      <c r="K457" s="37" t="n">
        <v>0</v>
      </c>
      <c r="L457" s="37" t="str">
        <f aca="false">IF(C457="","",IF(C457&lt;=5,"Night (00-05)",IF(C457&lt;=11,"Morning (06-11)",IF(C457&lt;=16,"Afternoon (12-16)",IF(C457&lt;=20,"Evening (17-20)","Late (21-23)")))))</f>
        <v>Night (00-05)</v>
      </c>
    </row>
    <row r="458" customFormat="false" ht="15" hidden="false" customHeight="false" outlineLevel="0" collapsed="false">
      <c r="A458" s="37" t="s">
        <v>563</v>
      </c>
      <c r="B458" s="38" t="n">
        <v>46319</v>
      </c>
      <c r="C458" s="37" t="n">
        <v>17</v>
      </c>
      <c r="D458" s="37" t="s">
        <v>40</v>
      </c>
      <c r="E458" s="37" t="s">
        <v>48</v>
      </c>
      <c r="F458" s="37" t="s">
        <v>113</v>
      </c>
      <c r="G458" s="39" t="b">
        <f aca="false">TRUE()</f>
        <v>1</v>
      </c>
      <c r="H458" s="37" t="n">
        <v>737.45</v>
      </c>
      <c r="K458" s="37" t="n">
        <v>0</v>
      </c>
      <c r="L458" s="37" t="str">
        <f aca="false">IF(C458="","",IF(C458&lt;=5,"Night (00-05)",IF(C458&lt;=11,"Morning (06-11)",IF(C458&lt;=16,"Afternoon (12-16)",IF(C458&lt;=20,"Evening (17-20)","Late (21-23)")))))</f>
        <v>Evening (17-20)</v>
      </c>
    </row>
    <row r="459" customFormat="false" ht="15" hidden="false" customHeight="false" outlineLevel="0" collapsed="false">
      <c r="A459" s="37" t="s">
        <v>564</v>
      </c>
      <c r="B459" s="38" t="n">
        <v>46322</v>
      </c>
      <c r="C459" s="37" t="n">
        <v>3</v>
      </c>
      <c r="D459" s="37" t="s">
        <v>38</v>
      </c>
      <c r="E459" s="37" t="s">
        <v>48</v>
      </c>
      <c r="F459" s="37" t="s">
        <v>23</v>
      </c>
      <c r="G459" s="39" t="b">
        <f aca="false">TRUE()</f>
        <v>1</v>
      </c>
      <c r="H459" s="37" t="n">
        <v>885.26</v>
      </c>
      <c r="I459" s="37" t="n">
        <v>4</v>
      </c>
      <c r="J459" s="37" t="n">
        <v>45</v>
      </c>
      <c r="K459" s="37" t="n">
        <v>0</v>
      </c>
      <c r="L459" s="37" t="str">
        <f aca="false">IF(C459="","",IF(C459&lt;=5,"Night (00-05)",IF(C459&lt;=11,"Morning (06-11)",IF(C459&lt;=16,"Afternoon (12-16)",IF(C459&lt;=20,"Evening (17-20)","Late (21-23)")))))</f>
        <v>Night (00-05)</v>
      </c>
    </row>
    <row r="460" customFormat="false" ht="15" hidden="false" customHeight="false" outlineLevel="0" collapsed="false">
      <c r="A460" s="37" t="s">
        <v>565</v>
      </c>
      <c r="B460" s="38" t="n">
        <v>46315</v>
      </c>
      <c r="C460" s="37" t="n">
        <v>18</v>
      </c>
      <c r="D460" s="37" t="s">
        <v>40</v>
      </c>
      <c r="E460" s="37" t="s">
        <v>48</v>
      </c>
      <c r="F460" s="37" t="s">
        <v>23</v>
      </c>
      <c r="G460" s="39" t="b">
        <f aca="false">TRUE()</f>
        <v>1</v>
      </c>
      <c r="H460" s="37" t="n">
        <v>829.12</v>
      </c>
      <c r="I460" s="37" t="n">
        <v>3</v>
      </c>
      <c r="J460" s="37" t="n">
        <v>52</v>
      </c>
      <c r="K460" s="37" t="n">
        <v>0</v>
      </c>
      <c r="L460" s="37" t="str">
        <f aca="false">IF(C460="","",IF(C460&lt;=5,"Night (00-05)",IF(C460&lt;=11,"Morning (06-11)",IF(C460&lt;=16,"Afternoon (12-16)",IF(C460&lt;=20,"Evening (17-20)","Late (21-23)")))))</f>
        <v>Evening (17-20)</v>
      </c>
    </row>
    <row r="461" customFormat="false" ht="15" hidden="false" customHeight="false" outlineLevel="0" collapsed="false">
      <c r="A461" s="37" t="s">
        <v>566</v>
      </c>
      <c r="B461" s="38" t="n">
        <v>46316</v>
      </c>
      <c r="C461" s="37" t="n">
        <v>17</v>
      </c>
      <c r="D461" s="37" t="s">
        <v>37</v>
      </c>
      <c r="E461" s="37" t="s">
        <v>47</v>
      </c>
      <c r="F461" s="37" t="s">
        <v>23</v>
      </c>
      <c r="G461" s="39" t="b">
        <f aca="false">TRUE()</f>
        <v>1</v>
      </c>
      <c r="H461" s="37" t="n">
        <v>489.68</v>
      </c>
      <c r="I461" s="37" t="n">
        <v>5</v>
      </c>
      <c r="J461" s="37" t="n">
        <v>23</v>
      </c>
      <c r="K461" s="37" t="n">
        <v>0</v>
      </c>
      <c r="L461" s="37" t="str">
        <f aca="false">IF(C461="","",IF(C461&lt;=5,"Night (00-05)",IF(C461&lt;=11,"Morning (06-11)",IF(C461&lt;=16,"Afternoon (12-16)",IF(C461&lt;=20,"Evening (17-20)","Late (21-23)")))))</f>
        <v>Evening (17-20)</v>
      </c>
    </row>
    <row r="462" customFormat="false" ht="15" hidden="false" customHeight="false" outlineLevel="0" collapsed="false">
      <c r="A462" s="37" t="s">
        <v>567</v>
      </c>
      <c r="B462" s="38" t="n">
        <v>46319</v>
      </c>
      <c r="C462" s="37" t="n">
        <v>21</v>
      </c>
      <c r="D462" s="37" t="s">
        <v>40</v>
      </c>
      <c r="E462" s="37" t="s">
        <v>47</v>
      </c>
      <c r="F462" s="37" t="s">
        <v>23</v>
      </c>
      <c r="G462" s="39" t="b">
        <f aca="false">TRUE()</f>
        <v>1</v>
      </c>
      <c r="H462" s="37" t="n">
        <v>699.55</v>
      </c>
      <c r="I462" s="37" t="n">
        <v>5</v>
      </c>
      <c r="J462" s="37" t="n">
        <v>51</v>
      </c>
      <c r="K462" s="37" t="n">
        <v>0</v>
      </c>
      <c r="L462" s="37" t="str">
        <f aca="false">IF(C462="","",IF(C462&lt;=5,"Night (00-05)",IF(C462&lt;=11,"Morning (06-11)",IF(C462&lt;=16,"Afternoon (12-16)",IF(C462&lt;=20,"Evening (17-20)","Late (21-23)")))))</f>
        <v>Late (21-23)</v>
      </c>
    </row>
    <row r="463" customFormat="false" ht="15" hidden="false" customHeight="false" outlineLevel="0" collapsed="false">
      <c r="A463" s="37" t="s">
        <v>568</v>
      </c>
      <c r="B463" s="38" t="n">
        <v>46317</v>
      </c>
      <c r="C463" s="37" t="n">
        <v>15</v>
      </c>
      <c r="D463" s="37" t="s">
        <v>38</v>
      </c>
      <c r="E463" s="37" t="s">
        <v>46</v>
      </c>
      <c r="F463" s="37" t="s">
        <v>113</v>
      </c>
      <c r="G463" s="39" t="b">
        <f aca="false">TRUE()</f>
        <v>1</v>
      </c>
      <c r="H463" s="37" t="n">
        <v>1232.66</v>
      </c>
      <c r="K463" s="37" t="n">
        <v>0</v>
      </c>
      <c r="L463" s="37" t="str">
        <f aca="false">IF(C463="","",IF(C463&lt;=5,"Night (00-05)",IF(C463&lt;=11,"Morning (06-11)",IF(C463&lt;=16,"Afternoon (12-16)",IF(C463&lt;=20,"Evening (17-20)","Late (21-23)")))))</f>
        <v>Afternoon (12-16)</v>
      </c>
    </row>
    <row r="464" customFormat="false" ht="15" hidden="false" customHeight="false" outlineLevel="0" collapsed="false">
      <c r="A464" s="37" t="s">
        <v>569</v>
      </c>
      <c r="B464" s="38" t="n">
        <v>46317</v>
      </c>
      <c r="C464" s="37" t="n">
        <v>21</v>
      </c>
      <c r="D464" s="37" t="s">
        <v>40</v>
      </c>
      <c r="E464" s="37" t="s">
        <v>48</v>
      </c>
      <c r="F464" s="37" t="s">
        <v>23</v>
      </c>
      <c r="G464" s="39" t="b">
        <f aca="false">TRUE()</f>
        <v>1</v>
      </c>
      <c r="H464" s="37" t="n">
        <v>951.44</v>
      </c>
      <c r="I464" s="37" t="n">
        <v>5</v>
      </c>
      <c r="J464" s="37" t="n">
        <v>40</v>
      </c>
      <c r="K464" s="37" t="n">
        <v>0</v>
      </c>
      <c r="L464" s="37" t="str">
        <f aca="false">IF(C464="","",IF(C464&lt;=5,"Night (00-05)",IF(C464&lt;=11,"Morning (06-11)",IF(C464&lt;=16,"Afternoon (12-16)",IF(C464&lt;=20,"Evening (17-20)","Late (21-23)")))))</f>
        <v>Late (21-23)</v>
      </c>
    </row>
    <row r="465" customFormat="false" ht="15" hidden="false" customHeight="false" outlineLevel="0" collapsed="false">
      <c r="A465" s="37" t="s">
        <v>570</v>
      </c>
      <c r="B465" s="38" t="n">
        <v>46316</v>
      </c>
      <c r="C465" s="37" t="n">
        <v>8</v>
      </c>
      <c r="D465" s="37" t="s">
        <v>37</v>
      </c>
      <c r="E465" s="37" t="s">
        <v>49</v>
      </c>
      <c r="F465" s="37" t="s">
        <v>23</v>
      </c>
      <c r="G465" s="39" t="b">
        <f aca="false">TRUE()</f>
        <v>1</v>
      </c>
      <c r="H465" s="37" t="n">
        <v>537.34</v>
      </c>
      <c r="I465" s="37" t="n">
        <v>5</v>
      </c>
      <c r="J465" s="37" t="n">
        <v>41</v>
      </c>
      <c r="K465" s="37" t="n">
        <v>0</v>
      </c>
      <c r="L465" s="37" t="str">
        <f aca="false">IF(C465="","",IF(C465&lt;=5,"Night (00-05)",IF(C465&lt;=11,"Morning (06-11)",IF(C465&lt;=16,"Afternoon (12-16)",IF(C465&lt;=20,"Evening (17-20)","Late (21-23)")))))</f>
        <v>Morning (06-11)</v>
      </c>
    </row>
    <row r="466" customFormat="false" ht="15" hidden="false" customHeight="false" outlineLevel="0" collapsed="false">
      <c r="A466" s="37" t="s">
        <v>571</v>
      </c>
      <c r="B466" s="38" t="n">
        <v>46318</v>
      </c>
      <c r="C466" s="37" t="n">
        <v>21</v>
      </c>
      <c r="D466" s="37" t="s">
        <v>39</v>
      </c>
      <c r="E466" s="37" t="s">
        <v>47</v>
      </c>
      <c r="F466" s="37" t="s">
        <v>23</v>
      </c>
      <c r="G466" s="39" t="b">
        <f aca="false">TRUE()</f>
        <v>1</v>
      </c>
      <c r="H466" s="37" t="n">
        <v>369.31</v>
      </c>
      <c r="I466" s="37" t="n">
        <v>5</v>
      </c>
      <c r="J466" s="37" t="n">
        <v>37</v>
      </c>
      <c r="K466" s="37" t="n">
        <v>0</v>
      </c>
      <c r="L466" s="37" t="str">
        <f aca="false">IF(C466="","",IF(C466&lt;=5,"Night (00-05)",IF(C466&lt;=11,"Morning (06-11)",IF(C466&lt;=16,"Afternoon (12-16)",IF(C466&lt;=20,"Evening (17-20)","Late (21-23)")))))</f>
        <v>Late (21-23)</v>
      </c>
    </row>
    <row r="467" customFormat="false" ht="15" hidden="false" customHeight="false" outlineLevel="0" collapsed="false">
      <c r="A467" s="37" t="s">
        <v>572</v>
      </c>
      <c r="B467" s="38" t="n">
        <v>46317</v>
      </c>
      <c r="C467" s="37" t="n">
        <v>3</v>
      </c>
      <c r="D467" s="37" t="s">
        <v>38</v>
      </c>
      <c r="E467" s="37" t="s">
        <v>47</v>
      </c>
      <c r="F467" s="37" t="s">
        <v>23</v>
      </c>
      <c r="G467" s="39" t="b">
        <f aca="false">TRUE()</f>
        <v>1</v>
      </c>
      <c r="H467" s="37" t="n">
        <v>1423.47</v>
      </c>
      <c r="I467" s="37" t="n">
        <v>5</v>
      </c>
      <c r="J467" s="37" t="n">
        <v>21</v>
      </c>
      <c r="K467" s="37" t="n">
        <v>0</v>
      </c>
      <c r="L467" s="37" t="str">
        <f aca="false">IF(C467="","",IF(C467&lt;=5,"Night (00-05)",IF(C467&lt;=11,"Morning (06-11)",IF(C467&lt;=16,"Afternoon (12-16)",IF(C467&lt;=20,"Evening (17-20)","Late (21-23)")))))</f>
        <v>Night (00-05)</v>
      </c>
    </row>
    <row r="468" customFormat="false" ht="15" hidden="false" customHeight="false" outlineLevel="0" collapsed="false">
      <c r="A468" s="37" t="s">
        <v>573</v>
      </c>
      <c r="B468" s="38" t="n">
        <v>46319</v>
      </c>
      <c r="C468" s="37" t="n">
        <v>20</v>
      </c>
      <c r="D468" s="37" t="s">
        <v>38</v>
      </c>
      <c r="E468" s="37" t="s">
        <v>46</v>
      </c>
      <c r="F468" s="37" t="s">
        <v>129</v>
      </c>
      <c r="G468" s="39" t="b">
        <f aca="false">FALSE()</f>
        <v>0</v>
      </c>
      <c r="H468" s="37" t="n">
        <v>1179.43</v>
      </c>
      <c r="K468" s="37" t="n">
        <v>0</v>
      </c>
      <c r="L468" s="37" t="str">
        <f aca="false">IF(C468="","",IF(C468&lt;=5,"Night (00-05)",IF(C468&lt;=11,"Morning (06-11)",IF(C468&lt;=16,"Afternoon (12-16)",IF(C468&lt;=20,"Evening (17-20)","Late (21-23)")))))</f>
        <v>Evening (17-20)</v>
      </c>
    </row>
    <row r="469" customFormat="false" ht="15" hidden="false" customHeight="false" outlineLevel="0" collapsed="false">
      <c r="A469" s="37" t="s">
        <v>574</v>
      </c>
      <c r="B469" s="38" t="n">
        <v>46319</v>
      </c>
      <c r="C469" s="37" t="n">
        <v>0</v>
      </c>
      <c r="D469" s="37" t="s">
        <v>39</v>
      </c>
      <c r="E469" s="37" t="s">
        <v>48</v>
      </c>
      <c r="F469" s="37" t="s">
        <v>23</v>
      </c>
      <c r="G469" s="39" t="b">
        <f aca="false">TRUE()</f>
        <v>1</v>
      </c>
      <c r="H469" s="37" t="n">
        <v>655.58</v>
      </c>
      <c r="I469" s="37" t="n">
        <v>3</v>
      </c>
      <c r="J469" s="37" t="n">
        <v>38</v>
      </c>
      <c r="K469" s="37" t="n">
        <v>0</v>
      </c>
      <c r="L469" s="37" t="str">
        <f aca="false">IF(C469="","",IF(C469&lt;=5,"Night (00-05)",IF(C469&lt;=11,"Morning (06-11)",IF(C469&lt;=16,"Afternoon (12-16)",IF(C469&lt;=20,"Evening (17-20)","Late (21-23)")))))</f>
        <v>Night (00-05)</v>
      </c>
    </row>
    <row r="470" customFormat="false" ht="15" hidden="false" customHeight="false" outlineLevel="0" collapsed="false">
      <c r="A470" s="37" t="s">
        <v>575</v>
      </c>
      <c r="B470" s="38" t="n">
        <v>46319</v>
      </c>
      <c r="C470" s="37" t="n">
        <v>22</v>
      </c>
      <c r="D470" s="37" t="s">
        <v>38</v>
      </c>
      <c r="E470" s="37" t="s">
        <v>48</v>
      </c>
      <c r="F470" s="37" t="s">
        <v>23</v>
      </c>
      <c r="G470" s="39" t="b">
        <f aca="false">TRUE()</f>
        <v>1</v>
      </c>
      <c r="H470" s="37" t="n">
        <v>1392.59</v>
      </c>
      <c r="I470" s="37" t="n">
        <v>5</v>
      </c>
      <c r="J470" s="37" t="n">
        <v>30</v>
      </c>
      <c r="K470" s="37" t="n">
        <v>0</v>
      </c>
      <c r="L470" s="37" t="str">
        <f aca="false">IF(C470="","",IF(C470&lt;=5,"Night (00-05)",IF(C470&lt;=11,"Morning (06-11)",IF(C470&lt;=16,"Afternoon (12-16)",IF(C470&lt;=20,"Evening (17-20)","Late (21-23)")))))</f>
        <v>Late (21-23)</v>
      </c>
    </row>
    <row r="471" customFormat="false" ht="15" hidden="false" customHeight="false" outlineLevel="0" collapsed="false">
      <c r="A471" s="37" t="s">
        <v>576</v>
      </c>
      <c r="B471" s="38" t="n">
        <v>46316</v>
      </c>
      <c r="C471" s="37" t="n">
        <v>21</v>
      </c>
      <c r="D471" s="37" t="s">
        <v>37</v>
      </c>
      <c r="E471" s="37" t="s">
        <v>49</v>
      </c>
      <c r="F471" s="37" t="s">
        <v>23</v>
      </c>
      <c r="G471" s="39" t="b">
        <f aca="false">TRUE()</f>
        <v>1</v>
      </c>
      <c r="H471" s="37" t="n">
        <v>868.59</v>
      </c>
      <c r="I471" s="37" t="n">
        <v>4</v>
      </c>
      <c r="J471" s="37" t="n">
        <v>51</v>
      </c>
      <c r="K471" s="37" t="n">
        <v>0</v>
      </c>
      <c r="L471" s="37" t="str">
        <f aca="false">IF(C471="","",IF(C471&lt;=5,"Night (00-05)",IF(C471&lt;=11,"Morning (06-11)",IF(C471&lt;=16,"Afternoon (12-16)",IF(C471&lt;=20,"Evening (17-20)","Late (21-23)")))))</f>
        <v>Late (21-23)</v>
      </c>
    </row>
    <row r="472" customFormat="false" ht="15" hidden="false" customHeight="false" outlineLevel="0" collapsed="false">
      <c r="A472" s="37" t="s">
        <v>577</v>
      </c>
      <c r="B472" s="38" t="n">
        <v>46317</v>
      </c>
      <c r="C472" s="37" t="n">
        <v>19</v>
      </c>
      <c r="D472" s="37" t="s">
        <v>37</v>
      </c>
      <c r="E472" s="37" t="s">
        <v>46</v>
      </c>
      <c r="F472" s="37" t="s">
        <v>113</v>
      </c>
      <c r="G472" s="39" t="b">
        <f aca="false">TRUE()</f>
        <v>1</v>
      </c>
      <c r="H472" s="37" t="n">
        <v>593.05</v>
      </c>
      <c r="K472" s="37" t="n">
        <v>0</v>
      </c>
      <c r="L472" s="37" t="str">
        <f aca="false">IF(C472="","",IF(C472&lt;=5,"Night (00-05)",IF(C472&lt;=11,"Morning (06-11)",IF(C472&lt;=16,"Afternoon (12-16)",IF(C472&lt;=20,"Evening (17-20)","Late (21-23)")))))</f>
        <v>Evening (17-20)</v>
      </c>
    </row>
    <row r="473" customFormat="false" ht="15" hidden="false" customHeight="false" outlineLevel="0" collapsed="false">
      <c r="A473" s="37" t="s">
        <v>578</v>
      </c>
      <c r="B473" s="38" t="n">
        <v>46315</v>
      </c>
      <c r="C473" s="37" t="n">
        <v>12</v>
      </c>
      <c r="D473" s="37" t="s">
        <v>38</v>
      </c>
      <c r="E473" s="37" t="s">
        <v>46</v>
      </c>
      <c r="F473" s="37" t="s">
        <v>23</v>
      </c>
      <c r="G473" s="39" t="b">
        <f aca="false">TRUE()</f>
        <v>1</v>
      </c>
      <c r="H473" s="37" t="n">
        <v>1383.41</v>
      </c>
      <c r="I473" s="37" t="n">
        <v>5</v>
      </c>
      <c r="J473" s="37" t="n">
        <v>54</v>
      </c>
      <c r="K473" s="37" t="n">
        <v>0</v>
      </c>
      <c r="L473" s="37" t="str">
        <f aca="false">IF(C473="","",IF(C473&lt;=5,"Night (00-05)",IF(C473&lt;=11,"Morning (06-11)",IF(C473&lt;=16,"Afternoon (12-16)",IF(C473&lt;=20,"Evening (17-20)","Late (21-23)")))))</f>
        <v>Afternoon (12-16)</v>
      </c>
    </row>
    <row r="474" customFormat="false" ht="15" hidden="false" customHeight="false" outlineLevel="0" collapsed="false">
      <c r="A474" s="37" t="s">
        <v>579</v>
      </c>
      <c r="B474" s="38" t="n">
        <v>46319</v>
      </c>
      <c r="C474" s="37" t="n">
        <v>0</v>
      </c>
      <c r="D474" s="37" t="s">
        <v>38</v>
      </c>
      <c r="E474" s="37" t="s">
        <v>46</v>
      </c>
      <c r="F474" s="37" t="s">
        <v>113</v>
      </c>
      <c r="G474" s="39" t="b">
        <f aca="false">TRUE()</f>
        <v>1</v>
      </c>
      <c r="H474" s="37" t="n">
        <v>1062.43</v>
      </c>
      <c r="K474" s="37" t="n">
        <v>0</v>
      </c>
      <c r="L474" s="37" t="str">
        <f aca="false">IF(C474="","",IF(C474&lt;=5,"Night (00-05)",IF(C474&lt;=11,"Morning (06-11)",IF(C474&lt;=16,"Afternoon (12-16)",IF(C474&lt;=20,"Evening (17-20)","Late (21-23)")))))</f>
        <v>Night (00-05)</v>
      </c>
    </row>
    <row r="475" customFormat="false" ht="15" hidden="false" customHeight="false" outlineLevel="0" collapsed="false">
      <c r="A475" s="37" t="s">
        <v>580</v>
      </c>
      <c r="B475" s="38" t="n">
        <v>46319</v>
      </c>
      <c r="C475" s="37" t="n">
        <v>20</v>
      </c>
      <c r="D475" s="37" t="s">
        <v>40</v>
      </c>
      <c r="E475" s="37" t="s">
        <v>49</v>
      </c>
      <c r="F475" s="37" t="s">
        <v>113</v>
      </c>
      <c r="G475" s="39" t="b">
        <f aca="false">TRUE()</f>
        <v>1</v>
      </c>
      <c r="H475" s="37" t="n">
        <v>1133.13</v>
      </c>
      <c r="K475" s="37" t="n">
        <v>0</v>
      </c>
      <c r="L475" s="37" t="str">
        <f aca="false">IF(C475="","",IF(C475&lt;=5,"Night (00-05)",IF(C475&lt;=11,"Morning (06-11)",IF(C475&lt;=16,"Afternoon (12-16)",IF(C475&lt;=20,"Evening (17-20)","Late (21-23)")))))</f>
        <v>Evening (17-20)</v>
      </c>
    </row>
    <row r="476" customFormat="false" ht="15" hidden="false" customHeight="false" outlineLevel="0" collapsed="false">
      <c r="A476" s="37" t="s">
        <v>581</v>
      </c>
      <c r="B476" s="38" t="n">
        <v>46315</v>
      </c>
      <c r="C476" s="37" t="n">
        <v>22</v>
      </c>
      <c r="D476" s="37" t="s">
        <v>37</v>
      </c>
      <c r="E476" s="37" t="s">
        <v>48</v>
      </c>
      <c r="F476" s="37" t="s">
        <v>23</v>
      </c>
      <c r="G476" s="39" t="b">
        <f aca="false">TRUE()</f>
        <v>1</v>
      </c>
      <c r="H476" s="37" t="n">
        <v>437.54</v>
      </c>
      <c r="I476" s="37" t="n">
        <v>4</v>
      </c>
      <c r="J476" s="37" t="n">
        <v>33</v>
      </c>
      <c r="K476" s="37" t="n">
        <v>0</v>
      </c>
      <c r="L476" s="37" t="str">
        <f aca="false">IF(C476="","",IF(C476&lt;=5,"Night (00-05)",IF(C476&lt;=11,"Morning (06-11)",IF(C476&lt;=16,"Afternoon (12-16)",IF(C476&lt;=20,"Evening (17-20)","Late (21-23)")))))</f>
        <v>Late (21-23)</v>
      </c>
    </row>
    <row r="477" customFormat="false" ht="15" hidden="false" customHeight="false" outlineLevel="0" collapsed="false">
      <c r="A477" s="37" t="s">
        <v>582</v>
      </c>
      <c r="B477" s="38" t="n">
        <v>46316</v>
      </c>
      <c r="C477" s="37" t="n">
        <v>19</v>
      </c>
      <c r="D477" s="37" t="s">
        <v>38</v>
      </c>
      <c r="E477" s="37" t="s">
        <v>48</v>
      </c>
      <c r="F477" s="37" t="s">
        <v>23</v>
      </c>
      <c r="G477" s="39" t="b">
        <f aca="false">TRUE()</f>
        <v>1</v>
      </c>
      <c r="H477" s="37" t="n">
        <v>1089.23</v>
      </c>
      <c r="I477" s="37" t="n">
        <v>4</v>
      </c>
      <c r="J477" s="37" t="n">
        <v>27</v>
      </c>
      <c r="K477" s="37" t="n">
        <v>0</v>
      </c>
      <c r="L477" s="37" t="str">
        <f aca="false">IF(C477="","",IF(C477&lt;=5,"Night (00-05)",IF(C477&lt;=11,"Morning (06-11)",IF(C477&lt;=16,"Afternoon (12-16)",IF(C477&lt;=20,"Evening (17-20)","Late (21-23)")))))</f>
        <v>Evening (17-20)</v>
      </c>
    </row>
    <row r="478" customFormat="false" ht="15" hidden="false" customHeight="false" outlineLevel="0" collapsed="false">
      <c r="A478" s="37" t="s">
        <v>583</v>
      </c>
      <c r="B478" s="38" t="n">
        <v>46318</v>
      </c>
      <c r="C478" s="37" t="n">
        <v>21</v>
      </c>
      <c r="D478" s="37" t="s">
        <v>39</v>
      </c>
      <c r="E478" s="37" t="s">
        <v>47</v>
      </c>
      <c r="F478" s="37" t="s">
        <v>23</v>
      </c>
      <c r="G478" s="39" t="b">
        <f aca="false">TRUE()</f>
        <v>1</v>
      </c>
      <c r="H478" s="37" t="n">
        <v>396.47</v>
      </c>
      <c r="I478" s="37" t="n">
        <v>3</v>
      </c>
      <c r="J478" s="37" t="n">
        <v>30</v>
      </c>
      <c r="K478" s="37" t="n">
        <v>0</v>
      </c>
      <c r="L478" s="37" t="str">
        <f aca="false">IF(C478="","",IF(C478&lt;=5,"Night (00-05)",IF(C478&lt;=11,"Morning (06-11)",IF(C478&lt;=16,"Afternoon (12-16)",IF(C478&lt;=20,"Evening (17-20)","Late (21-23)")))))</f>
        <v>Late (21-23)</v>
      </c>
    </row>
    <row r="479" customFormat="false" ht="15" hidden="false" customHeight="false" outlineLevel="0" collapsed="false">
      <c r="A479" s="37" t="s">
        <v>584</v>
      </c>
      <c r="B479" s="38" t="n">
        <v>46319</v>
      </c>
      <c r="C479" s="37" t="n">
        <v>12</v>
      </c>
      <c r="D479" s="37" t="s">
        <v>38</v>
      </c>
      <c r="E479" s="37" t="s">
        <v>48</v>
      </c>
      <c r="F479" s="37" t="s">
        <v>23</v>
      </c>
      <c r="G479" s="39" t="b">
        <f aca="false">TRUE()</f>
        <v>1</v>
      </c>
      <c r="H479" s="37" t="n">
        <v>979.78</v>
      </c>
      <c r="I479" s="37" t="n">
        <v>5</v>
      </c>
      <c r="J479" s="37" t="n">
        <v>45</v>
      </c>
      <c r="K479" s="37" t="n">
        <v>0</v>
      </c>
      <c r="L479" s="37" t="str">
        <f aca="false">IF(C479="","",IF(C479&lt;=5,"Night (00-05)",IF(C479&lt;=11,"Morning (06-11)",IF(C479&lt;=16,"Afternoon (12-16)",IF(C479&lt;=20,"Evening (17-20)","Late (21-23)")))))</f>
        <v>Afternoon (12-16)</v>
      </c>
    </row>
    <row r="480" customFormat="false" ht="15" hidden="false" customHeight="false" outlineLevel="0" collapsed="false">
      <c r="A480" s="37" t="s">
        <v>585</v>
      </c>
      <c r="B480" s="38" t="n">
        <v>46320</v>
      </c>
      <c r="C480" s="37" t="n">
        <v>0</v>
      </c>
      <c r="D480" s="37" t="s">
        <v>40</v>
      </c>
      <c r="E480" s="37" t="s">
        <v>47</v>
      </c>
      <c r="F480" s="37" t="s">
        <v>23</v>
      </c>
      <c r="G480" s="39" t="b">
        <f aca="false">TRUE()</f>
        <v>1</v>
      </c>
      <c r="H480" s="37" t="n">
        <v>672.27</v>
      </c>
      <c r="I480" s="37" t="n">
        <v>5</v>
      </c>
      <c r="J480" s="37" t="n">
        <v>50</v>
      </c>
      <c r="K480" s="37" t="n">
        <v>0</v>
      </c>
      <c r="L480" s="37" t="str">
        <f aca="false">IF(C480="","",IF(C480&lt;=5,"Night (00-05)",IF(C480&lt;=11,"Morning (06-11)",IF(C480&lt;=16,"Afternoon (12-16)",IF(C480&lt;=20,"Evening (17-20)","Late (21-23)")))))</f>
        <v>Night (00-05)</v>
      </c>
    </row>
    <row r="481" customFormat="false" ht="15" hidden="false" customHeight="false" outlineLevel="0" collapsed="false">
      <c r="A481" s="37" t="s">
        <v>586</v>
      </c>
      <c r="B481" s="38" t="n">
        <v>46316</v>
      </c>
      <c r="C481" s="37" t="n">
        <v>17</v>
      </c>
      <c r="D481" s="37" t="s">
        <v>37</v>
      </c>
      <c r="E481" s="37" t="s">
        <v>48</v>
      </c>
      <c r="F481" s="37" t="s">
        <v>23</v>
      </c>
      <c r="G481" s="39" t="b">
        <f aca="false">TRUE()</f>
        <v>1</v>
      </c>
      <c r="H481" s="37" t="n">
        <v>710.61</v>
      </c>
      <c r="I481" s="37" t="n">
        <v>5</v>
      </c>
      <c r="J481" s="37" t="n">
        <v>30</v>
      </c>
      <c r="K481" s="37" t="n">
        <v>0</v>
      </c>
      <c r="L481" s="37" t="str">
        <f aca="false">IF(C481="","",IF(C481&lt;=5,"Night (00-05)",IF(C481&lt;=11,"Morning (06-11)",IF(C481&lt;=16,"Afternoon (12-16)",IF(C481&lt;=20,"Evening (17-20)","Late (21-23)")))))</f>
        <v>Evening (17-20)</v>
      </c>
    </row>
    <row r="482" customFormat="false" ht="15" hidden="false" customHeight="false" outlineLevel="0" collapsed="false">
      <c r="A482" s="37" t="s">
        <v>587</v>
      </c>
      <c r="B482" s="38" t="n">
        <v>46318</v>
      </c>
      <c r="C482" s="37" t="n">
        <v>4</v>
      </c>
      <c r="D482" s="37" t="s">
        <v>38</v>
      </c>
      <c r="E482" s="37" t="s">
        <v>48</v>
      </c>
      <c r="F482" s="37" t="s">
        <v>23</v>
      </c>
      <c r="G482" s="39" t="b">
        <f aca="false">TRUE()</f>
        <v>1</v>
      </c>
      <c r="H482" s="37" t="n">
        <v>1063.75</v>
      </c>
      <c r="I482" s="37" t="n">
        <v>4</v>
      </c>
      <c r="J482" s="37" t="n">
        <v>21</v>
      </c>
      <c r="K482" s="37" t="n">
        <v>0</v>
      </c>
      <c r="L482" s="37" t="str">
        <f aca="false">IF(C482="","",IF(C482&lt;=5,"Night (00-05)",IF(C482&lt;=11,"Morning (06-11)",IF(C482&lt;=16,"Afternoon (12-16)",IF(C482&lt;=20,"Evening (17-20)","Late (21-23)")))))</f>
        <v>Night (00-05)</v>
      </c>
    </row>
    <row r="483" customFormat="false" ht="15" hidden="false" customHeight="false" outlineLevel="0" collapsed="false">
      <c r="A483" s="37" t="s">
        <v>588</v>
      </c>
      <c r="B483" s="38" t="n">
        <v>46322</v>
      </c>
      <c r="C483" s="37" t="n">
        <v>3</v>
      </c>
      <c r="D483" s="37" t="s">
        <v>37</v>
      </c>
      <c r="E483" s="37" t="s">
        <v>47</v>
      </c>
      <c r="F483" s="37" t="s">
        <v>113</v>
      </c>
      <c r="G483" s="39" t="b">
        <f aca="false">TRUE()</f>
        <v>1</v>
      </c>
      <c r="H483" s="37" t="n">
        <v>487.71</v>
      </c>
      <c r="K483" s="37" t="n">
        <v>0</v>
      </c>
      <c r="L483" s="37" t="str">
        <f aca="false">IF(C483="","",IF(C483&lt;=5,"Night (00-05)",IF(C483&lt;=11,"Morning (06-11)",IF(C483&lt;=16,"Afternoon (12-16)",IF(C483&lt;=20,"Evening (17-20)","Late (21-23)")))))</f>
        <v>Night (00-05)</v>
      </c>
    </row>
    <row r="484" customFormat="false" ht="15" hidden="false" customHeight="false" outlineLevel="0" collapsed="false">
      <c r="A484" s="37" t="s">
        <v>589</v>
      </c>
      <c r="B484" s="38" t="n">
        <v>46319</v>
      </c>
      <c r="C484" s="37" t="n">
        <v>12</v>
      </c>
      <c r="D484" s="37" t="s">
        <v>38</v>
      </c>
      <c r="E484" s="37" t="s">
        <v>47</v>
      </c>
      <c r="F484" s="37" t="s">
        <v>23</v>
      </c>
      <c r="G484" s="39" t="b">
        <f aca="false">TRUE()</f>
        <v>1</v>
      </c>
      <c r="H484" s="37" t="n">
        <v>1136.57</v>
      </c>
      <c r="I484" s="37" t="n">
        <v>5</v>
      </c>
      <c r="J484" s="37" t="n">
        <v>54</v>
      </c>
      <c r="K484" s="37" t="n">
        <v>0</v>
      </c>
      <c r="L484" s="37" t="str">
        <f aca="false">IF(C484="","",IF(C484&lt;=5,"Night (00-05)",IF(C484&lt;=11,"Morning (06-11)",IF(C484&lt;=16,"Afternoon (12-16)",IF(C484&lt;=20,"Evening (17-20)","Late (21-23)")))))</f>
        <v>Afternoon (12-16)</v>
      </c>
    </row>
    <row r="485" customFormat="false" ht="15" hidden="false" customHeight="false" outlineLevel="0" collapsed="false">
      <c r="A485" s="37" t="s">
        <v>590</v>
      </c>
      <c r="B485" s="38" t="n">
        <v>46322</v>
      </c>
      <c r="C485" s="37" t="n">
        <v>1</v>
      </c>
      <c r="D485" s="37" t="s">
        <v>39</v>
      </c>
      <c r="E485" s="37" t="s">
        <v>46</v>
      </c>
      <c r="F485" s="37" t="s">
        <v>23</v>
      </c>
      <c r="G485" s="39" t="b">
        <f aca="false">TRUE()</f>
        <v>1</v>
      </c>
      <c r="H485" s="37" t="n">
        <v>648.93</v>
      </c>
      <c r="I485" s="37" t="n">
        <v>4</v>
      </c>
      <c r="J485" s="37" t="n">
        <v>47</v>
      </c>
      <c r="K485" s="37" t="n">
        <v>0</v>
      </c>
      <c r="L485" s="37" t="str">
        <f aca="false">IF(C485="","",IF(C485&lt;=5,"Night (00-05)",IF(C485&lt;=11,"Morning (06-11)",IF(C485&lt;=16,"Afternoon (12-16)",IF(C485&lt;=20,"Evening (17-20)","Late (21-23)")))))</f>
        <v>Night (00-05)</v>
      </c>
    </row>
    <row r="486" customFormat="false" ht="15" hidden="false" customHeight="false" outlineLevel="0" collapsed="false">
      <c r="A486" s="37" t="s">
        <v>591</v>
      </c>
      <c r="B486" s="38" t="n">
        <v>46321</v>
      </c>
      <c r="C486" s="37" t="n">
        <v>21</v>
      </c>
      <c r="D486" s="37" t="s">
        <v>40</v>
      </c>
      <c r="E486" s="37" t="s">
        <v>47</v>
      </c>
      <c r="F486" s="37" t="s">
        <v>23</v>
      </c>
      <c r="G486" s="39" t="b">
        <f aca="false">TRUE()</f>
        <v>1</v>
      </c>
      <c r="H486" s="37" t="n">
        <v>839.39</v>
      </c>
      <c r="I486" s="37" t="n">
        <v>5</v>
      </c>
      <c r="J486" s="37" t="n">
        <v>34</v>
      </c>
      <c r="K486" s="37" t="n">
        <v>0</v>
      </c>
      <c r="L486" s="37" t="str">
        <f aca="false">IF(C486="","",IF(C486&lt;=5,"Night (00-05)",IF(C486&lt;=11,"Morning (06-11)",IF(C486&lt;=16,"Afternoon (12-16)",IF(C486&lt;=20,"Evening (17-20)","Late (21-23)")))))</f>
        <v>Late (21-23)</v>
      </c>
    </row>
    <row r="487" customFormat="false" ht="15" hidden="false" customHeight="false" outlineLevel="0" collapsed="false">
      <c r="A487" s="37" t="s">
        <v>592</v>
      </c>
      <c r="B487" s="38" t="n">
        <v>46315</v>
      </c>
      <c r="C487" s="37" t="n">
        <v>18</v>
      </c>
      <c r="D487" s="37" t="s">
        <v>39</v>
      </c>
      <c r="E487" s="37" t="s">
        <v>46</v>
      </c>
      <c r="F487" s="37" t="s">
        <v>23</v>
      </c>
      <c r="G487" s="39" t="b">
        <f aca="false">TRUE()</f>
        <v>1</v>
      </c>
      <c r="H487" s="37" t="n">
        <v>374.61</v>
      </c>
      <c r="I487" s="37" t="n">
        <v>5</v>
      </c>
      <c r="J487" s="37" t="n">
        <v>20</v>
      </c>
      <c r="K487" s="37" t="n">
        <v>0</v>
      </c>
      <c r="L487" s="37" t="str">
        <f aca="false">IF(C487="","",IF(C487&lt;=5,"Night (00-05)",IF(C487&lt;=11,"Morning (06-11)",IF(C487&lt;=16,"Afternoon (12-16)",IF(C487&lt;=20,"Evening (17-20)","Late (21-23)")))))</f>
        <v>Evening (17-20)</v>
      </c>
    </row>
    <row r="488" customFormat="false" ht="15" hidden="false" customHeight="false" outlineLevel="0" collapsed="false">
      <c r="A488" s="37" t="s">
        <v>593</v>
      </c>
      <c r="B488" s="38" t="n">
        <v>46315</v>
      </c>
      <c r="C488" s="37" t="n">
        <v>22</v>
      </c>
      <c r="D488" s="37" t="s">
        <v>37</v>
      </c>
      <c r="E488" s="37" t="s">
        <v>46</v>
      </c>
      <c r="F488" s="37" t="s">
        <v>23</v>
      </c>
      <c r="G488" s="39" t="b">
        <f aca="false">TRUE()</f>
        <v>1</v>
      </c>
      <c r="H488" s="37" t="n">
        <v>603.42</v>
      </c>
      <c r="I488" s="37" t="n">
        <v>5</v>
      </c>
      <c r="J488" s="37" t="n">
        <v>47</v>
      </c>
      <c r="K488" s="37" t="n">
        <v>0</v>
      </c>
      <c r="L488" s="37" t="str">
        <f aca="false">IF(C488="","",IF(C488&lt;=5,"Night (00-05)",IF(C488&lt;=11,"Morning (06-11)",IF(C488&lt;=16,"Afternoon (12-16)",IF(C488&lt;=20,"Evening (17-20)","Late (21-23)")))))</f>
        <v>Late (21-23)</v>
      </c>
    </row>
    <row r="489" customFormat="false" ht="15" hidden="false" customHeight="false" outlineLevel="0" collapsed="false">
      <c r="A489" s="37" t="s">
        <v>594</v>
      </c>
      <c r="B489" s="38" t="n">
        <v>46317</v>
      </c>
      <c r="C489" s="37" t="n">
        <v>17</v>
      </c>
      <c r="D489" s="37" t="s">
        <v>40</v>
      </c>
      <c r="E489" s="37" t="s">
        <v>46</v>
      </c>
      <c r="F489" s="37" t="s">
        <v>23</v>
      </c>
      <c r="G489" s="39" t="b">
        <f aca="false">TRUE()</f>
        <v>1</v>
      </c>
      <c r="H489" s="37" t="n">
        <v>1292.44</v>
      </c>
      <c r="I489" s="37" t="n">
        <v>4</v>
      </c>
      <c r="J489" s="37" t="n">
        <v>33</v>
      </c>
      <c r="K489" s="37" t="n">
        <v>0</v>
      </c>
      <c r="L489" s="37" t="str">
        <f aca="false">IF(C489="","",IF(C489&lt;=5,"Night (00-05)",IF(C489&lt;=11,"Morning (06-11)",IF(C489&lt;=16,"Afternoon (12-16)",IF(C489&lt;=20,"Evening (17-20)","Late (21-23)")))))</f>
        <v>Evening (17-20)</v>
      </c>
    </row>
    <row r="490" customFormat="false" ht="15" hidden="false" customHeight="false" outlineLevel="0" collapsed="false">
      <c r="A490" s="37" t="s">
        <v>595</v>
      </c>
      <c r="B490" s="38" t="n">
        <v>46321</v>
      </c>
      <c r="C490" s="37" t="n">
        <v>23</v>
      </c>
      <c r="D490" s="37" t="s">
        <v>39</v>
      </c>
      <c r="E490" s="37" t="s">
        <v>46</v>
      </c>
      <c r="F490" s="37" t="s">
        <v>23</v>
      </c>
      <c r="G490" s="39" t="b">
        <f aca="false">TRUE()</f>
        <v>1</v>
      </c>
      <c r="H490" s="37" t="n">
        <v>694.4</v>
      </c>
      <c r="I490" s="37" t="n">
        <v>5</v>
      </c>
      <c r="J490" s="37" t="n">
        <v>45</v>
      </c>
      <c r="K490" s="37" t="n">
        <v>0</v>
      </c>
      <c r="L490" s="37" t="str">
        <f aca="false">IF(C490="","",IF(C490&lt;=5,"Night (00-05)",IF(C490&lt;=11,"Morning (06-11)",IF(C490&lt;=16,"Afternoon (12-16)",IF(C490&lt;=20,"Evening (17-20)","Late (21-23)")))))</f>
        <v>Late (21-23)</v>
      </c>
    </row>
    <row r="491" customFormat="false" ht="15" hidden="false" customHeight="false" outlineLevel="0" collapsed="false">
      <c r="A491" s="37" t="s">
        <v>596</v>
      </c>
      <c r="B491" s="38" t="n">
        <v>46322</v>
      </c>
      <c r="C491" s="37" t="n">
        <v>3</v>
      </c>
      <c r="D491" s="37" t="s">
        <v>37</v>
      </c>
      <c r="E491" s="37" t="s">
        <v>49</v>
      </c>
      <c r="F491" s="37" t="s">
        <v>113</v>
      </c>
      <c r="G491" s="39" t="b">
        <f aca="false">TRUE()</f>
        <v>1</v>
      </c>
      <c r="H491" s="37" t="n">
        <v>790.55</v>
      </c>
      <c r="K491" s="37" t="n">
        <v>0</v>
      </c>
      <c r="L491" s="37" t="str">
        <f aca="false">IF(C491="","",IF(C491&lt;=5,"Night (00-05)",IF(C491&lt;=11,"Morning (06-11)",IF(C491&lt;=16,"Afternoon (12-16)",IF(C491&lt;=20,"Evening (17-20)","Late (21-23)")))))</f>
        <v>Night (00-05)</v>
      </c>
    </row>
    <row r="492" customFormat="false" ht="15" hidden="false" customHeight="false" outlineLevel="0" collapsed="false">
      <c r="A492" s="37" t="s">
        <v>597</v>
      </c>
      <c r="B492" s="38" t="n">
        <v>46315</v>
      </c>
      <c r="C492" s="37" t="n">
        <v>17</v>
      </c>
      <c r="D492" s="37" t="s">
        <v>40</v>
      </c>
      <c r="E492" s="37" t="s">
        <v>47</v>
      </c>
      <c r="F492" s="37" t="s">
        <v>129</v>
      </c>
      <c r="G492" s="39" t="b">
        <f aca="false">FALSE()</f>
        <v>0</v>
      </c>
      <c r="H492" s="37" t="n">
        <v>627.59</v>
      </c>
      <c r="K492" s="37" t="n">
        <v>0</v>
      </c>
      <c r="L492" s="37" t="str">
        <f aca="false">IF(C492="","",IF(C492&lt;=5,"Night (00-05)",IF(C492&lt;=11,"Morning (06-11)",IF(C492&lt;=16,"Afternoon (12-16)",IF(C492&lt;=20,"Evening (17-20)","Late (21-23)")))))</f>
        <v>Evening (17-20)</v>
      </c>
    </row>
    <row r="493" customFormat="false" ht="15" hidden="false" customHeight="false" outlineLevel="0" collapsed="false">
      <c r="A493" s="37" t="s">
        <v>598</v>
      </c>
      <c r="B493" s="38" t="n">
        <v>46316</v>
      </c>
      <c r="C493" s="37" t="n">
        <v>2</v>
      </c>
      <c r="D493" s="37" t="s">
        <v>39</v>
      </c>
      <c r="E493" s="37" t="s">
        <v>49</v>
      </c>
      <c r="F493" s="37" t="s">
        <v>23</v>
      </c>
      <c r="G493" s="39" t="b">
        <f aca="false">TRUE()</f>
        <v>1</v>
      </c>
      <c r="H493" s="37" t="n">
        <v>334.26</v>
      </c>
      <c r="I493" s="37" t="n">
        <v>3</v>
      </c>
      <c r="J493" s="37" t="n">
        <v>43</v>
      </c>
      <c r="K493" s="37" t="n">
        <v>0</v>
      </c>
      <c r="L493" s="37" t="str">
        <f aca="false">IF(C493="","",IF(C493&lt;=5,"Night (00-05)",IF(C493&lt;=11,"Morning (06-11)",IF(C493&lt;=16,"Afternoon (12-16)",IF(C493&lt;=20,"Evening (17-20)","Late (21-23)")))))</f>
        <v>Night (00-05)</v>
      </c>
    </row>
    <row r="494" customFormat="false" ht="15" hidden="false" customHeight="false" outlineLevel="0" collapsed="false">
      <c r="A494" s="37" t="s">
        <v>599</v>
      </c>
      <c r="B494" s="38" t="n">
        <v>46316</v>
      </c>
      <c r="C494" s="37" t="n">
        <v>1</v>
      </c>
      <c r="D494" s="37" t="s">
        <v>40</v>
      </c>
      <c r="E494" s="37" t="s">
        <v>47</v>
      </c>
      <c r="F494" s="37" t="s">
        <v>23</v>
      </c>
      <c r="G494" s="39" t="b">
        <f aca="false">TRUE()</f>
        <v>1</v>
      </c>
      <c r="H494" s="37" t="n">
        <v>1255.57</v>
      </c>
      <c r="I494" s="37" t="n">
        <v>4</v>
      </c>
      <c r="J494" s="37" t="n">
        <v>51</v>
      </c>
      <c r="K494" s="37" t="n">
        <v>0</v>
      </c>
      <c r="L494" s="37" t="str">
        <f aca="false">IF(C494="","",IF(C494&lt;=5,"Night (00-05)",IF(C494&lt;=11,"Morning (06-11)",IF(C494&lt;=16,"Afternoon (12-16)",IF(C494&lt;=20,"Evening (17-20)","Late (21-23)")))))</f>
        <v>Night (00-05)</v>
      </c>
    </row>
    <row r="495" customFormat="false" ht="15" hidden="false" customHeight="false" outlineLevel="0" collapsed="false">
      <c r="A495" s="37" t="s">
        <v>600</v>
      </c>
      <c r="B495" s="38" t="n">
        <v>46317</v>
      </c>
      <c r="C495" s="37" t="n">
        <v>3</v>
      </c>
      <c r="D495" s="37" t="s">
        <v>40</v>
      </c>
      <c r="E495" s="37" t="s">
        <v>48</v>
      </c>
      <c r="F495" s="37" t="s">
        <v>23</v>
      </c>
      <c r="G495" s="39" t="b">
        <f aca="false">TRUE()</f>
        <v>1</v>
      </c>
      <c r="H495" s="37" t="n">
        <v>525.89</v>
      </c>
      <c r="I495" s="37" t="n">
        <v>5</v>
      </c>
      <c r="J495" s="37" t="n">
        <v>53</v>
      </c>
      <c r="K495" s="37" t="n">
        <v>0</v>
      </c>
      <c r="L495" s="37" t="str">
        <f aca="false">IF(C495="","",IF(C495&lt;=5,"Night (00-05)",IF(C495&lt;=11,"Morning (06-11)",IF(C495&lt;=16,"Afternoon (12-16)",IF(C495&lt;=20,"Evening (17-20)","Late (21-23)")))))</f>
        <v>Night (00-05)</v>
      </c>
    </row>
    <row r="496" customFormat="false" ht="15" hidden="false" customHeight="false" outlineLevel="0" collapsed="false">
      <c r="A496" s="37" t="s">
        <v>601</v>
      </c>
      <c r="B496" s="38" t="n">
        <v>46319</v>
      </c>
      <c r="C496" s="37" t="n">
        <v>16</v>
      </c>
      <c r="D496" s="37" t="s">
        <v>37</v>
      </c>
      <c r="E496" s="37" t="s">
        <v>47</v>
      </c>
      <c r="F496" s="37" t="s">
        <v>23</v>
      </c>
      <c r="G496" s="39" t="b">
        <f aca="false">TRUE()</f>
        <v>1</v>
      </c>
      <c r="H496" s="37" t="n">
        <v>886.82</v>
      </c>
      <c r="I496" s="37" t="n">
        <v>5</v>
      </c>
      <c r="J496" s="37" t="n">
        <v>37</v>
      </c>
      <c r="K496" s="37" t="n">
        <v>0</v>
      </c>
      <c r="L496" s="37" t="str">
        <f aca="false">IF(C496="","",IF(C496&lt;=5,"Night (00-05)",IF(C496&lt;=11,"Morning (06-11)",IF(C496&lt;=16,"Afternoon (12-16)",IF(C496&lt;=20,"Evening (17-20)","Late (21-23)")))))</f>
        <v>Afternoon (12-16)</v>
      </c>
    </row>
    <row r="497" customFormat="false" ht="15" hidden="false" customHeight="false" outlineLevel="0" collapsed="false">
      <c r="A497" s="37" t="s">
        <v>602</v>
      </c>
      <c r="B497" s="38" t="n">
        <v>46318</v>
      </c>
      <c r="C497" s="37" t="n">
        <v>0</v>
      </c>
      <c r="D497" s="37" t="s">
        <v>37</v>
      </c>
      <c r="E497" s="37" t="s">
        <v>47</v>
      </c>
      <c r="F497" s="37" t="s">
        <v>23</v>
      </c>
      <c r="G497" s="39" t="b">
        <f aca="false">TRUE()</f>
        <v>1</v>
      </c>
      <c r="H497" s="37" t="n">
        <v>767.46</v>
      </c>
      <c r="I497" s="37" t="n">
        <v>4</v>
      </c>
      <c r="J497" s="37" t="n">
        <v>25</v>
      </c>
      <c r="K497" s="37" t="n">
        <v>0</v>
      </c>
      <c r="L497" s="37" t="str">
        <f aca="false">IF(C497="","",IF(C497&lt;=5,"Night (00-05)",IF(C497&lt;=11,"Morning (06-11)",IF(C497&lt;=16,"Afternoon (12-16)",IF(C497&lt;=20,"Evening (17-20)","Late (21-23)")))))</f>
        <v>Night (00-05)</v>
      </c>
    </row>
    <row r="498" customFormat="false" ht="15" hidden="false" customHeight="false" outlineLevel="0" collapsed="false">
      <c r="A498" s="37" t="s">
        <v>603</v>
      </c>
      <c r="B498" s="38" t="n">
        <v>46321</v>
      </c>
      <c r="C498" s="37" t="n">
        <v>2</v>
      </c>
      <c r="D498" s="37" t="s">
        <v>40</v>
      </c>
      <c r="E498" s="37" t="s">
        <v>46</v>
      </c>
      <c r="F498" s="37" t="s">
        <v>23</v>
      </c>
      <c r="G498" s="39" t="b">
        <f aca="false">TRUE()</f>
        <v>1</v>
      </c>
      <c r="H498" s="37" t="n">
        <v>1269.63</v>
      </c>
      <c r="I498" s="37" t="n">
        <v>4</v>
      </c>
      <c r="J498" s="37" t="n">
        <v>74</v>
      </c>
      <c r="K498" s="37" t="n">
        <v>1</v>
      </c>
      <c r="L498" s="37" t="str">
        <f aca="false">IF(C498="","",IF(C498&lt;=5,"Night (00-05)",IF(C498&lt;=11,"Morning (06-11)",IF(C498&lt;=16,"Afternoon (12-16)",IF(C498&lt;=20,"Evening (17-20)","Late (21-23)")))))</f>
        <v>Night (00-05)</v>
      </c>
    </row>
    <row r="499" customFormat="false" ht="15" hidden="false" customHeight="false" outlineLevel="0" collapsed="false">
      <c r="A499" s="37" t="s">
        <v>604</v>
      </c>
      <c r="B499" s="38" t="n">
        <v>46319</v>
      </c>
      <c r="C499" s="37" t="n">
        <v>8</v>
      </c>
      <c r="D499" s="37" t="s">
        <v>38</v>
      </c>
      <c r="E499" s="37" t="s">
        <v>47</v>
      </c>
      <c r="F499" s="37" t="s">
        <v>23</v>
      </c>
      <c r="G499" s="39" t="b">
        <f aca="false">TRUE()</f>
        <v>1</v>
      </c>
      <c r="H499" s="37" t="n">
        <v>1151.22</v>
      </c>
      <c r="I499" s="37" t="n">
        <v>5</v>
      </c>
      <c r="J499" s="37" t="n">
        <v>27</v>
      </c>
      <c r="K499" s="37" t="n">
        <v>0</v>
      </c>
      <c r="L499" s="37" t="str">
        <f aca="false">IF(C499="","",IF(C499&lt;=5,"Night (00-05)",IF(C499&lt;=11,"Morning (06-11)",IF(C499&lt;=16,"Afternoon (12-16)",IF(C499&lt;=20,"Evening (17-20)","Late (21-23)")))))</f>
        <v>Morning (06-11)</v>
      </c>
    </row>
    <row r="500" customFormat="false" ht="15" hidden="false" customHeight="false" outlineLevel="0" collapsed="false">
      <c r="A500" s="37" t="s">
        <v>605</v>
      </c>
      <c r="B500" s="38" t="n">
        <v>46318</v>
      </c>
      <c r="C500" s="37" t="n">
        <v>3</v>
      </c>
      <c r="D500" s="37" t="s">
        <v>40</v>
      </c>
      <c r="E500" s="37" t="s">
        <v>49</v>
      </c>
      <c r="F500" s="37" t="s">
        <v>23</v>
      </c>
      <c r="G500" s="39" t="b">
        <f aca="false">TRUE()</f>
        <v>1</v>
      </c>
      <c r="H500" s="37" t="n">
        <v>1271.84</v>
      </c>
      <c r="I500" s="37" t="n">
        <v>5</v>
      </c>
      <c r="J500" s="37" t="n">
        <v>35</v>
      </c>
      <c r="K500" s="37" t="n">
        <v>0</v>
      </c>
      <c r="L500" s="37" t="str">
        <f aca="false">IF(C500="","",IF(C500&lt;=5,"Night (00-05)",IF(C500&lt;=11,"Morning (06-11)",IF(C500&lt;=16,"Afternoon (12-16)",IF(C500&lt;=20,"Evening (17-20)","Late (21-23)")))))</f>
        <v>Night (00-05)</v>
      </c>
    </row>
    <row r="501" customFormat="false" ht="15" hidden="false" customHeight="false" outlineLevel="0" collapsed="false">
      <c r="A501" s="37" t="s">
        <v>606</v>
      </c>
      <c r="B501" s="38" t="n">
        <v>46321</v>
      </c>
      <c r="C501" s="37" t="n">
        <v>21</v>
      </c>
      <c r="D501" s="37" t="s">
        <v>38</v>
      </c>
      <c r="E501" s="37" t="s">
        <v>49</v>
      </c>
      <c r="F501" s="37" t="s">
        <v>23</v>
      </c>
      <c r="G501" s="39" t="b">
        <f aca="false">TRUE()</f>
        <v>1</v>
      </c>
      <c r="H501" s="37" t="n">
        <v>880.39</v>
      </c>
      <c r="I501" s="37" t="n">
        <v>5</v>
      </c>
      <c r="J501" s="37" t="n">
        <v>34</v>
      </c>
      <c r="K501" s="37" t="n">
        <v>0</v>
      </c>
      <c r="L501" s="37" t="str">
        <f aca="false">IF(C501="","",IF(C501&lt;=5,"Night (00-05)",IF(C501&lt;=11,"Morning (06-11)",IF(C501&lt;=16,"Afternoon (12-16)",IF(C501&lt;=20,"Evening (17-20)","Late (21-23)")))))</f>
        <v>Late (21-23)</v>
      </c>
    </row>
    <row r="502" customFormat="false" ht="15" hidden="false" customHeight="false" outlineLevel="0" collapsed="false">
      <c r="A502" s="37" t="s">
        <v>607</v>
      </c>
      <c r="B502" s="38" t="n">
        <v>46317</v>
      </c>
      <c r="C502" s="37" t="n">
        <v>2</v>
      </c>
      <c r="D502" s="37" t="s">
        <v>38</v>
      </c>
      <c r="E502" s="37" t="s">
        <v>46</v>
      </c>
      <c r="F502" s="37" t="s">
        <v>23</v>
      </c>
      <c r="G502" s="39" t="b">
        <f aca="false">FALSE()</f>
        <v>0</v>
      </c>
      <c r="H502" s="37" t="n">
        <v>972.78</v>
      </c>
      <c r="I502" s="37" t="n">
        <v>5</v>
      </c>
      <c r="J502" s="37" t="n">
        <v>49</v>
      </c>
      <c r="K502" s="37" t="n">
        <v>0</v>
      </c>
      <c r="L502" s="37" t="str">
        <f aca="false">IF(C502="","",IF(C502&lt;=5,"Night (00-05)",IF(C502&lt;=11,"Morning (06-11)",IF(C502&lt;=16,"Afternoon (12-16)",IF(C502&lt;=20,"Evening (17-20)","Late (21-23)")))))</f>
        <v>Night (00-05)</v>
      </c>
    </row>
    <row r="503" customFormat="false" ht="15" hidden="false" customHeight="false" outlineLevel="0" collapsed="false">
      <c r="A503" s="37" t="s">
        <v>608</v>
      </c>
      <c r="B503" s="38" t="n">
        <v>46316</v>
      </c>
      <c r="C503" s="37" t="n">
        <v>21</v>
      </c>
      <c r="D503" s="37" t="s">
        <v>40</v>
      </c>
      <c r="E503" s="37" t="s">
        <v>48</v>
      </c>
      <c r="F503" s="37" t="s">
        <v>23</v>
      </c>
      <c r="G503" s="39" t="b">
        <f aca="false">TRUE()</f>
        <v>1</v>
      </c>
      <c r="H503" s="37" t="n">
        <v>1256.69</v>
      </c>
      <c r="I503" s="37" t="n">
        <v>4</v>
      </c>
      <c r="J503" s="37" t="n">
        <v>32</v>
      </c>
      <c r="K503" s="37" t="n">
        <v>0</v>
      </c>
      <c r="L503" s="37" t="str">
        <f aca="false">IF(C503="","",IF(C503&lt;=5,"Night (00-05)",IF(C503&lt;=11,"Morning (06-11)",IF(C503&lt;=16,"Afternoon (12-16)",IF(C503&lt;=20,"Evening (17-20)","Late (21-23)")))))</f>
        <v>Late (21-23)</v>
      </c>
    </row>
    <row r="504" customFormat="false" ht="15" hidden="false" customHeight="false" outlineLevel="0" collapsed="false">
      <c r="A504" s="37" t="s">
        <v>609</v>
      </c>
      <c r="B504" s="38" t="n">
        <v>46316</v>
      </c>
      <c r="C504" s="37" t="n">
        <v>17</v>
      </c>
      <c r="D504" s="37" t="s">
        <v>40</v>
      </c>
      <c r="E504" s="37" t="s">
        <v>48</v>
      </c>
      <c r="F504" s="37" t="s">
        <v>23</v>
      </c>
      <c r="G504" s="39" t="b">
        <f aca="false">TRUE()</f>
        <v>1</v>
      </c>
      <c r="H504" s="37" t="n">
        <v>682.37</v>
      </c>
      <c r="I504" s="37" t="n">
        <v>4</v>
      </c>
      <c r="J504" s="37" t="n">
        <v>42</v>
      </c>
      <c r="K504" s="37" t="n">
        <v>0</v>
      </c>
      <c r="L504" s="37" t="str">
        <f aca="false">IF(C504="","",IF(C504&lt;=5,"Night (00-05)",IF(C504&lt;=11,"Morning (06-11)",IF(C504&lt;=16,"Afternoon (12-16)",IF(C504&lt;=20,"Evening (17-20)","Late (21-23)")))))</f>
        <v>Evening (17-20)</v>
      </c>
    </row>
    <row r="505" customFormat="false" ht="15" hidden="false" customHeight="false" outlineLevel="0" collapsed="false">
      <c r="A505" s="37" t="s">
        <v>610</v>
      </c>
      <c r="B505" s="38" t="n">
        <v>46315</v>
      </c>
      <c r="C505" s="37" t="n">
        <v>15</v>
      </c>
      <c r="D505" s="37" t="s">
        <v>39</v>
      </c>
      <c r="E505" s="37" t="s">
        <v>47</v>
      </c>
      <c r="F505" s="37" t="s">
        <v>23</v>
      </c>
      <c r="G505" s="39" t="b">
        <f aca="false">TRUE()</f>
        <v>1</v>
      </c>
      <c r="H505" s="37" t="n">
        <v>604.7</v>
      </c>
      <c r="I505" s="37" t="n">
        <v>5</v>
      </c>
      <c r="J505" s="37" t="n">
        <v>22</v>
      </c>
      <c r="K505" s="37" t="n">
        <v>0</v>
      </c>
      <c r="L505" s="37" t="str">
        <f aca="false">IF(C505="","",IF(C505&lt;=5,"Night (00-05)",IF(C505&lt;=11,"Morning (06-11)",IF(C505&lt;=16,"Afternoon (12-16)",IF(C505&lt;=20,"Evening (17-20)","Late (21-23)")))))</f>
        <v>Afternoon (12-16)</v>
      </c>
    </row>
    <row r="506" customFormat="false" ht="15" hidden="false" customHeight="false" outlineLevel="0" collapsed="false">
      <c r="A506" s="37" t="s">
        <v>611</v>
      </c>
      <c r="B506" s="38" t="n">
        <v>46318</v>
      </c>
      <c r="C506" s="37" t="n">
        <v>0</v>
      </c>
      <c r="D506" s="37" t="s">
        <v>40</v>
      </c>
      <c r="E506" s="37" t="s">
        <v>49</v>
      </c>
      <c r="F506" s="37" t="s">
        <v>23</v>
      </c>
      <c r="G506" s="39" t="b">
        <f aca="false">TRUE()</f>
        <v>1</v>
      </c>
      <c r="H506" s="37" t="n">
        <v>645.3</v>
      </c>
      <c r="I506" s="37" t="n">
        <v>4</v>
      </c>
      <c r="J506" s="37" t="n">
        <v>52</v>
      </c>
      <c r="K506" s="37" t="n">
        <v>0</v>
      </c>
      <c r="L506" s="37" t="str">
        <f aca="false">IF(C506="","",IF(C506&lt;=5,"Night (00-05)",IF(C506&lt;=11,"Morning (06-11)",IF(C506&lt;=16,"Afternoon (12-16)",IF(C506&lt;=20,"Evening (17-20)","Late (21-23)")))))</f>
        <v>Night (00-05)</v>
      </c>
    </row>
    <row r="507" customFormat="false" ht="15" hidden="false" customHeight="false" outlineLevel="0" collapsed="false">
      <c r="A507" s="37" t="s">
        <v>612</v>
      </c>
      <c r="B507" s="38" t="n">
        <v>46317</v>
      </c>
      <c r="C507" s="37" t="n">
        <v>1</v>
      </c>
      <c r="D507" s="37" t="s">
        <v>39</v>
      </c>
      <c r="E507" s="37" t="s">
        <v>49</v>
      </c>
      <c r="F507" s="37" t="s">
        <v>23</v>
      </c>
      <c r="G507" s="39" t="b">
        <f aca="false">TRUE()</f>
        <v>1</v>
      </c>
      <c r="H507" s="37" t="n">
        <v>674.86</v>
      </c>
      <c r="I507" s="37" t="n">
        <v>4</v>
      </c>
      <c r="J507" s="37" t="n">
        <v>42</v>
      </c>
      <c r="K507" s="37" t="n">
        <v>0</v>
      </c>
      <c r="L507" s="37" t="str">
        <f aca="false">IF(C507="","",IF(C507&lt;=5,"Night (00-05)",IF(C507&lt;=11,"Morning (06-11)",IF(C507&lt;=16,"Afternoon (12-16)",IF(C507&lt;=20,"Evening (17-20)","Late (21-23)")))))</f>
        <v>Night (00-05)</v>
      </c>
    </row>
    <row r="508" customFormat="false" ht="15" hidden="false" customHeight="false" outlineLevel="0" collapsed="false">
      <c r="A508" s="37" t="s">
        <v>613</v>
      </c>
      <c r="B508" s="38" t="n">
        <v>46321</v>
      </c>
      <c r="C508" s="37" t="n">
        <v>2</v>
      </c>
      <c r="D508" s="37" t="s">
        <v>39</v>
      </c>
      <c r="E508" s="37" t="s">
        <v>46</v>
      </c>
      <c r="F508" s="37" t="s">
        <v>23</v>
      </c>
      <c r="G508" s="39" t="b">
        <f aca="false">TRUE()</f>
        <v>1</v>
      </c>
      <c r="H508" s="37" t="n">
        <v>574.68</v>
      </c>
      <c r="I508" s="37" t="n">
        <v>2</v>
      </c>
      <c r="J508" s="37" t="n">
        <v>69</v>
      </c>
      <c r="K508" s="37" t="n">
        <v>1</v>
      </c>
      <c r="L508" s="37" t="str">
        <f aca="false">IF(C508="","",IF(C508&lt;=5,"Night (00-05)",IF(C508&lt;=11,"Morning (06-11)",IF(C508&lt;=16,"Afternoon (12-16)",IF(C508&lt;=20,"Evening (17-20)","Late (21-23)")))))</f>
        <v>Night (00-05)</v>
      </c>
    </row>
    <row r="509" customFormat="false" ht="15" hidden="false" customHeight="false" outlineLevel="0" collapsed="false">
      <c r="A509" s="37" t="s">
        <v>614</v>
      </c>
      <c r="B509" s="38" t="n">
        <v>46317</v>
      </c>
      <c r="C509" s="37" t="n">
        <v>19</v>
      </c>
      <c r="D509" s="37" t="s">
        <v>37</v>
      </c>
      <c r="E509" s="37" t="s">
        <v>46</v>
      </c>
      <c r="F509" s="37" t="s">
        <v>23</v>
      </c>
      <c r="G509" s="39" t="b">
        <f aca="false">TRUE()</f>
        <v>1</v>
      </c>
      <c r="H509" s="37" t="n">
        <v>517.57</v>
      </c>
      <c r="I509" s="37" t="n">
        <v>4</v>
      </c>
      <c r="J509" s="37" t="n">
        <v>41</v>
      </c>
      <c r="K509" s="37" t="n">
        <v>0</v>
      </c>
      <c r="L509" s="37" t="str">
        <f aca="false">IF(C509="","",IF(C509&lt;=5,"Night (00-05)",IF(C509&lt;=11,"Morning (06-11)",IF(C509&lt;=16,"Afternoon (12-16)",IF(C509&lt;=20,"Evening (17-20)","Late (21-23)")))))</f>
        <v>Evening (17-20)</v>
      </c>
    </row>
    <row r="510" customFormat="false" ht="15" hidden="false" customHeight="false" outlineLevel="0" collapsed="false">
      <c r="A510" s="37" t="s">
        <v>615</v>
      </c>
      <c r="B510" s="38" t="n">
        <v>46318</v>
      </c>
      <c r="C510" s="37" t="n">
        <v>20</v>
      </c>
      <c r="D510" s="37" t="s">
        <v>40</v>
      </c>
      <c r="E510" s="37" t="s">
        <v>46</v>
      </c>
      <c r="F510" s="37" t="s">
        <v>23</v>
      </c>
      <c r="G510" s="39" t="b">
        <f aca="false">TRUE()</f>
        <v>1</v>
      </c>
      <c r="H510" s="37" t="n">
        <v>1182.46</v>
      </c>
      <c r="I510" s="37" t="n">
        <v>5</v>
      </c>
      <c r="J510" s="37" t="n">
        <v>31</v>
      </c>
      <c r="K510" s="37" t="n">
        <v>0</v>
      </c>
      <c r="L510" s="37" t="str">
        <f aca="false">IF(C510="","",IF(C510&lt;=5,"Night (00-05)",IF(C510&lt;=11,"Morning (06-11)",IF(C510&lt;=16,"Afternoon (12-16)",IF(C510&lt;=20,"Evening (17-20)","Late (21-23)")))))</f>
        <v>Evening (17-20)</v>
      </c>
    </row>
    <row r="511" customFormat="false" ht="15" hidden="false" customHeight="false" outlineLevel="0" collapsed="false">
      <c r="A511" s="37" t="s">
        <v>616</v>
      </c>
      <c r="B511" s="38" t="n">
        <v>46320</v>
      </c>
      <c r="C511" s="37" t="n">
        <v>1</v>
      </c>
      <c r="D511" s="37" t="s">
        <v>40</v>
      </c>
      <c r="E511" s="37" t="s">
        <v>48</v>
      </c>
      <c r="F511" s="37" t="s">
        <v>23</v>
      </c>
      <c r="G511" s="39" t="b">
        <f aca="false">TRUE()</f>
        <v>1</v>
      </c>
      <c r="H511" s="37" t="n">
        <v>943.27</v>
      </c>
      <c r="I511" s="37" t="n">
        <v>3</v>
      </c>
      <c r="J511" s="37" t="n">
        <v>32</v>
      </c>
      <c r="K511" s="37" t="n">
        <v>0</v>
      </c>
      <c r="L511" s="37" t="str">
        <f aca="false">IF(C511="","",IF(C511&lt;=5,"Night (00-05)",IF(C511&lt;=11,"Morning (06-11)",IF(C511&lt;=16,"Afternoon (12-16)",IF(C511&lt;=20,"Evening (17-20)","Late (21-23)")))))</f>
        <v>Night (00-05)</v>
      </c>
    </row>
    <row r="512" customFormat="false" ht="15" hidden="false" customHeight="false" outlineLevel="0" collapsed="false">
      <c r="A512" s="37" t="s">
        <v>617</v>
      </c>
      <c r="B512" s="38" t="n">
        <v>46320</v>
      </c>
      <c r="C512" s="37" t="n">
        <v>16</v>
      </c>
      <c r="D512" s="37" t="s">
        <v>37</v>
      </c>
      <c r="E512" s="37" t="s">
        <v>49</v>
      </c>
      <c r="F512" s="37" t="s">
        <v>129</v>
      </c>
      <c r="G512" s="39" t="b">
        <f aca="false">FALSE()</f>
        <v>0</v>
      </c>
      <c r="H512" s="37" t="n">
        <v>648.8</v>
      </c>
      <c r="K512" s="37" t="n">
        <v>0</v>
      </c>
      <c r="L512" s="37" t="str">
        <f aca="false">IF(C512="","",IF(C512&lt;=5,"Night (00-05)",IF(C512&lt;=11,"Morning (06-11)",IF(C512&lt;=16,"Afternoon (12-16)",IF(C512&lt;=20,"Evening (17-20)","Late (21-23)")))))</f>
        <v>Afternoon (12-16)</v>
      </c>
    </row>
    <row r="513" customFormat="false" ht="15" hidden="false" customHeight="false" outlineLevel="0" collapsed="false">
      <c r="A513" s="37" t="s">
        <v>618</v>
      </c>
      <c r="B513" s="38" t="n">
        <v>46322</v>
      </c>
      <c r="C513" s="37" t="n">
        <v>0</v>
      </c>
      <c r="D513" s="37" t="s">
        <v>40</v>
      </c>
      <c r="E513" s="37" t="s">
        <v>49</v>
      </c>
      <c r="F513" s="37" t="s">
        <v>23</v>
      </c>
      <c r="G513" s="39" t="b">
        <f aca="false">TRUE()</f>
        <v>1</v>
      </c>
      <c r="H513" s="37" t="n">
        <v>739.03</v>
      </c>
      <c r="I513" s="37" t="n">
        <v>4</v>
      </c>
      <c r="J513" s="37" t="n">
        <v>23</v>
      </c>
      <c r="K513" s="37" t="n">
        <v>0</v>
      </c>
      <c r="L513" s="37" t="str">
        <f aca="false">IF(C513="","",IF(C513&lt;=5,"Night (00-05)",IF(C513&lt;=11,"Morning (06-11)",IF(C513&lt;=16,"Afternoon (12-16)",IF(C513&lt;=20,"Evening (17-20)","Late (21-23)")))))</f>
        <v>Night (00-05)</v>
      </c>
    </row>
    <row r="514" customFormat="false" ht="15" hidden="false" customHeight="false" outlineLevel="0" collapsed="false">
      <c r="A514" s="37" t="s">
        <v>619</v>
      </c>
      <c r="B514" s="38" t="n">
        <v>46320</v>
      </c>
      <c r="C514" s="37" t="n">
        <v>16</v>
      </c>
      <c r="D514" s="37" t="s">
        <v>40</v>
      </c>
      <c r="E514" s="37" t="s">
        <v>49</v>
      </c>
      <c r="F514" s="37" t="s">
        <v>23</v>
      </c>
      <c r="G514" s="39" t="b">
        <f aca="false">TRUE()</f>
        <v>1</v>
      </c>
      <c r="H514" s="37" t="n">
        <v>1170.18</v>
      </c>
      <c r="I514" s="37" t="n">
        <v>4</v>
      </c>
      <c r="J514" s="37" t="n">
        <v>41</v>
      </c>
      <c r="K514" s="37" t="n">
        <v>0</v>
      </c>
      <c r="L514" s="37" t="str">
        <f aca="false">IF(C514="","",IF(C514&lt;=5,"Night (00-05)",IF(C514&lt;=11,"Morning (06-11)",IF(C514&lt;=16,"Afternoon (12-16)",IF(C514&lt;=20,"Evening (17-20)","Late (21-23)")))))</f>
        <v>Afternoon (12-16)</v>
      </c>
    </row>
    <row r="515" customFormat="false" ht="15" hidden="false" customHeight="false" outlineLevel="0" collapsed="false">
      <c r="A515" s="37" t="s">
        <v>620</v>
      </c>
      <c r="B515" s="38" t="n">
        <v>46317</v>
      </c>
      <c r="C515" s="37" t="n">
        <v>23</v>
      </c>
      <c r="D515" s="37" t="s">
        <v>40</v>
      </c>
      <c r="E515" s="37" t="s">
        <v>46</v>
      </c>
      <c r="F515" s="37" t="s">
        <v>23</v>
      </c>
      <c r="G515" s="39" t="b">
        <f aca="false">TRUE()</f>
        <v>1</v>
      </c>
      <c r="H515" s="37" t="n">
        <v>514.87</v>
      </c>
      <c r="I515" s="37" t="n">
        <v>5</v>
      </c>
      <c r="J515" s="37" t="n">
        <v>32</v>
      </c>
      <c r="K515" s="37" t="n">
        <v>0</v>
      </c>
      <c r="L515" s="37" t="str">
        <f aca="false">IF(C515="","",IF(C515&lt;=5,"Night (00-05)",IF(C515&lt;=11,"Morning (06-11)",IF(C515&lt;=16,"Afternoon (12-16)",IF(C515&lt;=20,"Evening (17-20)","Late (21-23)")))))</f>
        <v>Late (21-23)</v>
      </c>
    </row>
    <row r="516" customFormat="false" ht="15" hidden="false" customHeight="false" outlineLevel="0" collapsed="false">
      <c r="A516" s="37" t="s">
        <v>621</v>
      </c>
      <c r="B516" s="38" t="n">
        <v>46321</v>
      </c>
      <c r="C516" s="37" t="n">
        <v>0</v>
      </c>
      <c r="D516" s="37" t="s">
        <v>40</v>
      </c>
      <c r="E516" s="37" t="s">
        <v>46</v>
      </c>
      <c r="F516" s="37" t="s">
        <v>23</v>
      </c>
      <c r="G516" s="39" t="b">
        <f aca="false">TRUE()</f>
        <v>1</v>
      </c>
      <c r="H516" s="37" t="n">
        <v>759.07</v>
      </c>
      <c r="I516" s="37" t="n">
        <v>5</v>
      </c>
      <c r="J516" s="37" t="n">
        <v>48</v>
      </c>
      <c r="K516" s="37" t="n">
        <v>0</v>
      </c>
      <c r="L516" s="37" t="str">
        <f aca="false">IF(C516="","",IF(C516&lt;=5,"Night (00-05)",IF(C516&lt;=11,"Morning (06-11)",IF(C516&lt;=16,"Afternoon (12-16)",IF(C516&lt;=20,"Evening (17-20)","Late (21-23)")))))</f>
        <v>Night (00-05)</v>
      </c>
    </row>
    <row r="517" customFormat="false" ht="15" hidden="false" customHeight="false" outlineLevel="0" collapsed="false">
      <c r="A517" s="37" t="s">
        <v>622</v>
      </c>
      <c r="B517" s="38" t="n">
        <v>46319</v>
      </c>
      <c r="C517" s="37" t="n">
        <v>0</v>
      </c>
      <c r="D517" s="37" t="s">
        <v>37</v>
      </c>
      <c r="E517" s="37" t="s">
        <v>48</v>
      </c>
      <c r="F517" s="37" t="s">
        <v>113</v>
      </c>
      <c r="G517" s="39" t="b">
        <f aca="false">TRUE()</f>
        <v>1</v>
      </c>
      <c r="H517" s="37" t="n">
        <v>719.29</v>
      </c>
      <c r="K517" s="37" t="n">
        <v>0</v>
      </c>
      <c r="L517" s="37" t="str">
        <f aca="false">IF(C517="","",IF(C517&lt;=5,"Night (00-05)",IF(C517&lt;=11,"Morning (06-11)",IF(C517&lt;=16,"Afternoon (12-16)",IF(C517&lt;=20,"Evening (17-20)","Late (21-23)")))))</f>
        <v>Night (00-05)</v>
      </c>
    </row>
    <row r="518" customFormat="false" ht="15" hidden="false" customHeight="false" outlineLevel="0" collapsed="false">
      <c r="A518" s="37" t="s">
        <v>623</v>
      </c>
      <c r="B518" s="38" t="n">
        <v>46319</v>
      </c>
      <c r="C518" s="37" t="n">
        <v>0</v>
      </c>
      <c r="D518" s="37" t="s">
        <v>38</v>
      </c>
      <c r="E518" s="37" t="s">
        <v>47</v>
      </c>
      <c r="F518" s="37" t="s">
        <v>23</v>
      </c>
      <c r="G518" s="39" t="b">
        <f aca="false">TRUE()</f>
        <v>1</v>
      </c>
      <c r="H518" s="37" t="n">
        <v>912.4</v>
      </c>
      <c r="I518" s="37" t="n">
        <v>5</v>
      </c>
      <c r="J518" s="37" t="n">
        <v>40</v>
      </c>
      <c r="K518" s="37" t="n">
        <v>0</v>
      </c>
      <c r="L518" s="37" t="str">
        <f aca="false">IF(C518="","",IF(C518&lt;=5,"Night (00-05)",IF(C518&lt;=11,"Morning (06-11)",IF(C518&lt;=16,"Afternoon (12-16)",IF(C518&lt;=20,"Evening (17-20)","Late (21-23)")))))</f>
        <v>Night (00-05)</v>
      </c>
    </row>
    <row r="519" customFormat="false" ht="15" hidden="false" customHeight="false" outlineLevel="0" collapsed="false">
      <c r="A519" s="37" t="s">
        <v>624</v>
      </c>
      <c r="B519" s="38" t="n">
        <v>46320</v>
      </c>
      <c r="C519" s="37" t="n">
        <v>17</v>
      </c>
      <c r="D519" s="37" t="s">
        <v>40</v>
      </c>
      <c r="E519" s="37" t="s">
        <v>49</v>
      </c>
      <c r="F519" s="37" t="s">
        <v>113</v>
      </c>
      <c r="G519" s="39" t="b">
        <f aca="false">TRUE()</f>
        <v>1</v>
      </c>
      <c r="H519" s="37" t="n">
        <v>1123.78</v>
      </c>
      <c r="K519" s="37" t="n">
        <v>0</v>
      </c>
      <c r="L519" s="37" t="str">
        <f aca="false">IF(C519="","",IF(C519&lt;=5,"Night (00-05)",IF(C519&lt;=11,"Morning (06-11)",IF(C519&lt;=16,"Afternoon (12-16)",IF(C519&lt;=20,"Evening (17-20)","Late (21-23)")))))</f>
        <v>Evening (17-20)</v>
      </c>
    </row>
    <row r="520" customFormat="false" ht="15" hidden="false" customHeight="false" outlineLevel="0" collapsed="false">
      <c r="A520" s="37" t="s">
        <v>625</v>
      </c>
      <c r="B520" s="38" t="n">
        <v>46320</v>
      </c>
      <c r="C520" s="37" t="n">
        <v>23</v>
      </c>
      <c r="D520" s="37" t="s">
        <v>37</v>
      </c>
      <c r="E520" s="37" t="s">
        <v>48</v>
      </c>
      <c r="F520" s="37" t="s">
        <v>23</v>
      </c>
      <c r="G520" s="39" t="b">
        <f aca="false">TRUE()</f>
        <v>1</v>
      </c>
      <c r="H520" s="37" t="n">
        <v>826.11</v>
      </c>
      <c r="I520" s="37" t="n">
        <v>5</v>
      </c>
      <c r="J520" s="37" t="n">
        <v>35</v>
      </c>
      <c r="K520" s="37" t="n">
        <v>0</v>
      </c>
      <c r="L520" s="37" t="str">
        <f aca="false">IF(C520="","",IF(C520&lt;=5,"Night (00-05)",IF(C520&lt;=11,"Morning (06-11)",IF(C520&lt;=16,"Afternoon (12-16)",IF(C520&lt;=20,"Evening (17-20)","Late (21-23)")))))</f>
        <v>Late (21-23)</v>
      </c>
    </row>
    <row r="521" customFormat="false" ht="15" hidden="false" customHeight="false" outlineLevel="0" collapsed="false">
      <c r="A521" s="37" t="s">
        <v>626</v>
      </c>
      <c r="B521" s="38" t="n">
        <v>46321</v>
      </c>
      <c r="C521" s="37" t="n">
        <v>1</v>
      </c>
      <c r="D521" s="37" t="s">
        <v>37</v>
      </c>
      <c r="E521" s="37" t="s">
        <v>49</v>
      </c>
      <c r="F521" s="37" t="s">
        <v>23</v>
      </c>
      <c r="G521" s="39" t="b">
        <f aca="false">TRUE()</f>
        <v>1</v>
      </c>
      <c r="H521" s="37" t="n">
        <v>450.5</v>
      </c>
      <c r="I521" s="37" t="n">
        <v>4</v>
      </c>
      <c r="J521" s="37" t="n">
        <v>50</v>
      </c>
      <c r="K521" s="37" t="n">
        <v>0</v>
      </c>
      <c r="L521" s="37" t="str">
        <f aca="false">IF(C521="","",IF(C521&lt;=5,"Night (00-05)",IF(C521&lt;=11,"Morning (06-11)",IF(C521&lt;=16,"Afternoon (12-16)",IF(C521&lt;=20,"Evening (17-20)","Late (21-23)")))))</f>
        <v>Night (00-05)</v>
      </c>
    </row>
    <row r="522" customFormat="false" ht="15" hidden="false" customHeight="false" outlineLevel="0" collapsed="false">
      <c r="A522" s="37" t="s">
        <v>627</v>
      </c>
      <c r="B522" s="38" t="n">
        <v>46316</v>
      </c>
      <c r="C522" s="37" t="n">
        <v>2</v>
      </c>
      <c r="D522" s="37" t="s">
        <v>38</v>
      </c>
      <c r="E522" s="37" t="s">
        <v>47</v>
      </c>
      <c r="F522" s="37" t="s">
        <v>23</v>
      </c>
      <c r="G522" s="39" t="b">
        <f aca="false">TRUE()</f>
        <v>1</v>
      </c>
      <c r="H522" s="37" t="n">
        <v>982.72</v>
      </c>
      <c r="I522" s="37" t="n">
        <v>4</v>
      </c>
      <c r="J522" s="37" t="n">
        <v>44</v>
      </c>
      <c r="K522" s="37" t="n">
        <v>0</v>
      </c>
      <c r="L522" s="37" t="str">
        <f aca="false">IF(C522="","",IF(C522&lt;=5,"Night (00-05)",IF(C522&lt;=11,"Morning (06-11)",IF(C522&lt;=16,"Afternoon (12-16)",IF(C522&lt;=20,"Evening (17-20)","Late (21-23)")))))</f>
        <v>Night (00-05)</v>
      </c>
    </row>
    <row r="523" customFormat="false" ht="15" hidden="false" customHeight="false" outlineLevel="0" collapsed="false">
      <c r="A523" s="37" t="s">
        <v>628</v>
      </c>
      <c r="B523" s="38" t="n">
        <v>46317</v>
      </c>
      <c r="C523" s="37" t="n">
        <v>1</v>
      </c>
      <c r="D523" s="37" t="s">
        <v>37</v>
      </c>
      <c r="E523" s="37" t="s">
        <v>48</v>
      </c>
      <c r="F523" s="37" t="s">
        <v>23</v>
      </c>
      <c r="G523" s="39" t="b">
        <f aca="false">TRUE()</f>
        <v>1</v>
      </c>
      <c r="H523" s="37" t="n">
        <v>662.37</v>
      </c>
      <c r="I523" s="37" t="n">
        <v>5</v>
      </c>
      <c r="J523" s="37" t="n">
        <v>22</v>
      </c>
      <c r="K523" s="37" t="n">
        <v>0</v>
      </c>
      <c r="L523" s="37" t="str">
        <f aca="false">IF(C523="","",IF(C523&lt;=5,"Night (00-05)",IF(C523&lt;=11,"Morning (06-11)",IF(C523&lt;=16,"Afternoon (12-16)",IF(C523&lt;=20,"Evening (17-20)","Late (21-23)")))))</f>
        <v>Night (00-05)</v>
      </c>
    </row>
    <row r="524" customFormat="false" ht="15" hidden="false" customHeight="false" outlineLevel="0" collapsed="false">
      <c r="A524" s="37" t="s">
        <v>629</v>
      </c>
      <c r="B524" s="38" t="n">
        <v>46322</v>
      </c>
      <c r="C524" s="37" t="n">
        <v>4</v>
      </c>
      <c r="D524" s="37" t="s">
        <v>39</v>
      </c>
      <c r="E524" s="37" t="s">
        <v>46</v>
      </c>
      <c r="F524" s="37" t="s">
        <v>23</v>
      </c>
      <c r="G524" s="39" t="b">
        <f aca="false">TRUE()</f>
        <v>1</v>
      </c>
      <c r="H524" s="37" t="n">
        <v>518.42</v>
      </c>
      <c r="I524" s="37" t="n">
        <v>2</v>
      </c>
      <c r="J524" s="37" t="n">
        <v>82</v>
      </c>
      <c r="K524" s="37" t="n">
        <v>1</v>
      </c>
      <c r="L524" s="37" t="str">
        <f aca="false">IF(C524="","",IF(C524&lt;=5,"Night (00-05)",IF(C524&lt;=11,"Morning (06-11)",IF(C524&lt;=16,"Afternoon (12-16)",IF(C524&lt;=20,"Evening (17-20)","Late (21-23)")))))</f>
        <v>Night (00-05)</v>
      </c>
    </row>
    <row r="525" customFormat="false" ht="15" hidden="false" customHeight="false" outlineLevel="0" collapsed="false">
      <c r="A525" s="37" t="s">
        <v>630</v>
      </c>
      <c r="B525" s="38" t="n">
        <v>46321</v>
      </c>
      <c r="C525" s="37" t="n">
        <v>1</v>
      </c>
      <c r="D525" s="37" t="s">
        <v>39</v>
      </c>
      <c r="E525" s="37" t="s">
        <v>46</v>
      </c>
      <c r="F525" s="37" t="s">
        <v>23</v>
      </c>
      <c r="G525" s="39" t="b">
        <f aca="false">TRUE()</f>
        <v>1</v>
      </c>
      <c r="H525" s="37" t="n">
        <v>662.57</v>
      </c>
      <c r="I525" s="37" t="n">
        <v>5</v>
      </c>
      <c r="J525" s="37" t="n">
        <v>34</v>
      </c>
      <c r="K525" s="37" t="n">
        <v>0</v>
      </c>
      <c r="L525" s="37" t="str">
        <f aca="false">IF(C525="","",IF(C525&lt;=5,"Night (00-05)",IF(C525&lt;=11,"Morning (06-11)",IF(C525&lt;=16,"Afternoon (12-16)",IF(C525&lt;=20,"Evening (17-20)","Late (21-23)")))))</f>
        <v>Night (00-05)</v>
      </c>
    </row>
    <row r="526" customFormat="false" ht="15" hidden="false" customHeight="false" outlineLevel="0" collapsed="false">
      <c r="A526" s="37" t="s">
        <v>631</v>
      </c>
      <c r="B526" s="38" t="n">
        <v>46318</v>
      </c>
      <c r="C526" s="37" t="n">
        <v>18</v>
      </c>
      <c r="D526" s="37" t="s">
        <v>37</v>
      </c>
      <c r="E526" s="37" t="s">
        <v>46</v>
      </c>
      <c r="F526" s="37" t="s">
        <v>23</v>
      </c>
      <c r="G526" s="39" t="b">
        <f aca="false">TRUE()</f>
        <v>1</v>
      </c>
      <c r="H526" s="37" t="n">
        <v>404.28</v>
      </c>
      <c r="I526" s="37" t="n">
        <v>4</v>
      </c>
      <c r="J526" s="37" t="n">
        <v>28</v>
      </c>
      <c r="K526" s="37" t="n">
        <v>0</v>
      </c>
      <c r="L526" s="37" t="str">
        <f aca="false">IF(C526="","",IF(C526&lt;=5,"Night (00-05)",IF(C526&lt;=11,"Morning (06-11)",IF(C526&lt;=16,"Afternoon (12-16)",IF(C526&lt;=20,"Evening (17-20)","Late (21-23)")))))</f>
        <v>Evening (17-20)</v>
      </c>
    </row>
    <row r="527" customFormat="false" ht="15" hidden="false" customHeight="false" outlineLevel="0" collapsed="false">
      <c r="A527" s="37" t="s">
        <v>632</v>
      </c>
      <c r="B527" s="38" t="n">
        <v>46318</v>
      </c>
      <c r="C527" s="37" t="n">
        <v>22</v>
      </c>
      <c r="D527" s="37" t="s">
        <v>39</v>
      </c>
      <c r="E527" s="37" t="s">
        <v>49</v>
      </c>
      <c r="F527" s="37" t="s">
        <v>23</v>
      </c>
      <c r="G527" s="39" t="b">
        <f aca="false">TRUE()</f>
        <v>1</v>
      </c>
      <c r="H527" s="37" t="n">
        <v>418.84</v>
      </c>
      <c r="I527" s="37" t="n">
        <v>5</v>
      </c>
      <c r="J527" s="37" t="n">
        <v>38</v>
      </c>
      <c r="K527" s="37" t="n">
        <v>0</v>
      </c>
      <c r="L527" s="37" t="str">
        <f aca="false">IF(C527="","",IF(C527&lt;=5,"Night (00-05)",IF(C527&lt;=11,"Morning (06-11)",IF(C527&lt;=16,"Afternoon (12-16)",IF(C527&lt;=20,"Evening (17-20)","Late (21-23)")))))</f>
        <v>Late (21-23)</v>
      </c>
    </row>
    <row r="528" customFormat="false" ht="15" hidden="false" customHeight="false" outlineLevel="0" collapsed="false">
      <c r="A528" s="37" t="s">
        <v>633</v>
      </c>
      <c r="B528" s="38" t="n">
        <v>46321</v>
      </c>
      <c r="C528" s="37" t="n">
        <v>8</v>
      </c>
      <c r="D528" s="37" t="s">
        <v>39</v>
      </c>
      <c r="E528" s="37" t="s">
        <v>49</v>
      </c>
      <c r="F528" s="37" t="s">
        <v>23</v>
      </c>
      <c r="G528" s="39" t="b">
        <f aca="false">TRUE()</f>
        <v>1</v>
      </c>
      <c r="H528" s="37" t="n">
        <v>456.9</v>
      </c>
      <c r="I528" s="37" t="n">
        <v>5</v>
      </c>
      <c r="J528" s="37" t="n">
        <v>44</v>
      </c>
      <c r="K528" s="37" t="n">
        <v>0</v>
      </c>
      <c r="L528" s="37" t="str">
        <f aca="false">IF(C528="","",IF(C528&lt;=5,"Night (00-05)",IF(C528&lt;=11,"Morning (06-11)",IF(C528&lt;=16,"Afternoon (12-16)",IF(C528&lt;=20,"Evening (17-20)","Late (21-23)")))))</f>
        <v>Morning (06-11)</v>
      </c>
    </row>
    <row r="529" customFormat="false" ht="15" hidden="false" customHeight="false" outlineLevel="0" collapsed="false">
      <c r="A529" s="37" t="s">
        <v>634</v>
      </c>
      <c r="B529" s="38" t="n">
        <v>46316</v>
      </c>
      <c r="C529" s="37" t="n">
        <v>17</v>
      </c>
      <c r="D529" s="37" t="s">
        <v>37</v>
      </c>
      <c r="E529" s="37" t="s">
        <v>46</v>
      </c>
      <c r="F529" s="37" t="s">
        <v>23</v>
      </c>
      <c r="G529" s="39" t="b">
        <f aca="false">TRUE()</f>
        <v>1</v>
      </c>
      <c r="H529" s="37" t="n">
        <v>541.34</v>
      </c>
      <c r="I529" s="37" t="n">
        <v>4</v>
      </c>
      <c r="J529" s="37" t="n">
        <v>37</v>
      </c>
      <c r="K529" s="37" t="n">
        <v>0</v>
      </c>
      <c r="L529" s="37" t="str">
        <f aca="false">IF(C529="","",IF(C529&lt;=5,"Night (00-05)",IF(C529&lt;=11,"Morning (06-11)",IF(C529&lt;=16,"Afternoon (12-16)",IF(C529&lt;=20,"Evening (17-20)","Late (21-23)")))))</f>
        <v>Evening (17-20)</v>
      </c>
    </row>
    <row r="530" customFormat="false" ht="15" hidden="false" customHeight="false" outlineLevel="0" collapsed="false">
      <c r="A530" s="37" t="s">
        <v>635</v>
      </c>
      <c r="B530" s="38" t="n">
        <v>46321</v>
      </c>
      <c r="C530" s="37" t="n">
        <v>14</v>
      </c>
      <c r="D530" s="37" t="s">
        <v>38</v>
      </c>
      <c r="E530" s="37" t="s">
        <v>49</v>
      </c>
      <c r="F530" s="37" t="s">
        <v>23</v>
      </c>
      <c r="G530" s="39" t="b">
        <f aca="false">TRUE()</f>
        <v>1</v>
      </c>
      <c r="H530" s="37" t="n">
        <v>1231.41</v>
      </c>
      <c r="I530" s="37" t="n">
        <v>4</v>
      </c>
      <c r="J530" s="37" t="n">
        <v>51</v>
      </c>
      <c r="K530" s="37" t="n">
        <v>0</v>
      </c>
      <c r="L530" s="37" t="str">
        <f aca="false">IF(C530="","",IF(C530&lt;=5,"Night (00-05)",IF(C530&lt;=11,"Morning (06-11)",IF(C530&lt;=16,"Afternoon (12-16)",IF(C530&lt;=20,"Evening (17-20)","Late (21-23)")))))</f>
        <v>Afternoon (12-16)</v>
      </c>
    </row>
    <row r="531" customFormat="false" ht="15" hidden="false" customHeight="false" outlineLevel="0" collapsed="false">
      <c r="A531" s="37" t="s">
        <v>636</v>
      </c>
      <c r="B531" s="38" t="n">
        <v>46315</v>
      </c>
      <c r="C531" s="37" t="n">
        <v>16</v>
      </c>
      <c r="D531" s="37" t="s">
        <v>37</v>
      </c>
      <c r="E531" s="37" t="s">
        <v>47</v>
      </c>
      <c r="F531" s="37" t="s">
        <v>23</v>
      </c>
      <c r="G531" s="39" t="b">
        <f aca="false">TRUE()</f>
        <v>1</v>
      </c>
      <c r="H531" s="37" t="n">
        <v>540.06</v>
      </c>
      <c r="I531" s="37" t="n">
        <v>5</v>
      </c>
      <c r="J531" s="37" t="n">
        <v>48</v>
      </c>
      <c r="K531" s="37" t="n">
        <v>0</v>
      </c>
      <c r="L531" s="37" t="str">
        <f aca="false">IF(C531="","",IF(C531&lt;=5,"Night (00-05)",IF(C531&lt;=11,"Morning (06-11)",IF(C531&lt;=16,"Afternoon (12-16)",IF(C531&lt;=20,"Evening (17-20)","Late (21-23)")))))</f>
        <v>Afternoon (12-16)</v>
      </c>
    </row>
    <row r="532" customFormat="false" ht="15" hidden="false" customHeight="false" outlineLevel="0" collapsed="false">
      <c r="A532" s="37" t="s">
        <v>637</v>
      </c>
      <c r="B532" s="38" t="n">
        <v>46316</v>
      </c>
      <c r="C532" s="37" t="n">
        <v>15</v>
      </c>
      <c r="D532" s="37" t="s">
        <v>37</v>
      </c>
      <c r="E532" s="37" t="s">
        <v>46</v>
      </c>
      <c r="F532" s="37" t="s">
        <v>23</v>
      </c>
      <c r="G532" s="39" t="b">
        <f aca="false">TRUE()</f>
        <v>1</v>
      </c>
      <c r="H532" s="37" t="n">
        <v>609.12</v>
      </c>
      <c r="I532" s="37" t="n">
        <v>5</v>
      </c>
      <c r="J532" s="37" t="n">
        <v>51</v>
      </c>
      <c r="K532" s="37" t="n">
        <v>0</v>
      </c>
      <c r="L532" s="37" t="str">
        <f aca="false">IF(C532="","",IF(C532&lt;=5,"Night (00-05)",IF(C532&lt;=11,"Morning (06-11)",IF(C532&lt;=16,"Afternoon (12-16)",IF(C532&lt;=20,"Evening (17-20)","Late (21-23)")))))</f>
        <v>Afternoon (12-16)</v>
      </c>
    </row>
    <row r="533" customFormat="false" ht="15" hidden="false" customHeight="false" outlineLevel="0" collapsed="false">
      <c r="A533" s="37" t="s">
        <v>638</v>
      </c>
      <c r="B533" s="38" t="n">
        <v>46319</v>
      </c>
      <c r="C533" s="37" t="n">
        <v>1</v>
      </c>
      <c r="D533" s="37" t="s">
        <v>38</v>
      </c>
      <c r="E533" s="37" t="s">
        <v>48</v>
      </c>
      <c r="F533" s="37" t="s">
        <v>23</v>
      </c>
      <c r="G533" s="39" t="b">
        <f aca="false">TRUE()</f>
        <v>1</v>
      </c>
      <c r="H533" s="37" t="n">
        <v>838.23</v>
      </c>
      <c r="I533" s="37" t="n">
        <v>4</v>
      </c>
      <c r="J533" s="37" t="n">
        <v>24</v>
      </c>
      <c r="K533" s="37" t="n">
        <v>0</v>
      </c>
      <c r="L533" s="37" t="str">
        <f aca="false">IF(C533="","",IF(C533&lt;=5,"Night (00-05)",IF(C533&lt;=11,"Morning (06-11)",IF(C533&lt;=16,"Afternoon (12-16)",IF(C533&lt;=20,"Evening (17-20)","Late (21-23)")))))</f>
        <v>Night (00-05)</v>
      </c>
    </row>
    <row r="534" customFormat="false" ht="15" hidden="false" customHeight="false" outlineLevel="0" collapsed="false">
      <c r="A534" s="37" t="s">
        <v>639</v>
      </c>
      <c r="B534" s="38" t="n">
        <v>46316</v>
      </c>
      <c r="C534" s="37" t="n">
        <v>16</v>
      </c>
      <c r="D534" s="37" t="s">
        <v>39</v>
      </c>
      <c r="E534" s="37" t="s">
        <v>47</v>
      </c>
      <c r="F534" s="37" t="s">
        <v>23</v>
      </c>
      <c r="G534" s="39" t="b">
        <f aca="false">TRUE()</f>
        <v>1</v>
      </c>
      <c r="H534" s="37" t="n">
        <v>347.78</v>
      </c>
      <c r="I534" s="37" t="n">
        <v>4</v>
      </c>
      <c r="J534" s="37" t="n">
        <v>35</v>
      </c>
      <c r="K534" s="37" t="n">
        <v>0</v>
      </c>
      <c r="L534" s="37" t="str">
        <f aca="false">IF(C534="","",IF(C534&lt;=5,"Night (00-05)",IF(C534&lt;=11,"Morning (06-11)",IF(C534&lt;=16,"Afternoon (12-16)",IF(C534&lt;=20,"Evening (17-20)","Late (21-23)")))))</f>
        <v>Afternoon (12-16)</v>
      </c>
    </row>
    <row r="535" customFormat="false" ht="15" hidden="false" customHeight="false" outlineLevel="0" collapsed="false">
      <c r="A535" s="37" t="s">
        <v>640</v>
      </c>
      <c r="B535" s="38" t="n">
        <v>46318</v>
      </c>
      <c r="C535" s="37" t="n">
        <v>17</v>
      </c>
      <c r="D535" s="37" t="s">
        <v>39</v>
      </c>
      <c r="E535" s="37" t="s">
        <v>47</v>
      </c>
      <c r="F535" s="37" t="s">
        <v>129</v>
      </c>
      <c r="G535" s="39" t="b">
        <f aca="false">FALSE()</f>
        <v>0</v>
      </c>
      <c r="H535" s="37" t="n">
        <v>507.46</v>
      </c>
      <c r="K535" s="37" t="n">
        <v>0</v>
      </c>
      <c r="L535" s="37" t="str">
        <f aca="false">IF(C535="","",IF(C535&lt;=5,"Night (00-05)",IF(C535&lt;=11,"Morning (06-11)",IF(C535&lt;=16,"Afternoon (12-16)",IF(C535&lt;=20,"Evening (17-20)","Late (21-23)")))))</f>
        <v>Evening (17-20)</v>
      </c>
    </row>
    <row r="536" customFormat="false" ht="15" hidden="false" customHeight="false" outlineLevel="0" collapsed="false">
      <c r="A536" s="37" t="s">
        <v>641</v>
      </c>
      <c r="B536" s="38" t="n">
        <v>46318</v>
      </c>
      <c r="C536" s="37" t="n">
        <v>19</v>
      </c>
      <c r="D536" s="37" t="s">
        <v>40</v>
      </c>
      <c r="E536" s="37" t="s">
        <v>48</v>
      </c>
      <c r="F536" s="37" t="s">
        <v>23</v>
      </c>
      <c r="G536" s="39" t="b">
        <f aca="false">TRUE()</f>
        <v>1</v>
      </c>
      <c r="H536" s="37" t="n">
        <v>1002.33</v>
      </c>
      <c r="I536" s="37" t="n">
        <v>4</v>
      </c>
      <c r="J536" s="37" t="n">
        <v>55</v>
      </c>
      <c r="K536" s="37" t="n">
        <v>0</v>
      </c>
      <c r="L536" s="37" t="str">
        <f aca="false">IF(C536="","",IF(C536&lt;=5,"Night (00-05)",IF(C536&lt;=11,"Morning (06-11)",IF(C536&lt;=16,"Afternoon (12-16)",IF(C536&lt;=20,"Evening (17-20)","Late (21-23)")))))</f>
        <v>Evening (17-20)</v>
      </c>
    </row>
    <row r="537" customFormat="false" ht="15" hidden="false" customHeight="false" outlineLevel="0" collapsed="false">
      <c r="A537" s="37" t="s">
        <v>642</v>
      </c>
      <c r="B537" s="38" t="n">
        <v>46317</v>
      </c>
      <c r="C537" s="37" t="n">
        <v>21</v>
      </c>
      <c r="D537" s="37" t="s">
        <v>40</v>
      </c>
      <c r="E537" s="37" t="s">
        <v>47</v>
      </c>
      <c r="F537" s="37" t="s">
        <v>23</v>
      </c>
      <c r="G537" s="39" t="b">
        <f aca="false">TRUE()</f>
        <v>1</v>
      </c>
      <c r="H537" s="37" t="n">
        <v>1189.93</v>
      </c>
      <c r="I537" s="37" t="n">
        <v>4</v>
      </c>
      <c r="J537" s="37" t="n">
        <v>27</v>
      </c>
      <c r="K537" s="37" t="n">
        <v>0</v>
      </c>
      <c r="L537" s="37" t="str">
        <f aca="false">IF(C537="","",IF(C537&lt;=5,"Night (00-05)",IF(C537&lt;=11,"Morning (06-11)",IF(C537&lt;=16,"Afternoon (12-16)",IF(C537&lt;=20,"Evening (17-20)","Late (21-23)")))))</f>
        <v>Late (21-23)</v>
      </c>
    </row>
    <row r="538" customFormat="false" ht="15" hidden="false" customHeight="false" outlineLevel="0" collapsed="false">
      <c r="A538" s="37" t="s">
        <v>643</v>
      </c>
      <c r="B538" s="38" t="n">
        <v>46318</v>
      </c>
      <c r="C538" s="37" t="n">
        <v>18</v>
      </c>
      <c r="D538" s="37" t="s">
        <v>40</v>
      </c>
      <c r="E538" s="37" t="s">
        <v>47</v>
      </c>
      <c r="F538" s="37" t="s">
        <v>23</v>
      </c>
      <c r="G538" s="39" t="b">
        <f aca="false">TRUE()</f>
        <v>1</v>
      </c>
      <c r="H538" s="37" t="n">
        <v>815.65</v>
      </c>
      <c r="I538" s="37" t="n">
        <v>5</v>
      </c>
      <c r="J538" s="37" t="n">
        <v>22</v>
      </c>
      <c r="K538" s="37" t="n">
        <v>0</v>
      </c>
      <c r="L538" s="37" t="str">
        <f aca="false">IF(C538="","",IF(C538&lt;=5,"Night (00-05)",IF(C538&lt;=11,"Morning (06-11)",IF(C538&lt;=16,"Afternoon (12-16)",IF(C538&lt;=20,"Evening (17-20)","Late (21-23)")))))</f>
        <v>Evening (17-20)</v>
      </c>
    </row>
    <row r="539" customFormat="false" ht="15" hidden="false" customHeight="false" outlineLevel="0" collapsed="false">
      <c r="A539" s="37" t="s">
        <v>644</v>
      </c>
      <c r="B539" s="38" t="n">
        <v>46320</v>
      </c>
      <c r="C539" s="37" t="n">
        <v>21</v>
      </c>
      <c r="D539" s="37" t="s">
        <v>40</v>
      </c>
      <c r="E539" s="37" t="s">
        <v>47</v>
      </c>
      <c r="F539" s="37" t="s">
        <v>23</v>
      </c>
      <c r="G539" s="39" t="b">
        <f aca="false">TRUE()</f>
        <v>1</v>
      </c>
      <c r="H539" s="37" t="n">
        <v>697.98</v>
      </c>
      <c r="I539" s="37" t="n">
        <v>5</v>
      </c>
      <c r="J539" s="37" t="n">
        <v>41</v>
      </c>
      <c r="K539" s="37" t="n">
        <v>0</v>
      </c>
      <c r="L539" s="37" t="str">
        <f aca="false">IF(C539="","",IF(C539&lt;=5,"Night (00-05)",IF(C539&lt;=11,"Morning (06-11)",IF(C539&lt;=16,"Afternoon (12-16)",IF(C539&lt;=20,"Evening (17-20)","Late (21-23)")))))</f>
        <v>Late (21-23)</v>
      </c>
    </row>
    <row r="540" customFormat="false" ht="15" hidden="false" customHeight="false" outlineLevel="0" collapsed="false">
      <c r="A540" s="37" t="s">
        <v>645</v>
      </c>
      <c r="B540" s="38" t="n">
        <v>46322</v>
      </c>
      <c r="C540" s="37" t="n">
        <v>0</v>
      </c>
      <c r="D540" s="37" t="s">
        <v>37</v>
      </c>
      <c r="E540" s="37" t="s">
        <v>47</v>
      </c>
      <c r="F540" s="37" t="s">
        <v>23</v>
      </c>
      <c r="G540" s="39" t="b">
        <f aca="false">TRUE()</f>
        <v>1</v>
      </c>
      <c r="H540" s="37" t="n">
        <v>461.91</v>
      </c>
      <c r="I540" s="37" t="n">
        <v>5</v>
      </c>
      <c r="J540" s="37" t="n">
        <v>55</v>
      </c>
      <c r="K540" s="37" t="n">
        <v>0</v>
      </c>
      <c r="L540" s="37" t="str">
        <f aca="false">IF(C540="","",IF(C540&lt;=5,"Night (00-05)",IF(C540&lt;=11,"Morning (06-11)",IF(C540&lt;=16,"Afternoon (12-16)",IF(C540&lt;=20,"Evening (17-20)","Late (21-23)")))))</f>
        <v>Night (00-05)</v>
      </c>
    </row>
    <row r="541" customFormat="false" ht="15" hidden="false" customHeight="false" outlineLevel="0" collapsed="false">
      <c r="A541" s="37" t="s">
        <v>646</v>
      </c>
      <c r="B541" s="38" t="n">
        <v>46321</v>
      </c>
      <c r="C541" s="37" t="n">
        <v>18</v>
      </c>
      <c r="D541" s="37" t="s">
        <v>37</v>
      </c>
      <c r="E541" s="37" t="s">
        <v>47</v>
      </c>
      <c r="F541" s="37" t="s">
        <v>23</v>
      </c>
      <c r="G541" s="39" t="b">
        <f aca="false">TRUE()</f>
        <v>1</v>
      </c>
      <c r="H541" s="37" t="n">
        <v>743.62</v>
      </c>
      <c r="I541" s="37" t="n">
        <v>4</v>
      </c>
      <c r="J541" s="37" t="n">
        <v>28</v>
      </c>
      <c r="K541" s="37" t="n">
        <v>0</v>
      </c>
      <c r="L541" s="37" t="str">
        <f aca="false">IF(C541="","",IF(C541&lt;=5,"Night (00-05)",IF(C541&lt;=11,"Morning (06-11)",IF(C541&lt;=16,"Afternoon (12-16)",IF(C541&lt;=20,"Evening (17-20)","Late (21-23)")))))</f>
        <v>Evening (17-20)</v>
      </c>
    </row>
    <row r="542" customFormat="false" ht="15" hidden="false" customHeight="false" outlineLevel="0" collapsed="false">
      <c r="A542" s="37" t="s">
        <v>647</v>
      </c>
      <c r="B542" s="38" t="n">
        <v>46315</v>
      </c>
      <c r="C542" s="37" t="n">
        <v>21</v>
      </c>
      <c r="D542" s="37" t="s">
        <v>40</v>
      </c>
      <c r="E542" s="37" t="s">
        <v>49</v>
      </c>
      <c r="F542" s="37" t="s">
        <v>23</v>
      </c>
      <c r="G542" s="39" t="b">
        <f aca="false">TRUE()</f>
        <v>1</v>
      </c>
      <c r="H542" s="37" t="n">
        <v>650.82</v>
      </c>
      <c r="I542" s="37" t="n">
        <v>4</v>
      </c>
      <c r="J542" s="37" t="n">
        <v>42</v>
      </c>
      <c r="K542" s="37" t="n">
        <v>0</v>
      </c>
      <c r="L542" s="37" t="str">
        <f aca="false">IF(C542="","",IF(C542&lt;=5,"Night (00-05)",IF(C542&lt;=11,"Morning (06-11)",IF(C542&lt;=16,"Afternoon (12-16)",IF(C542&lt;=20,"Evening (17-20)","Late (21-23)")))))</f>
        <v>Late (21-23)</v>
      </c>
    </row>
    <row r="543" customFormat="false" ht="15" hidden="false" customHeight="false" outlineLevel="0" collapsed="false">
      <c r="A543" s="37" t="s">
        <v>648</v>
      </c>
      <c r="B543" s="38" t="n">
        <v>46318</v>
      </c>
      <c r="C543" s="37" t="n">
        <v>17</v>
      </c>
      <c r="D543" s="37" t="s">
        <v>37</v>
      </c>
      <c r="E543" s="37" t="s">
        <v>47</v>
      </c>
      <c r="F543" s="37" t="s">
        <v>23</v>
      </c>
      <c r="G543" s="39" t="b">
        <f aca="false">TRUE()</f>
        <v>1</v>
      </c>
      <c r="H543" s="37" t="n">
        <v>664.57</v>
      </c>
      <c r="I543" s="37" t="n">
        <v>4</v>
      </c>
      <c r="J543" s="37" t="n">
        <v>36</v>
      </c>
      <c r="K543" s="37" t="n">
        <v>0</v>
      </c>
      <c r="L543" s="37" t="str">
        <f aca="false">IF(C543="","",IF(C543&lt;=5,"Night (00-05)",IF(C543&lt;=11,"Morning (06-11)",IF(C543&lt;=16,"Afternoon (12-16)",IF(C543&lt;=20,"Evening (17-20)","Late (21-23)")))))</f>
        <v>Evening (17-20)</v>
      </c>
    </row>
    <row r="544" customFormat="false" ht="15" hidden="false" customHeight="false" outlineLevel="0" collapsed="false">
      <c r="A544" s="37" t="s">
        <v>649</v>
      </c>
      <c r="B544" s="38" t="n">
        <v>46318</v>
      </c>
      <c r="C544" s="37" t="n">
        <v>8</v>
      </c>
      <c r="D544" s="37" t="s">
        <v>39</v>
      </c>
      <c r="E544" s="37" t="s">
        <v>48</v>
      </c>
      <c r="F544" s="37" t="s">
        <v>23</v>
      </c>
      <c r="G544" s="39" t="b">
        <f aca="false">TRUE()</f>
        <v>1</v>
      </c>
      <c r="H544" s="37" t="n">
        <v>652.17</v>
      </c>
      <c r="I544" s="37" t="n">
        <v>5</v>
      </c>
      <c r="J544" s="37" t="n">
        <v>43</v>
      </c>
      <c r="K544" s="37" t="n">
        <v>0</v>
      </c>
      <c r="L544" s="37" t="str">
        <f aca="false">IF(C544="","",IF(C544&lt;=5,"Night (00-05)",IF(C544&lt;=11,"Morning (06-11)",IF(C544&lt;=16,"Afternoon (12-16)",IF(C544&lt;=20,"Evening (17-20)","Late (21-23)")))))</f>
        <v>Morning (06-11)</v>
      </c>
    </row>
    <row r="545" customFormat="false" ht="15" hidden="false" customHeight="false" outlineLevel="0" collapsed="false">
      <c r="A545" s="37" t="s">
        <v>650</v>
      </c>
      <c r="B545" s="38" t="n">
        <v>46316</v>
      </c>
      <c r="C545" s="37" t="n">
        <v>18</v>
      </c>
      <c r="D545" s="37" t="s">
        <v>39</v>
      </c>
      <c r="E545" s="37" t="s">
        <v>48</v>
      </c>
      <c r="F545" s="37" t="s">
        <v>23</v>
      </c>
      <c r="G545" s="39" t="b">
        <f aca="false">TRUE()</f>
        <v>1</v>
      </c>
      <c r="H545" s="37" t="n">
        <v>508.63</v>
      </c>
      <c r="I545" s="37" t="n">
        <v>4</v>
      </c>
      <c r="J545" s="37" t="n">
        <v>55</v>
      </c>
      <c r="K545" s="37" t="n">
        <v>0</v>
      </c>
      <c r="L545" s="37" t="str">
        <f aca="false">IF(C545="","",IF(C545&lt;=5,"Night (00-05)",IF(C545&lt;=11,"Morning (06-11)",IF(C545&lt;=16,"Afternoon (12-16)",IF(C545&lt;=20,"Evening (17-20)","Late (21-23)")))))</f>
        <v>Evening (17-20)</v>
      </c>
    </row>
    <row r="546" customFormat="false" ht="15" hidden="false" customHeight="false" outlineLevel="0" collapsed="false">
      <c r="A546" s="37" t="s">
        <v>651</v>
      </c>
      <c r="B546" s="38" t="n">
        <v>46317</v>
      </c>
      <c r="C546" s="37" t="n">
        <v>18</v>
      </c>
      <c r="D546" s="37" t="s">
        <v>38</v>
      </c>
      <c r="E546" s="37" t="s">
        <v>47</v>
      </c>
      <c r="F546" s="37" t="s">
        <v>23</v>
      </c>
      <c r="G546" s="39" t="b">
        <f aca="false">TRUE()</f>
        <v>1</v>
      </c>
      <c r="H546" s="37" t="n">
        <v>1165.24</v>
      </c>
      <c r="I546" s="37" t="n">
        <v>4</v>
      </c>
      <c r="J546" s="37" t="n">
        <v>28</v>
      </c>
      <c r="K546" s="37" t="n">
        <v>0</v>
      </c>
      <c r="L546" s="37" t="str">
        <f aca="false">IF(C546="","",IF(C546&lt;=5,"Night (00-05)",IF(C546&lt;=11,"Morning (06-11)",IF(C546&lt;=16,"Afternoon (12-16)",IF(C546&lt;=20,"Evening (17-20)","Late (21-23)")))))</f>
        <v>Evening (17-20)</v>
      </c>
    </row>
    <row r="547" customFormat="false" ht="15" hidden="false" customHeight="false" outlineLevel="0" collapsed="false">
      <c r="A547" s="37" t="s">
        <v>652</v>
      </c>
      <c r="B547" s="38" t="n">
        <v>46315</v>
      </c>
      <c r="C547" s="37" t="n">
        <v>17</v>
      </c>
      <c r="D547" s="37" t="s">
        <v>38</v>
      </c>
      <c r="E547" s="37" t="s">
        <v>47</v>
      </c>
      <c r="F547" s="37" t="s">
        <v>23</v>
      </c>
      <c r="G547" s="39" t="b">
        <f aca="false">TRUE()</f>
        <v>1</v>
      </c>
      <c r="H547" s="37" t="n">
        <v>1198.71</v>
      </c>
      <c r="I547" s="37" t="n">
        <v>4</v>
      </c>
      <c r="J547" s="37" t="n">
        <v>51</v>
      </c>
      <c r="K547" s="37" t="n">
        <v>0</v>
      </c>
      <c r="L547" s="37" t="str">
        <f aca="false">IF(C547="","",IF(C547&lt;=5,"Night (00-05)",IF(C547&lt;=11,"Morning (06-11)",IF(C547&lt;=16,"Afternoon (12-16)",IF(C547&lt;=20,"Evening (17-20)","Late (21-23)")))))</f>
        <v>Evening (17-20)</v>
      </c>
    </row>
    <row r="548" customFormat="false" ht="15" hidden="false" customHeight="false" outlineLevel="0" collapsed="false">
      <c r="A548" s="37" t="s">
        <v>653</v>
      </c>
      <c r="B548" s="38" t="n">
        <v>46320</v>
      </c>
      <c r="C548" s="37" t="n">
        <v>23</v>
      </c>
      <c r="D548" s="37" t="s">
        <v>37</v>
      </c>
      <c r="E548" s="37" t="s">
        <v>47</v>
      </c>
      <c r="F548" s="37" t="s">
        <v>113</v>
      </c>
      <c r="G548" s="39" t="b">
        <f aca="false">TRUE()</f>
        <v>1</v>
      </c>
      <c r="H548" s="37" t="n">
        <v>405.54</v>
      </c>
      <c r="K548" s="37" t="n">
        <v>0</v>
      </c>
      <c r="L548" s="37" t="str">
        <f aca="false">IF(C548="","",IF(C548&lt;=5,"Night (00-05)",IF(C548&lt;=11,"Morning (06-11)",IF(C548&lt;=16,"Afternoon (12-16)",IF(C548&lt;=20,"Evening (17-20)","Late (21-23)")))))</f>
        <v>Late (21-23)</v>
      </c>
    </row>
    <row r="549" customFormat="false" ht="15" hidden="false" customHeight="false" outlineLevel="0" collapsed="false">
      <c r="A549" s="37" t="s">
        <v>654</v>
      </c>
      <c r="B549" s="38" t="n">
        <v>46320</v>
      </c>
      <c r="C549" s="37" t="n">
        <v>22</v>
      </c>
      <c r="D549" s="37" t="s">
        <v>38</v>
      </c>
      <c r="E549" s="37" t="s">
        <v>49</v>
      </c>
      <c r="F549" s="37" t="s">
        <v>23</v>
      </c>
      <c r="G549" s="39" t="b">
        <f aca="false">TRUE()</f>
        <v>1</v>
      </c>
      <c r="H549" s="37" t="n">
        <v>1359.71</v>
      </c>
      <c r="I549" s="37" t="n">
        <v>5</v>
      </c>
      <c r="J549" s="37" t="n">
        <v>55</v>
      </c>
      <c r="K549" s="37" t="n">
        <v>0</v>
      </c>
      <c r="L549" s="37" t="str">
        <f aca="false">IF(C549="","",IF(C549&lt;=5,"Night (00-05)",IF(C549&lt;=11,"Morning (06-11)",IF(C549&lt;=16,"Afternoon (12-16)",IF(C549&lt;=20,"Evening (17-20)","Late (21-23)")))))</f>
        <v>Late (21-23)</v>
      </c>
    </row>
    <row r="550" customFormat="false" ht="15" hidden="false" customHeight="false" outlineLevel="0" collapsed="false">
      <c r="A550" s="37" t="s">
        <v>655</v>
      </c>
      <c r="B550" s="38" t="n">
        <v>46319</v>
      </c>
      <c r="C550" s="37" t="n">
        <v>2</v>
      </c>
      <c r="D550" s="37" t="s">
        <v>38</v>
      </c>
      <c r="E550" s="37" t="s">
        <v>46</v>
      </c>
      <c r="F550" s="37" t="s">
        <v>113</v>
      </c>
      <c r="G550" s="39" t="b">
        <f aca="false">FALSE()</f>
        <v>0</v>
      </c>
      <c r="H550" s="37" t="n">
        <v>1169.31</v>
      </c>
      <c r="K550" s="37" t="n">
        <v>0</v>
      </c>
      <c r="L550" s="37" t="str">
        <f aca="false">IF(C550="","",IF(C550&lt;=5,"Night (00-05)",IF(C550&lt;=11,"Morning (06-11)",IF(C550&lt;=16,"Afternoon (12-16)",IF(C550&lt;=20,"Evening (17-20)","Late (21-23)")))))</f>
        <v>Night (00-05)</v>
      </c>
    </row>
    <row r="551" customFormat="false" ht="15" hidden="false" customHeight="false" outlineLevel="0" collapsed="false">
      <c r="A551" s="37" t="s">
        <v>656</v>
      </c>
      <c r="B551" s="38" t="n">
        <v>46316</v>
      </c>
      <c r="C551" s="37" t="n">
        <v>4</v>
      </c>
      <c r="D551" s="37" t="s">
        <v>38</v>
      </c>
      <c r="E551" s="37" t="s">
        <v>48</v>
      </c>
      <c r="F551" s="37" t="s">
        <v>23</v>
      </c>
      <c r="G551" s="39" t="b">
        <f aca="false">TRUE()</f>
        <v>1</v>
      </c>
      <c r="H551" s="37" t="n">
        <v>1171.16</v>
      </c>
      <c r="I551" s="37" t="n">
        <v>5</v>
      </c>
      <c r="J551" s="37" t="n">
        <v>53</v>
      </c>
      <c r="K551" s="37" t="n">
        <v>0</v>
      </c>
      <c r="L551" s="37" t="str">
        <f aca="false">IF(C551="","",IF(C551&lt;=5,"Night (00-05)",IF(C551&lt;=11,"Morning (06-11)",IF(C551&lt;=16,"Afternoon (12-16)",IF(C551&lt;=20,"Evening (17-20)","Late (21-23)")))))</f>
        <v>Night (00-05)</v>
      </c>
    </row>
    <row r="552" customFormat="false" ht="15" hidden="false" customHeight="false" outlineLevel="0" collapsed="false">
      <c r="A552" s="37" t="s">
        <v>657</v>
      </c>
      <c r="B552" s="38" t="n">
        <v>46320</v>
      </c>
      <c r="C552" s="37" t="n">
        <v>0</v>
      </c>
      <c r="D552" s="37" t="s">
        <v>39</v>
      </c>
      <c r="E552" s="37" t="s">
        <v>47</v>
      </c>
      <c r="F552" s="37" t="s">
        <v>23</v>
      </c>
      <c r="G552" s="39" t="b">
        <f aca="false">TRUE()</f>
        <v>1</v>
      </c>
      <c r="H552" s="37" t="n">
        <v>605.51</v>
      </c>
      <c r="I552" s="37" t="n">
        <v>5</v>
      </c>
      <c r="J552" s="37" t="n">
        <v>49</v>
      </c>
      <c r="K552" s="37" t="n">
        <v>0</v>
      </c>
      <c r="L552" s="37" t="str">
        <f aca="false">IF(C552="","",IF(C552&lt;=5,"Night (00-05)",IF(C552&lt;=11,"Morning (06-11)",IF(C552&lt;=16,"Afternoon (12-16)",IF(C552&lt;=20,"Evening (17-20)","Late (21-23)")))))</f>
        <v>Night (00-05)</v>
      </c>
    </row>
    <row r="553" customFormat="false" ht="15" hidden="false" customHeight="false" outlineLevel="0" collapsed="false">
      <c r="A553" s="37" t="s">
        <v>658</v>
      </c>
      <c r="B553" s="38" t="n">
        <v>46319</v>
      </c>
      <c r="C553" s="37" t="n">
        <v>3</v>
      </c>
      <c r="D553" s="37" t="s">
        <v>37</v>
      </c>
      <c r="E553" s="37" t="s">
        <v>49</v>
      </c>
      <c r="F553" s="37" t="s">
        <v>23</v>
      </c>
      <c r="G553" s="39" t="b">
        <f aca="false">TRUE()</f>
        <v>1</v>
      </c>
      <c r="H553" s="37" t="n">
        <v>651.35</v>
      </c>
      <c r="I553" s="37" t="n">
        <v>5</v>
      </c>
      <c r="J553" s="37" t="n">
        <v>54</v>
      </c>
      <c r="K553" s="37" t="n">
        <v>0</v>
      </c>
      <c r="L553" s="37" t="str">
        <f aca="false">IF(C553="","",IF(C553&lt;=5,"Night (00-05)",IF(C553&lt;=11,"Morning (06-11)",IF(C553&lt;=16,"Afternoon (12-16)",IF(C553&lt;=20,"Evening (17-20)","Late (21-23)")))))</f>
        <v>Night (00-05)</v>
      </c>
    </row>
    <row r="554" customFormat="false" ht="15" hidden="false" customHeight="false" outlineLevel="0" collapsed="false">
      <c r="A554" s="37" t="s">
        <v>659</v>
      </c>
      <c r="B554" s="38" t="n">
        <v>46319</v>
      </c>
      <c r="C554" s="37" t="n">
        <v>4</v>
      </c>
      <c r="D554" s="37" t="s">
        <v>40</v>
      </c>
      <c r="E554" s="37" t="s">
        <v>46</v>
      </c>
      <c r="F554" s="37" t="s">
        <v>113</v>
      </c>
      <c r="G554" s="39" t="b">
        <f aca="false">FALSE()</f>
        <v>0</v>
      </c>
      <c r="H554" s="37" t="n">
        <v>828.87</v>
      </c>
      <c r="K554" s="37" t="n">
        <v>0</v>
      </c>
      <c r="L554" s="37" t="str">
        <f aca="false">IF(C554="","",IF(C554&lt;=5,"Night (00-05)",IF(C554&lt;=11,"Morning (06-11)",IF(C554&lt;=16,"Afternoon (12-16)",IF(C554&lt;=20,"Evening (17-20)","Late (21-23)")))))</f>
        <v>Night (00-05)</v>
      </c>
    </row>
    <row r="555" customFormat="false" ht="15" hidden="false" customHeight="false" outlineLevel="0" collapsed="false">
      <c r="A555" s="37" t="s">
        <v>660</v>
      </c>
      <c r="B555" s="38" t="n">
        <v>46319</v>
      </c>
      <c r="C555" s="37" t="n">
        <v>17</v>
      </c>
      <c r="D555" s="37" t="s">
        <v>39</v>
      </c>
      <c r="E555" s="37" t="s">
        <v>46</v>
      </c>
      <c r="F555" s="37" t="s">
        <v>23</v>
      </c>
      <c r="G555" s="39" t="b">
        <f aca="false">TRUE()</f>
        <v>1</v>
      </c>
      <c r="H555" s="37" t="n">
        <v>443</v>
      </c>
      <c r="I555" s="37" t="n">
        <v>1</v>
      </c>
      <c r="J555" s="37" t="n">
        <v>45</v>
      </c>
      <c r="K555" s="37" t="n">
        <v>0</v>
      </c>
      <c r="L555" s="37" t="str">
        <f aca="false">IF(C555="","",IF(C555&lt;=5,"Night (00-05)",IF(C555&lt;=11,"Morning (06-11)",IF(C555&lt;=16,"Afternoon (12-16)",IF(C555&lt;=20,"Evening (17-20)","Late (21-23)")))))</f>
        <v>Evening (17-20)</v>
      </c>
    </row>
    <row r="556" customFormat="false" ht="15" hidden="false" customHeight="false" outlineLevel="0" collapsed="false">
      <c r="A556" s="37" t="s">
        <v>661</v>
      </c>
      <c r="B556" s="38" t="n">
        <v>46316</v>
      </c>
      <c r="C556" s="37" t="n">
        <v>6</v>
      </c>
      <c r="D556" s="37" t="s">
        <v>37</v>
      </c>
      <c r="E556" s="37" t="s">
        <v>46</v>
      </c>
      <c r="F556" s="37" t="s">
        <v>129</v>
      </c>
      <c r="G556" s="39" t="b">
        <f aca="false">FALSE()</f>
        <v>0</v>
      </c>
      <c r="H556" s="37" t="n">
        <v>402.28</v>
      </c>
      <c r="K556" s="37" t="n">
        <v>0</v>
      </c>
      <c r="L556" s="37" t="str">
        <f aca="false">IF(C556="","",IF(C556&lt;=5,"Night (00-05)",IF(C556&lt;=11,"Morning (06-11)",IF(C556&lt;=16,"Afternoon (12-16)",IF(C556&lt;=20,"Evening (17-20)","Late (21-23)")))))</f>
        <v>Morning (06-11)</v>
      </c>
    </row>
    <row r="557" customFormat="false" ht="15" hidden="false" customHeight="false" outlineLevel="0" collapsed="false">
      <c r="A557" s="37" t="s">
        <v>662</v>
      </c>
      <c r="B557" s="38" t="n">
        <v>46317</v>
      </c>
      <c r="C557" s="37" t="n">
        <v>3</v>
      </c>
      <c r="D557" s="37" t="s">
        <v>40</v>
      </c>
      <c r="E557" s="37" t="s">
        <v>48</v>
      </c>
      <c r="F557" s="37" t="s">
        <v>23</v>
      </c>
      <c r="G557" s="39" t="b">
        <f aca="false">TRUE()</f>
        <v>1</v>
      </c>
      <c r="H557" s="37" t="n">
        <v>574.43</v>
      </c>
      <c r="I557" s="37" t="n">
        <v>3</v>
      </c>
      <c r="J557" s="37" t="n">
        <v>29</v>
      </c>
      <c r="K557" s="37" t="n">
        <v>0</v>
      </c>
      <c r="L557" s="37" t="str">
        <f aca="false">IF(C557="","",IF(C557&lt;=5,"Night (00-05)",IF(C557&lt;=11,"Morning (06-11)",IF(C557&lt;=16,"Afternoon (12-16)",IF(C557&lt;=20,"Evening (17-20)","Late (21-23)")))))</f>
        <v>Night (00-05)</v>
      </c>
    </row>
    <row r="558" customFormat="false" ht="15" hidden="false" customHeight="false" outlineLevel="0" collapsed="false">
      <c r="A558" s="37" t="s">
        <v>663</v>
      </c>
      <c r="B558" s="38" t="n">
        <v>46318</v>
      </c>
      <c r="C558" s="37" t="n">
        <v>3</v>
      </c>
      <c r="D558" s="37" t="s">
        <v>40</v>
      </c>
      <c r="E558" s="37" t="s">
        <v>46</v>
      </c>
      <c r="F558" s="37" t="s">
        <v>23</v>
      </c>
      <c r="G558" s="39" t="b">
        <f aca="false">TRUE()</f>
        <v>1</v>
      </c>
      <c r="H558" s="37" t="n">
        <v>572.52</v>
      </c>
      <c r="I558" s="37" t="n">
        <v>1</v>
      </c>
      <c r="J558" s="37" t="n">
        <v>91</v>
      </c>
      <c r="K558" s="37" t="n">
        <v>1</v>
      </c>
      <c r="L558" s="37" t="str">
        <f aca="false">IF(C558="","",IF(C558&lt;=5,"Night (00-05)",IF(C558&lt;=11,"Morning (06-11)",IF(C558&lt;=16,"Afternoon (12-16)",IF(C558&lt;=20,"Evening (17-20)","Late (21-23)")))))</f>
        <v>Night (00-05)</v>
      </c>
    </row>
    <row r="559" customFormat="false" ht="15" hidden="false" customHeight="false" outlineLevel="0" collapsed="false">
      <c r="A559" s="37" t="s">
        <v>664</v>
      </c>
      <c r="B559" s="38" t="n">
        <v>46318</v>
      </c>
      <c r="C559" s="37" t="n">
        <v>2</v>
      </c>
      <c r="D559" s="37" t="s">
        <v>38</v>
      </c>
      <c r="E559" s="37" t="s">
        <v>46</v>
      </c>
      <c r="F559" s="37" t="s">
        <v>129</v>
      </c>
      <c r="G559" s="39" t="b">
        <f aca="false">FALSE()</f>
        <v>0</v>
      </c>
      <c r="H559" s="37" t="n">
        <v>825.16</v>
      </c>
      <c r="K559" s="37" t="n">
        <v>0</v>
      </c>
      <c r="L559" s="37" t="str">
        <f aca="false">IF(C559="","",IF(C559&lt;=5,"Night (00-05)",IF(C559&lt;=11,"Morning (06-11)",IF(C559&lt;=16,"Afternoon (12-16)",IF(C559&lt;=20,"Evening (17-20)","Late (21-23)")))))</f>
        <v>Night (00-05)</v>
      </c>
    </row>
    <row r="560" customFormat="false" ht="15" hidden="false" customHeight="false" outlineLevel="0" collapsed="false">
      <c r="A560" s="37" t="s">
        <v>665</v>
      </c>
      <c r="B560" s="38" t="n">
        <v>46318</v>
      </c>
      <c r="C560" s="37" t="n">
        <v>14</v>
      </c>
      <c r="D560" s="37" t="s">
        <v>40</v>
      </c>
      <c r="E560" s="37" t="s">
        <v>46</v>
      </c>
      <c r="F560" s="37" t="s">
        <v>23</v>
      </c>
      <c r="G560" s="39" t="b">
        <f aca="false">TRUE()</f>
        <v>1</v>
      </c>
      <c r="H560" s="37" t="n">
        <v>1202.83</v>
      </c>
      <c r="I560" s="37" t="n">
        <v>5</v>
      </c>
      <c r="J560" s="37" t="n">
        <v>27</v>
      </c>
      <c r="K560" s="37" t="n">
        <v>0</v>
      </c>
      <c r="L560" s="37" t="str">
        <f aca="false">IF(C560="","",IF(C560&lt;=5,"Night (00-05)",IF(C560&lt;=11,"Morning (06-11)",IF(C560&lt;=16,"Afternoon (12-16)",IF(C560&lt;=20,"Evening (17-20)","Late (21-23)")))))</f>
        <v>Afternoon (12-16)</v>
      </c>
    </row>
    <row r="561" customFormat="false" ht="15" hidden="false" customHeight="false" outlineLevel="0" collapsed="false">
      <c r="A561" s="37" t="s">
        <v>666</v>
      </c>
      <c r="B561" s="38" t="n">
        <v>46317</v>
      </c>
      <c r="C561" s="37" t="n">
        <v>1</v>
      </c>
      <c r="D561" s="37" t="s">
        <v>38</v>
      </c>
      <c r="E561" s="37" t="s">
        <v>49</v>
      </c>
      <c r="F561" s="37" t="s">
        <v>23</v>
      </c>
      <c r="G561" s="39" t="b">
        <f aca="false">TRUE()</f>
        <v>1</v>
      </c>
      <c r="H561" s="37" t="n">
        <v>836.89</v>
      </c>
      <c r="I561" s="37" t="n">
        <v>4</v>
      </c>
      <c r="J561" s="37" t="n">
        <v>40</v>
      </c>
      <c r="K561" s="37" t="n">
        <v>0</v>
      </c>
      <c r="L561" s="37" t="str">
        <f aca="false">IF(C561="","",IF(C561&lt;=5,"Night (00-05)",IF(C561&lt;=11,"Morning (06-11)",IF(C561&lt;=16,"Afternoon (12-16)",IF(C561&lt;=20,"Evening (17-20)","Late (21-23)")))))</f>
        <v>Night (00-05)</v>
      </c>
    </row>
    <row r="562" customFormat="false" ht="15" hidden="false" customHeight="false" outlineLevel="0" collapsed="false">
      <c r="A562" s="37" t="s">
        <v>667</v>
      </c>
      <c r="B562" s="38" t="n">
        <v>46316</v>
      </c>
      <c r="C562" s="37" t="n">
        <v>18</v>
      </c>
      <c r="D562" s="37" t="s">
        <v>37</v>
      </c>
      <c r="E562" s="37" t="s">
        <v>47</v>
      </c>
      <c r="F562" s="37" t="s">
        <v>129</v>
      </c>
      <c r="G562" s="39" t="b">
        <f aca="false">FALSE()</f>
        <v>0</v>
      </c>
      <c r="H562" s="37" t="n">
        <v>735.82</v>
      </c>
      <c r="K562" s="37" t="n">
        <v>0</v>
      </c>
      <c r="L562" s="37" t="str">
        <f aca="false">IF(C562="","",IF(C562&lt;=5,"Night (00-05)",IF(C562&lt;=11,"Morning (06-11)",IF(C562&lt;=16,"Afternoon (12-16)",IF(C562&lt;=20,"Evening (17-20)","Late (21-23)")))))</f>
        <v>Evening (17-20)</v>
      </c>
    </row>
    <row r="563" customFormat="false" ht="15" hidden="false" customHeight="false" outlineLevel="0" collapsed="false">
      <c r="A563" s="37" t="s">
        <v>668</v>
      </c>
      <c r="B563" s="38" t="n">
        <v>46319</v>
      </c>
      <c r="C563" s="37" t="n">
        <v>1</v>
      </c>
      <c r="D563" s="37" t="s">
        <v>38</v>
      </c>
      <c r="E563" s="37" t="s">
        <v>48</v>
      </c>
      <c r="F563" s="37" t="s">
        <v>23</v>
      </c>
      <c r="G563" s="39" t="b">
        <f aca="false">TRUE()</f>
        <v>1</v>
      </c>
      <c r="H563" s="37" t="n">
        <v>1101.35</v>
      </c>
      <c r="I563" s="37" t="n">
        <v>3</v>
      </c>
      <c r="J563" s="37" t="n">
        <v>29</v>
      </c>
      <c r="K563" s="37" t="n">
        <v>0</v>
      </c>
      <c r="L563" s="37" t="str">
        <f aca="false">IF(C563="","",IF(C563&lt;=5,"Night (00-05)",IF(C563&lt;=11,"Morning (06-11)",IF(C563&lt;=16,"Afternoon (12-16)",IF(C563&lt;=20,"Evening (17-20)","Late (21-23)")))))</f>
        <v>Night (00-05)</v>
      </c>
    </row>
    <row r="564" customFormat="false" ht="15" hidden="false" customHeight="false" outlineLevel="0" collapsed="false">
      <c r="A564" s="37" t="s">
        <v>669</v>
      </c>
      <c r="B564" s="38" t="n">
        <v>46315</v>
      </c>
      <c r="C564" s="37" t="n">
        <v>21</v>
      </c>
      <c r="D564" s="37" t="s">
        <v>39</v>
      </c>
      <c r="E564" s="37" t="s">
        <v>46</v>
      </c>
      <c r="F564" s="37" t="s">
        <v>23</v>
      </c>
      <c r="G564" s="39" t="b">
        <f aca="false">TRUE()</f>
        <v>1</v>
      </c>
      <c r="H564" s="37" t="n">
        <v>333.03</v>
      </c>
      <c r="I564" s="37" t="n">
        <v>5</v>
      </c>
      <c r="J564" s="37" t="n">
        <v>28</v>
      </c>
      <c r="K564" s="37" t="n">
        <v>0</v>
      </c>
      <c r="L564" s="37" t="str">
        <f aca="false">IF(C564="","",IF(C564&lt;=5,"Night (00-05)",IF(C564&lt;=11,"Morning (06-11)",IF(C564&lt;=16,"Afternoon (12-16)",IF(C564&lt;=20,"Evening (17-20)","Late (21-23)")))))</f>
        <v>Late (21-23)</v>
      </c>
    </row>
    <row r="565" customFormat="false" ht="15" hidden="false" customHeight="false" outlineLevel="0" collapsed="false">
      <c r="A565" s="37" t="s">
        <v>670</v>
      </c>
      <c r="B565" s="38" t="n">
        <v>46318</v>
      </c>
      <c r="C565" s="37" t="n">
        <v>23</v>
      </c>
      <c r="D565" s="37" t="s">
        <v>37</v>
      </c>
      <c r="E565" s="37" t="s">
        <v>48</v>
      </c>
      <c r="F565" s="37" t="s">
        <v>23</v>
      </c>
      <c r="G565" s="39" t="b">
        <f aca="false">TRUE()</f>
        <v>1</v>
      </c>
      <c r="H565" s="37" t="n">
        <v>520.16</v>
      </c>
      <c r="I565" s="37" t="n">
        <v>4</v>
      </c>
      <c r="J565" s="37" t="n">
        <v>47</v>
      </c>
      <c r="K565" s="37" t="n">
        <v>0</v>
      </c>
      <c r="L565" s="37" t="str">
        <f aca="false">IF(C565="","",IF(C565&lt;=5,"Night (00-05)",IF(C565&lt;=11,"Morning (06-11)",IF(C565&lt;=16,"Afternoon (12-16)",IF(C565&lt;=20,"Evening (17-20)","Late (21-23)")))))</f>
        <v>Late (21-23)</v>
      </c>
    </row>
    <row r="566" customFormat="false" ht="15" hidden="false" customHeight="false" outlineLevel="0" collapsed="false">
      <c r="A566" s="37" t="s">
        <v>671</v>
      </c>
      <c r="B566" s="38" t="n">
        <v>46319</v>
      </c>
      <c r="C566" s="37" t="n">
        <v>15</v>
      </c>
      <c r="D566" s="37" t="s">
        <v>39</v>
      </c>
      <c r="E566" s="37" t="s">
        <v>46</v>
      </c>
      <c r="F566" s="37" t="s">
        <v>23</v>
      </c>
      <c r="G566" s="39" t="b">
        <f aca="false">TRUE()</f>
        <v>1</v>
      </c>
      <c r="H566" s="37" t="n">
        <v>438.32</v>
      </c>
      <c r="I566" s="37" t="n">
        <v>5</v>
      </c>
      <c r="J566" s="37" t="n">
        <v>21</v>
      </c>
      <c r="K566" s="37" t="n">
        <v>0</v>
      </c>
      <c r="L566" s="37" t="str">
        <f aca="false">IF(C566="","",IF(C566&lt;=5,"Night (00-05)",IF(C566&lt;=11,"Morning (06-11)",IF(C566&lt;=16,"Afternoon (12-16)",IF(C566&lt;=20,"Evening (17-20)","Late (21-23)")))))</f>
        <v>Afternoon (12-16)</v>
      </c>
    </row>
    <row r="567" customFormat="false" ht="15" hidden="false" customHeight="false" outlineLevel="0" collapsed="false">
      <c r="A567" s="37" t="s">
        <v>672</v>
      </c>
      <c r="B567" s="38" t="n">
        <v>46317</v>
      </c>
      <c r="C567" s="37" t="n">
        <v>6</v>
      </c>
      <c r="D567" s="37" t="s">
        <v>39</v>
      </c>
      <c r="E567" s="37" t="s">
        <v>48</v>
      </c>
      <c r="F567" s="37" t="s">
        <v>113</v>
      </c>
      <c r="G567" s="39" t="b">
        <f aca="false">TRUE()</f>
        <v>1</v>
      </c>
      <c r="H567" s="37" t="n">
        <v>475.19</v>
      </c>
      <c r="K567" s="37" t="n">
        <v>0</v>
      </c>
      <c r="L567" s="37" t="str">
        <f aca="false">IF(C567="","",IF(C567&lt;=5,"Night (00-05)",IF(C567&lt;=11,"Morning (06-11)",IF(C567&lt;=16,"Afternoon (12-16)",IF(C567&lt;=20,"Evening (17-20)","Late (21-23)")))))</f>
        <v>Morning (06-11)</v>
      </c>
    </row>
    <row r="568" customFormat="false" ht="15" hidden="false" customHeight="false" outlineLevel="0" collapsed="false">
      <c r="A568" s="37" t="s">
        <v>673</v>
      </c>
      <c r="B568" s="38" t="n">
        <v>46316</v>
      </c>
      <c r="C568" s="37" t="n">
        <v>16</v>
      </c>
      <c r="D568" s="37" t="s">
        <v>38</v>
      </c>
      <c r="E568" s="37" t="s">
        <v>47</v>
      </c>
      <c r="F568" s="37" t="s">
        <v>23</v>
      </c>
      <c r="G568" s="39" t="b">
        <f aca="false">TRUE()</f>
        <v>1</v>
      </c>
      <c r="H568" s="37" t="n">
        <v>1316.71</v>
      </c>
      <c r="I568" s="37" t="n">
        <v>5</v>
      </c>
      <c r="J568" s="37" t="n">
        <v>29</v>
      </c>
      <c r="K568" s="37" t="n">
        <v>0</v>
      </c>
      <c r="L568" s="37" t="str">
        <f aca="false">IF(C568="","",IF(C568&lt;=5,"Night (00-05)",IF(C568&lt;=11,"Morning (06-11)",IF(C568&lt;=16,"Afternoon (12-16)",IF(C568&lt;=20,"Evening (17-20)","Late (21-23)")))))</f>
        <v>Afternoon (12-16)</v>
      </c>
    </row>
    <row r="569" customFormat="false" ht="15" hidden="false" customHeight="false" outlineLevel="0" collapsed="false">
      <c r="A569" s="37" t="s">
        <v>674</v>
      </c>
      <c r="B569" s="38" t="n">
        <v>46321</v>
      </c>
      <c r="C569" s="37" t="n">
        <v>18</v>
      </c>
      <c r="D569" s="37" t="s">
        <v>38</v>
      </c>
      <c r="E569" s="37" t="s">
        <v>46</v>
      </c>
      <c r="F569" s="37" t="s">
        <v>23</v>
      </c>
      <c r="G569" s="39" t="b">
        <f aca="false">TRUE()</f>
        <v>1</v>
      </c>
      <c r="H569" s="37" t="n">
        <v>1114.04</v>
      </c>
      <c r="I569" s="37" t="n">
        <v>5</v>
      </c>
      <c r="J569" s="37" t="n">
        <v>33</v>
      </c>
      <c r="K569" s="37" t="n">
        <v>0</v>
      </c>
      <c r="L569" s="37" t="str">
        <f aca="false">IF(C569="","",IF(C569&lt;=5,"Night (00-05)",IF(C569&lt;=11,"Morning (06-11)",IF(C569&lt;=16,"Afternoon (12-16)",IF(C569&lt;=20,"Evening (17-20)","Late (21-23)")))))</f>
        <v>Evening (17-20)</v>
      </c>
    </row>
    <row r="570" customFormat="false" ht="15" hidden="false" customHeight="false" outlineLevel="0" collapsed="false">
      <c r="A570" s="37" t="s">
        <v>675</v>
      </c>
      <c r="B570" s="38" t="n">
        <v>46316</v>
      </c>
      <c r="C570" s="37" t="n">
        <v>17</v>
      </c>
      <c r="D570" s="37" t="s">
        <v>40</v>
      </c>
      <c r="E570" s="37" t="s">
        <v>49</v>
      </c>
      <c r="F570" s="37" t="s">
        <v>129</v>
      </c>
      <c r="G570" s="39" t="b">
        <f aca="false">FALSE()</f>
        <v>0</v>
      </c>
      <c r="H570" s="37" t="n">
        <v>997.43</v>
      </c>
      <c r="K570" s="37" t="n">
        <v>0</v>
      </c>
      <c r="L570" s="37" t="str">
        <f aca="false">IF(C570="","",IF(C570&lt;=5,"Night (00-05)",IF(C570&lt;=11,"Morning (06-11)",IF(C570&lt;=16,"Afternoon (12-16)",IF(C570&lt;=20,"Evening (17-20)","Late (21-23)")))))</f>
        <v>Evening (17-20)</v>
      </c>
    </row>
    <row r="571" customFormat="false" ht="15" hidden="false" customHeight="false" outlineLevel="0" collapsed="false">
      <c r="A571" s="37" t="s">
        <v>676</v>
      </c>
      <c r="B571" s="38" t="n">
        <v>46321</v>
      </c>
      <c r="C571" s="37" t="n">
        <v>1</v>
      </c>
      <c r="D571" s="37" t="s">
        <v>38</v>
      </c>
      <c r="E571" s="37" t="s">
        <v>46</v>
      </c>
      <c r="F571" s="37" t="s">
        <v>23</v>
      </c>
      <c r="G571" s="39" t="b">
        <f aca="false">TRUE()</f>
        <v>1</v>
      </c>
      <c r="H571" s="37" t="n">
        <v>918.22</v>
      </c>
      <c r="I571" s="37" t="n">
        <v>3</v>
      </c>
      <c r="J571" s="37" t="n">
        <v>37</v>
      </c>
      <c r="K571" s="37" t="n">
        <v>0</v>
      </c>
      <c r="L571" s="37" t="str">
        <f aca="false">IF(C571="","",IF(C571&lt;=5,"Night (00-05)",IF(C571&lt;=11,"Morning (06-11)",IF(C571&lt;=16,"Afternoon (12-16)",IF(C571&lt;=20,"Evening (17-20)","Late (21-23)")))))</f>
        <v>Night (00-05)</v>
      </c>
    </row>
    <row r="572" customFormat="false" ht="15" hidden="false" customHeight="false" outlineLevel="0" collapsed="false">
      <c r="A572" s="37" t="s">
        <v>677</v>
      </c>
      <c r="B572" s="38" t="n">
        <v>46321</v>
      </c>
      <c r="C572" s="37" t="n">
        <v>4</v>
      </c>
      <c r="D572" s="37" t="s">
        <v>40</v>
      </c>
      <c r="E572" s="37" t="s">
        <v>46</v>
      </c>
      <c r="F572" s="37" t="s">
        <v>23</v>
      </c>
      <c r="G572" s="39" t="b">
        <f aca="false">FALSE()</f>
        <v>0</v>
      </c>
      <c r="H572" s="37" t="n">
        <v>1190.43</v>
      </c>
      <c r="I572" s="37" t="n">
        <v>5</v>
      </c>
      <c r="J572" s="37" t="n">
        <v>59</v>
      </c>
      <c r="K572" s="37" t="n">
        <v>0</v>
      </c>
      <c r="L572" s="37" t="str">
        <f aca="false">IF(C572="","",IF(C572&lt;=5,"Night (00-05)",IF(C572&lt;=11,"Morning (06-11)",IF(C572&lt;=16,"Afternoon (12-16)",IF(C572&lt;=20,"Evening (17-20)","Late (21-23)")))))</f>
        <v>Night (00-05)</v>
      </c>
    </row>
    <row r="573" customFormat="false" ht="15" hidden="false" customHeight="false" outlineLevel="0" collapsed="false">
      <c r="A573" s="37" t="s">
        <v>678</v>
      </c>
      <c r="B573" s="38" t="n">
        <v>46320</v>
      </c>
      <c r="C573" s="37" t="n">
        <v>6</v>
      </c>
      <c r="D573" s="37" t="s">
        <v>40</v>
      </c>
      <c r="E573" s="37" t="s">
        <v>49</v>
      </c>
      <c r="F573" s="37" t="s">
        <v>23</v>
      </c>
      <c r="G573" s="39" t="b">
        <f aca="false">TRUE()</f>
        <v>1</v>
      </c>
      <c r="H573" s="37" t="n">
        <v>1192.42</v>
      </c>
      <c r="I573" s="37" t="n">
        <v>4</v>
      </c>
      <c r="J573" s="37" t="n">
        <v>31</v>
      </c>
      <c r="K573" s="37" t="n">
        <v>0</v>
      </c>
      <c r="L573" s="37" t="str">
        <f aca="false">IF(C573="","",IF(C573&lt;=5,"Night (00-05)",IF(C573&lt;=11,"Morning (06-11)",IF(C573&lt;=16,"Afternoon (12-16)",IF(C573&lt;=20,"Evening (17-20)","Late (21-23)")))))</f>
        <v>Morning (06-11)</v>
      </c>
    </row>
    <row r="574" customFormat="false" ht="15" hidden="false" customHeight="false" outlineLevel="0" collapsed="false">
      <c r="A574" s="37" t="s">
        <v>679</v>
      </c>
      <c r="B574" s="38" t="n">
        <v>46318</v>
      </c>
      <c r="C574" s="37" t="n">
        <v>23</v>
      </c>
      <c r="D574" s="37" t="s">
        <v>38</v>
      </c>
      <c r="E574" s="37" t="s">
        <v>48</v>
      </c>
      <c r="F574" s="37" t="s">
        <v>23</v>
      </c>
      <c r="G574" s="39" t="b">
        <f aca="false">TRUE()</f>
        <v>1</v>
      </c>
      <c r="H574" s="37" t="n">
        <v>1444.59</v>
      </c>
      <c r="I574" s="37" t="n">
        <v>4</v>
      </c>
      <c r="J574" s="37" t="n">
        <v>51</v>
      </c>
      <c r="K574" s="37" t="n">
        <v>0</v>
      </c>
      <c r="L574" s="37" t="str">
        <f aca="false">IF(C574="","",IF(C574&lt;=5,"Night (00-05)",IF(C574&lt;=11,"Morning (06-11)",IF(C574&lt;=16,"Afternoon (12-16)",IF(C574&lt;=20,"Evening (17-20)","Late (21-23)")))))</f>
        <v>Late (21-23)</v>
      </c>
    </row>
    <row r="575" customFormat="false" ht="15" hidden="false" customHeight="false" outlineLevel="0" collapsed="false">
      <c r="A575" s="37" t="s">
        <v>680</v>
      </c>
      <c r="B575" s="38" t="n">
        <v>46316</v>
      </c>
      <c r="C575" s="37" t="n">
        <v>10</v>
      </c>
      <c r="D575" s="37" t="s">
        <v>40</v>
      </c>
      <c r="E575" s="37" t="s">
        <v>46</v>
      </c>
      <c r="F575" s="37" t="s">
        <v>129</v>
      </c>
      <c r="G575" s="39" t="b">
        <f aca="false">FALSE()</f>
        <v>0</v>
      </c>
      <c r="H575" s="37" t="n">
        <v>687.96</v>
      </c>
      <c r="K575" s="37" t="n">
        <v>0</v>
      </c>
      <c r="L575" s="37" t="str">
        <f aca="false">IF(C575="","",IF(C575&lt;=5,"Night (00-05)",IF(C575&lt;=11,"Morning (06-11)",IF(C575&lt;=16,"Afternoon (12-16)",IF(C575&lt;=20,"Evening (17-20)","Late (21-23)")))))</f>
        <v>Morning (06-11)</v>
      </c>
    </row>
    <row r="576" customFormat="false" ht="15" hidden="false" customHeight="false" outlineLevel="0" collapsed="false">
      <c r="A576" s="37" t="s">
        <v>681</v>
      </c>
      <c r="B576" s="38" t="n">
        <v>46319</v>
      </c>
      <c r="C576" s="37" t="n">
        <v>17</v>
      </c>
      <c r="D576" s="37" t="s">
        <v>40</v>
      </c>
      <c r="E576" s="37" t="s">
        <v>49</v>
      </c>
      <c r="F576" s="37" t="s">
        <v>23</v>
      </c>
      <c r="G576" s="39" t="b">
        <f aca="false">TRUE()</f>
        <v>1</v>
      </c>
      <c r="H576" s="37" t="n">
        <v>1211.32</v>
      </c>
      <c r="I576" s="37" t="n">
        <v>5</v>
      </c>
      <c r="J576" s="37" t="n">
        <v>21</v>
      </c>
      <c r="K576" s="37" t="n">
        <v>0</v>
      </c>
      <c r="L576" s="37" t="str">
        <f aca="false">IF(C576="","",IF(C576&lt;=5,"Night (00-05)",IF(C576&lt;=11,"Morning (06-11)",IF(C576&lt;=16,"Afternoon (12-16)",IF(C576&lt;=20,"Evening (17-20)","Late (21-23)")))))</f>
        <v>Evening (17-20)</v>
      </c>
    </row>
    <row r="577" customFormat="false" ht="15" hidden="false" customHeight="false" outlineLevel="0" collapsed="false">
      <c r="A577" s="37" t="s">
        <v>682</v>
      </c>
      <c r="B577" s="38" t="n">
        <v>46317</v>
      </c>
      <c r="C577" s="37" t="n">
        <v>17</v>
      </c>
      <c r="D577" s="37" t="s">
        <v>39</v>
      </c>
      <c r="E577" s="37" t="s">
        <v>48</v>
      </c>
      <c r="F577" s="37" t="s">
        <v>23</v>
      </c>
      <c r="G577" s="39" t="b">
        <f aca="false">TRUE()</f>
        <v>1</v>
      </c>
      <c r="H577" s="37" t="n">
        <v>334.12</v>
      </c>
      <c r="I577" s="37" t="n">
        <v>4</v>
      </c>
      <c r="J577" s="37" t="n">
        <v>34</v>
      </c>
      <c r="K577" s="37" t="n">
        <v>0</v>
      </c>
      <c r="L577" s="37" t="str">
        <f aca="false">IF(C577="","",IF(C577&lt;=5,"Night (00-05)",IF(C577&lt;=11,"Morning (06-11)",IF(C577&lt;=16,"Afternoon (12-16)",IF(C577&lt;=20,"Evening (17-20)","Late (21-23)")))))</f>
        <v>Evening (17-20)</v>
      </c>
    </row>
    <row r="578" customFormat="false" ht="15" hidden="false" customHeight="false" outlineLevel="0" collapsed="false">
      <c r="A578" s="37" t="s">
        <v>683</v>
      </c>
      <c r="B578" s="38" t="n">
        <v>46319</v>
      </c>
      <c r="C578" s="37" t="n">
        <v>16</v>
      </c>
      <c r="D578" s="37" t="s">
        <v>40</v>
      </c>
      <c r="E578" s="37" t="s">
        <v>49</v>
      </c>
      <c r="F578" s="37" t="s">
        <v>23</v>
      </c>
      <c r="G578" s="39" t="b">
        <f aca="false">TRUE()</f>
        <v>1</v>
      </c>
      <c r="H578" s="37" t="n">
        <v>932.79</v>
      </c>
      <c r="I578" s="37" t="n">
        <v>5</v>
      </c>
      <c r="J578" s="37" t="n">
        <v>28</v>
      </c>
      <c r="K578" s="37" t="n">
        <v>0</v>
      </c>
      <c r="L578" s="37" t="str">
        <f aca="false">IF(C578="","",IF(C578&lt;=5,"Night (00-05)",IF(C578&lt;=11,"Morning (06-11)",IF(C578&lt;=16,"Afternoon (12-16)",IF(C578&lt;=20,"Evening (17-20)","Late (21-23)")))))</f>
        <v>Afternoon (12-16)</v>
      </c>
    </row>
    <row r="579" customFormat="false" ht="15" hidden="false" customHeight="false" outlineLevel="0" collapsed="false">
      <c r="A579" s="37" t="s">
        <v>684</v>
      </c>
      <c r="B579" s="38" t="n">
        <v>46321</v>
      </c>
      <c r="C579" s="37" t="n">
        <v>2</v>
      </c>
      <c r="D579" s="37" t="s">
        <v>40</v>
      </c>
      <c r="E579" s="37" t="s">
        <v>48</v>
      </c>
      <c r="F579" s="37" t="s">
        <v>113</v>
      </c>
      <c r="G579" s="39" t="b">
        <f aca="false">TRUE()</f>
        <v>1</v>
      </c>
      <c r="H579" s="37" t="n">
        <v>843.05</v>
      </c>
      <c r="K579" s="37" t="n">
        <v>0</v>
      </c>
      <c r="L579" s="37" t="str">
        <f aca="false">IF(C579="","",IF(C579&lt;=5,"Night (00-05)",IF(C579&lt;=11,"Morning (06-11)",IF(C579&lt;=16,"Afternoon (12-16)",IF(C579&lt;=20,"Evening (17-20)","Late (21-23)")))))</f>
        <v>Night (00-05)</v>
      </c>
    </row>
    <row r="580" customFormat="false" ht="15" hidden="false" customHeight="false" outlineLevel="0" collapsed="false">
      <c r="A580" s="37" t="s">
        <v>685</v>
      </c>
      <c r="B580" s="38" t="n">
        <v>46321</v>
      </c>
      <c r="C580" s="37" t="n">
        <v>16</v>
      </c>
      <c r="D580" s="37" t="s">
        <v>37</v>
      </c>
      <c r="E580" s="37" t="s">
        <v>46</v>
      </c>
      <c r="F580" s="37" t="s">
        <v>23</v>
      </c>
      <c r="G580" s="39" t="b">
        <f aca="false">TRUE()</f>
        <v>1</v>
      </c>
      <c r="H580" s="37" t="n">
        <v>432.91</v>
      </c>
      <c r="I580" s="37" t="n">
        <v>4</v>
      </c>
      <c r="J580" s="37" t="n">
        <v>27</v>
      </c>
      <c r="K580" s="37" t="n">
        <v>0</v>
      </c>
      <c r="L580" s="37" t="str">
        <f aca="false">IF(C580="","",IF(C580&lt;=5,"Night (00-05)",IF(C580&lt;=11,"Morning (06-11)",IF(C580&lt;=16,"Afternoon (12-16)",IF(C580&lt;=20,"Evening (17-20)","Late (21-23)")))))</f>
        <v>Afternoon (12-16)</v>
      </c>
    </row>
    <row r="581" customFormat="false" ht="15" hidden="false" customHeight="false" outlineLevel="0" collapsed="false">
      <c r="A581" s="37" t="s">
        <v>686</v>
      </c>
      <c r="B581" s="38" t="n">
        <v>46322</v>
      </c>
      <c r="C581" s="37" t="n">
        <v>3</v>
      </c>
      <c r="D581" s="37" t="s">
        <v>40</v>
      </c>
      <c r="E581" s="37" t="s">
        <v>49</v>
      </c>
      <c r="F581" s="37" t="s">
        <v>23</v>
      </c>
      <c r="G581" s="39" t="b">
        <f aca="false">TRUE()</f>
        <v>1</v>
      </c>
      <c r="H581" s="37" t="n">
        <v>1267.96</v>
      </c>
      <c r="I581" s="37" t="n">
        <v>4</v>
      </c>
      <c r="J581" s="37" t="n">
        <v>37</v>
      </c>
      <c r="K581" s="37" t="n">
        <v>0</v>
      </c>
      <c r="L581" s="37" t="str">
        <f aca="false">IF(C581="","",IF(C581&lt;=5,"Night (00-05)",IF(C581&lt;=11,"Morning (06-11)",IF(C581&lt;=16,"Afternoon (12-16)",IF(C581&lt;=20,"Evening (17-20)","Late (21-23)")))))</f>
        <v>Night (00-05)</v>
      </c>
    </row>
    <row r="582" customFormat="false" ht="15" hidden="false" customHeight="false" outlineLevel="0" collapsed="false">
      <c r="A582" s="37" t="s">
        <v>687</v>
      </c>
      <c r="B582" s="38" t="n">
        <v>46316</v>
      </c>
      <c r="C582" s="37" t="n">
        <v>15</v>
      </c>
      <c r="D582" s="37" t="s">
        <v>40</v>
      </c>
      <c r="E582" s="37" t="s">
        <v>48</v>
      </c>
      <c r="F582" s="37" t="s">
        <v>23</v>
      </c>
      <c r="G582" s="39" t="b">
        <f aca="false">TRUE()</f>
        <v>1</v>
      </c>
      <c r="H582" s="37" t="n">
        <v>976.09</v>
      </c>
      <c r="I582" s="37" t="n">
        <v>4</v>
      </c>
      <c r="J582" s="37" t="n">
        <v>21</v>
      </c>
      <c r="K582" s="37" t="n">
        <v>0</v>
      </c>
      <c r="L582" s="37" t="str">
        <f aca="false">IF(C582="","",IF(C582&lt;=5,"Night (00-05)",IF(C582&lt;=11,"Morning (06-11)",IF(C582&lt;=16,"Afternoon (12-16)",IF(C582&lt;=20,"Evening (17-20)","Late (21-23)")))))</f>
        <v>Afternoon (12-16)</v>
      </c>
    </row>
    <row r="583" customFormat="false" ht="15" hidden="false" customHeight="false" outlineLevel="0" collapsed="false">
      <c r="A583" s="37" t="s">
        <v>688</v>
      </c>
      <c r="B583" s="38" t="n">
        <v>46321</v>
      </c>
      <c r="C583" s="37" t="n">
        <v>2</v>
      </c>
      <c r="D583" s="37" t="s">
        <v>39</v>
      </c>
      <c r="E583" s="37" t="s">
        <v>46</v>
      </c>
      <c r="F583" s="37" t="s">
        <v>23</v>
      </c>
      <c r="G583" s="39" t="b">
        <f aca="false">FALSE()</f>
        <v>0</v>
      </c>
      <c r="H583" s="37" t="n">
        <v>372.59</v>
      </c>
      <c r="I583" s="37" t="n">
        <v>4</v>
      </c>
      <c r="J583" s="37" t="n">
        <v>53</v>
      </c>
      <c r="K583" s="37" t="n">
        <v>0</v>
      </c>
      <c r="L583" s="37" t="str">
        <f aca="false">IF(C583="","",IF(C583&lt;=5,"Night (00-05)",IF(C583&lt;=11,"Morning (06-11)",IF(C583&lt;=16,"Afternoon (12-16)",IF(C583&lt;=20,"Evening (17-20)","Late (21-23)")))))</f>
        <v>Night (00-05)</v>
      </c>
    </row>
    <row r="584" customFormat="false" ht="15" hidden="false" customHeight="false" outlineLevel="0" collapsed="false">
      <c r="A584" s="37" t="s">
        <v>689</v>
      </c>
      <c r="B584" s="38" t="n">
        <v>46316</v>
      </c>
      <c r="C584" s="37" t="n">
        <v>11</v>
      </c>
      <c r="D584" s="37" t="s">
        <v>40</v>
      </c>
      <c r="E584" s="37" t="s">
        <v>49</v>
      </c>
      <c r="F584" s="37" t="s">
        <v>23</v>
      </c>
      <c r="G584" s="39" t="b">
        <f aca="false">TRUE()</f>
        <v>1</v>
      </c>
      <c r="H584" s="37" t="n">
        <v>677.04</v>
      </c>
      <c r="I584" s="37" t="n">
        <v>5</v>
      </c>
      <c r="J584" s="37" t="n">
        <v>32</v>
      </c>
      <c r="K584" s="37" t="n">
        <v>0</v>
      </c>
      <c r="L584" s="37" t="str">
        <f aca="false">IF(C584="","",IF(C584&lt;=5,"Night (00-05)",IF(C584&lt;=11,"Morning (06-11)",IF(C584&lt;=16,"Afternoon (12-16)",IF(C584&lt;=20,"Evening (17-20)","Late (21-23)")))))</f>
        <v>Morning (06-11)</v>
      </c>
    </row>
    <row r="585" customFormat="false" ht="15" hidden="false" customHeight="false" outlineLevel="0" collapsed="false">
      <c r="A585" s="37" t="s">
        <v>690</v>
      </c>
      <c r="B585" s="38" t="n">
        <v>46315</v>
      </c>
      <c r="C585" s="37" t="n">
        <v>16</v>
      </c>
      <c r="D585" s="37" t="s">
        <v>39</v>
      </c>
      <c r="E585" s="37" t="s">
        <v>46</v>
      </c>
      <c r="F585" s="37" t="s">
        <v>113</v>
      </c>
      <c r="G585" s="39" t="b">
        <f aca="false">TRUE()</f>
        <v>1</v>
      </c>
      <c r="H585" s="37" t="n">
        <v>645.71</v>
      </c>
      <c r="K585" s="37" t="n">
        <v>0</v>
      </c>
      <c r="L585" s="37" t="str">
        <f aca="false">IF(C585="","",IF(C585&lt;=5,"Night (00-05)",IF(C585&lt;=11,"Morning (06-11)",IF(C585&lt;=16,"Afternoon (12-16)",IF(C585&lt;=20,"Evening (17-20)","Late (21-23)")))))</f>
        <v>Afternoon (12-16)</v>
      </c>
    </row>
    <row r="586" customFormat="false" ht="15" hidden="false" customHeight="false" outlineLevel="0" collapsed="false">
      <c r="A586" s="37" t="s">
        <v>691</v>
      </c>
      <c r="B586" s="38" t="n">
        <v>46318</v>
      </c>
      <c r="C586" s="37" t="n">
        <v>20</v>
      </c>
      <c r="D586" s="37" t="s">
        <v>39</v>
      </c>
      <c r="E586" s="37" t="s">
        <v>46</v>
      </c>
      <c r="F586" s="37" t="s">
        <v>113</v>
      </c>
      <c r="G586" s="39" t="b">
        <f aca="false">TRUE()</f>
        <v>1</v>
      </c>
      <c r="H586" s="37" t="n">
        <v>456.66</v>
      </c>
      <c r="K586" s="37" t="n">
        <v>0</v>
      </c>
      <c r="L586" s="37" t="str">
        <f aca="false">IF(C586="","",IF(C586&lt;=5,"Night (00-05)",IF(C586&lt;=11,"Morning (06-11)",IF(C586&lt;=16,"Afternoon (12-16)",IF(C586&lt;=20,"Evening (17-20)","Late (21-23)")))))</f>
        <v>Evening (17-20)</v>
      </c>
    </row>
    <row r="587" customFormat="false" ht="15" hidden="false" customHeight="false" outlineLevel="0" collapsed="false">
      <c r="A587" s="37" t="s">
        <v>692</v>
      </c>
      <c r="B587" s="38" t="n">
        <v>46319</v>
      </c>
      <c r="C587" s="37" t="n">
        <v>23</v>
      </c>
      <c r="D587" s="37" t="s">
        <v>38</v>
      </c>
      <c r="E587" s="37" t="s">
        <v>47</v>
      </c>
      <c r="F587" s="37" t="s">
        <v>23</v>
      </c>
      <c r="G587" s="39" t="b">
        <f aca="false">TRUE()</f>
        <v>1</v>
      </c>
      <c r="H587" s="37" t="n">
        <v>1115.13</v>
      </c>
      <c r="I587" s="37" t="n">
        <v>5</v>
      </c>
      <c r="J587" s="37" t="n">
        <v>22</v>
      </c>
      <c r="K587" s="37" t="n">
        <v>0</v>
      </c>
      <c r="L587" s="37" t="str">
        <f aca="false">IF(C587="","",IF(C587&lt;=5,"Night (00-05)",IF(C587&lt;=11,"Morning (06-11)",IF(C587&lt;=16,"Afternoon (12-16)",IF(C587&lt;=20,"Evening (17-20)","Late (21-23)")))))</f>
        <v>Late (21-23)</v>
      </c>
    </row>
    <row r="588" customFormat="false" ht="15" hidden="false" customHeight="false" outlineLevel="0" collapsed="false">
      <c r="A588" s="37" t="s">
        <v>693</v>
      </c>
      <c r="B588" s="38" t="n">
        <v>46316</v>
      </c>
      <c r="C588" s="37" t="n">
        <v>22</v>
      </c>
      <c r="D588" s="37" t="s">
        <v>38</v>
      </c>
      <c r="E588" s="37" t="s">
        <v>49</v>
      </c>
      <c r="F588" s="37" t="s">
        <v>23</v>
      </c>
      <c r="G588" s="39" t="b">
        <f aca="false">TRUE()</f>
        <v>1</v>
      </c>
      <c r="H588" s="37" t="n">
        <v>1160.29</v>
      </c>
      <c r="I588" s="37" t="n">
        <v>4</v>
      </c>
      <c r="J588" s="37" t="n">
        <v>23</v>
      </c>
      <c r="K588" s="37" t="n">
        <v>0</v>
      </c>
      <c r="L588" s="37" t="str">
        <f aca="false">IF(C588="","",IF(C588&lt;=5,"Night (00-05)",IF(C588&lt;=11,"Morning (06-11)",IF(C588&lt;=16,"Afternoon (12-16)",IF(C588&lt;=20,"Evening (17-20)","Late (21-23)")))))</f>
        <v>Late (21-23)</v>
      </c>
    </row>
    <row r="589" customFormat="false" ht="15" hidden="false" customHeight="false" outlineLevel="0" collapsed="false">
      <c r="A589" s="37" t="s">
        <v>694</v>
      </c>
      <c r="B589" s="38" t="n">
        <v>46318</v>
      </c>
      <c r="C589" s="37" t="n">
        <v>19</v>
      </c>
      <c r="D589" s="37" t="s">
        <v>40</v>
      </c>
      <c r="E589" s="37" t="s">
        <v>49</v>
      </c>
      <c r="F589" s="37" t="s">
        <v>23</v>
      </c>
      <c r="G589" s="39" t="b">
        <f aca="false">TRUE()</f>
        <v>1</v>
      </c>
      <c r="H589" s="37" t="n">
        <v>632.19</v>
      </c>
      <c r="I589" s="37" t="n">
        <v>5</v>
      </c>
      <c r="J589" s="37" t="n">
        <v>23</v>
      </c>
      <c r="K589" s="37" t="n">
        <v>0</v>
      </c>
      <c r="L589" s="37" t="str">
        <f aca="false">IF(C589="","",IF(C589&lt;=5,"Night (00-05)",IF(C589&lt;=11,"Morning (06-11)",IF(C589&lt;=16,"Afternoon (12-16)",IF(C589&lt;=20,"Evening (17-20)","Late (21-23)")))))</f>
        <v>Evening (17-20)</v>
      </c>
    </row>
    <row r="590" customFormat="false" ht="15" hidden="false" customHeight="false" outlineLevel="0" collapsed="false">
      <c r="A590" s="37" t="s">
        <v>695</v>
      </c>
      <c r="B590" s="38" t="n">
        <v>46316</v>
      </c>
      <c r="C590" s="37" t="n">
        <v>21</v>
      </c>
      <c r="D590" s="37" t="s">
        <v>38</v>
      </c>
      <c r="E590" s="37" t="s">
        <v>47</v>
      </c>
      <c r="F590" s="37" t="s">
        <v>23</v>
      </c>
      <c r="G590" s="39" t="b">
        <f aca="false">TRUE()</f>
        <v>1</v>
      </c>
      <c r="H590" s="37" t="n">
        <v>924.84</v>
      </c>
      <c r="I590" s="37" t="n">
        <v>3</v>
      </c>
      <c r="J590" s="37" t="n">
        <v>54</v>
      </c>
      <c r="K590" s="37" t="n">
        <v>0</v>
      </c>
      <c r="L590" s="37" t="str">
        <f aca="false">IF(C590="","",IF(C590&lt;=5,"Night (00-05)",IF(C590&lt;=11,"Morning (06-11)",IF(C590&lt;=16,"Afternoon (12-16)",IF(C590&lt;=20,"Evening (17-20)","Late (21-23)")))))</f>
        <v>Late (21-23)</v>
      </c>
    </row>
    <row r="591" customFormat="false" ht="15" hidden="false" customHeight="false" outlineLevel="0" collapsed="false">
      <c r="A591" s="37" t="s">
        <v>696</v>
      </c>
      <c r="B591" s="38" t="n">
        <v>46318</v>
      </c>
      <c r="C591" s="37" t="n">
        <v>18</v>
      </c>
      <c r="D591" s="37" t="s">
        <v>39</v>
      </c>
      <c r="E591" s="37" t="s">
        <v>48</v>
      </c>
      <c r="F591" s="37" t="s">
        <v>23</v>
      </c>
      <c r="G591" s="39" t="b">
        <f aca="false">TRUE()</f>
        <v>1</v>
      </c>
      <c r="H591" s="37" t="n">
        <v>652.02</v>
      </c>
      <c r="I591" s="37" t="n">
        <v>5</v>
      </c>
      <c r="J591" s="37" t="n">
        <v>40</v>
      </c>
      <c r="K591" s="37" t="n">
        <v>0</v>
      </c>
      <c r="L591" s="37" t="str">
        <f aca="false">IF(C591="","",IF(C591&lt;=5,"Night (00-05)",IF(C591&lt;=11,"Morning (06-11)",IF(C591&lt;=16,"Afternoon (12-16)",IF(C591&lt;=20,"Evening (17-20)","Late (21-23)")))))</f>
        <v>Evening (17-20)</v>
      </c>
    </row>
    <row r="592" customFormat="false" ht="15" hidden="false" customHeight="false" outlineLevel="0" collapsed="false">
      <c r="A592" s="37" t="s">
        <v>697</v>
      </c>
      <c r="B592" s="38" t="n">
        <v>46321</v>
      </c>
      <c r="C592" s="37" t="n">
        <v>2</v>
      </c>
      <c r="D592" s="37" t="s">
        <v>38</v>
      </c>
      <c r="E592" s="37" t="s">
        <v>47</v>
      </c>
      <c r="F592" s="37" t="s">
        <v>23</v>
      </c>
      <c r="G592" s="39" t="b">
        <f aca="false">TRUE()</f>
        <v>1</v>
      </c>
      <c r="H592" s="37" t="n">
        <v>878.92</v>
      </c>
      <c r="I592" s="37" t="n">
        <v>3</v>
      </c>
      <c r="J592" s="37" t="n">
        <v>43</v>
      </c>
      <c r="K592" s="37" t="n">
        <v>0</v>
      </c>
      <c r="L592" s="37" t="str">
        <f aca="false">IF(C592="","",IF(C592&lt;=5,"Night (00-05)",IF(C592&lt;=11,"Morning (06-11)",IF(C592&lt;=16,"Afternoon (12-16)",IF(C592&lt;=20,"Evening (17-20)","Late (21-23)")))))</f>
        <v>Night (00-05)</v>
      </c>
    </row>
    <row r="593" customFormat="false" ht="15" hidden="false" customHeight="false" outlineLevel="0" collapsed="false">
      <c r="A593" s="37" t="s">
        <v>698</v>
      </c>
      <c r="B593" s="38" t="n">
        <v>46320</v>
      </c>
      <c r="C593" s="37" t="n">
        <v>19</v>
      </c>
      <c r="D593" s="37" t="s">
        <v>37</v>
      </c>
      <c r="E593" s="37" t="s">
        <v>49</v>
      </c>
      <c r="F593" s="37" t="s">
        <v>23</v>
      </c>
      <c r="G593" s="39" t="b">
        <f aca="false">TRUE()</f>
        <v>1</v>
      </c>
      <c r="H593" s="37" t="n">
        <v>674.17</v>
      </c>
      <c r="I593" s="37" t="n">
        <v>5</v>
      </c>
      <c r="J593" s="37" t="n">
        <v>30</v>
      </c>
      <c r="K593" s="37" t="n">
        <v>0</v>
      </c>
      <c r="L593" s="37" t="str">
        <f aca="false">IF(C593="","",IF(C593&lt;=5,"Night (00-05)",IF(C593&lt;=11,"Morning (06-11)",IF(C593&lt;=16,"Afternoon (12-16)",IF(C593&lt;=20,"Evening (17-20)","Late (21-23)")))))</f>
        <v>Evening (17-20)</v>
      </c>
    </row>
    <row r="594" customFormat="false" ht="15" hidden="false" customHeight="false" outlineLevel="0" collapsed="false">
      <c r="A594" s="37" t="s">
        <v>699</v>
      </c>
      <c r="B594" s="38" t="n">
        <v>46320</v>
      </c>
      <c r="C594" s="37" t="n">
        <v>3</v>
      </c>
      <c r="D594" s="37" t="s">
        <v>37</v>
      </c>
      <c r="E594" s="37" t="s">
        <v>48</v>
      </c>
      <c r="F594" s="37" t="s">
        <v>23</v>
      </c>
      <c r="G594" s="39" t="b">
        <f aca="false">TRUE()</f>
        <v>1</v>
      </c>
      <c r="H594" s="37" t="n">
        <v>488.43</v>
      </c>
      <c r="I594" s="37" t="n">
        <v>4</v>
      </c>
      <c r="J594" s="37" t="n">
        <v>46</v>
      </c>
      <c r="K594" s="37" t="n">
        <v>0</v>
      </c>
      <c r="L594" s="37" t="str">
        <f aca="false">IF(C594="","",IF(C594&lt;=5,"Night (00-05)",IF(C594&lt;=11,"Morning (06-11)",IF(C594&lt;=16,"Afternoon (12-16)",IF(C594&lt;=20,"Evening (17-20)","Late (21-23)")))))</f>
        <v>Night (00-05)</v>
      </c>
    </row>
    <row r="595" customFormat="false" ht="15" hidden="false" customHeight="false" outlineLevel="0" collapsed="false">
      <c r="A595" s="37" t="s">
        <v>700</v>
      </c>
      <c r="B595" s="38" t="n">
        <v>46321</v>
      </c>
      <c r="C595" s="37" t="n">
        <v>2</v>
      </c>
      <c r="D595" s="37" t="s">
        <v>37</v>
      </c>
      <c r="E595" s="37" t="s">
        <v>47</v>
      </c>
      <c r="F595" s="37" t="s">
        <v>129</v>
      </c>
      <c r="G595" s="39" t="b">
        <f aca="false">FALSE()</f>
        <v>0</v>
      </c>
      <c r="H595" s="37" t="n">
        <v>848.27</v>
      </c>
      <c r="K595" s="37" t="n">
        <v>0</v>
      </c>
      <c r="L595" s="37" t="str">
        <f aca="false">IF(C595="","",IF(C595&lt;=5,"Night (00-05)",IF(C595&lt;=11,"Morning (06-11)",IF(C595&lt;=16,"Afternoon (12-16)",IF(C595&lt;=20,"Evening (17-20)","Late (21-23)")))))</f>
        <v>Night (00-05)</v>
      </c>
    </row>
    <row r="596" customFormat="false" ht="15" hidden="false" customHeight="false" outlineLevel="0" collapsed="false">
      <c r="A596" s="37" t="s">
        <v>701</v>
      </c>
      <c r="B596" s="38" t="n">
        <v>46316</v>
      </c>
      <c r="C596" s="37" t="n">
        <v>0</v>
      </c>
      <c r="D596" s="37" t="s">
        <v>39</v>
      </c>
      <c r="E596" s="37" t="s">
        <v>49</v>
      </c>
      <c r="F596" s="37" t="s">
        <v>23</v>
      </c>
      <c r="G596" s="39" t="b">
        <f aca="false">TRUE()</f>
        <v>1</v>
      </c>
      <c r="H596" s="37" t="n">
        <v>641.16</v>
      </c>
      <c r="I596" s="37" t="n">
        <v>5</v>
      </c>
      <c r="J596" s="37" t="n">
        <v>20</v>
      </c>
      <c r="K596" s="37" t="n">
        <v>0</v>
      </c>
      <c r="L596" s="37" t="str">
        <f aca="false">IF(C596="","",IF(C596&lt;=5,"Night (00-05)",IF(C596&lt;=11,"Morning (06-11)",IF(C596&lt;=16,"Afternoon (12-16)",IF(C596&lt;=20,"Evening (17-20)","Late (21-23)")))))</f>
        <v>Night (00-05)</v>
      </c>
    </row>
    <row r="597" customFormat="false" ht="15" hidden="false" customHeight="false" outlineLevel="0" collapsed="false">
      <c r="A597" s="37" t="s">
        <v>702</v>
      </c>
      <c r="B597" s="38" t="n">
        <v>46318</v>
      </c>
      <c r="C597" s="37" t="n">
        <v>17</v>
      </c>
      <c r="D597" s="37" t="s">
        <v>39</v>
      </c>
      <c r="E597" s="37" t="s">
        <v>49</v>
      </c>
      <c r="F597" s="37" t="s">
        <v>23</v>
      </c>
      <c r="G597" s="39" t="b">
        <f aca="false">TRUE()</f>
        <v>1</v>
      </c>
      <c r="H597" s="37" t="n">
        <v>463.06</v>
      </c>
      <c r="I597" s="37" t="n">
        <v>4</v>
      </c>
      <c r="J597" s="37" t="n">
        <v>20</v>
      </c>
      <c r="K597" s="37" t="n">
        <v>0</v>
      </c>
      <c r="L597" s="37" t="str">
        <f aca="false">IF(C597="","",IF(C597&lt;=5,"Night (00-05)",IF(C597&lt;=11,"Morning (06-11)",IF(C597&lt;=16,"Afternoon (12-16)",IF(C597&lt;=20,"Evening (17-20)","Late (21-23)")))))</f>
        <v>Evening (17-20)</v>
      </c>
    </row>
    <row r="598" customFormat="false" ht="15" hidden="false" customHeight="false" outlineLevel="0" collapsed="false">
      <c r="A598" s="37" t="s">
        <v>703</v>
      </c>
      <c r="B598" s="38" t="n">
        <v>46319</v>
      </c>
      <c r="C598" s="37" t="n">
        <v>17</v>
      </c>
      <c r="D598" s="37" t="s">
        <v>37</v>
      </c>
      <c r="E598" s="37" t="s">
        <v>47</v>
      </c>
      <c r="F598" s="37" t="s">
        <v>23</v>
      </c>
      <c r="G598" s="39" t="b">
        <f aca="false">TRUE()</f>
        <v>1</v>
      </c>
      <c r="H598" s="37" t="n">
        <v>491.42</v>
      </c>
      <c r="I598" s="37" t="n">
        <v>2</v>
      </c>
      <c r="J598" s="37" t="n">
        <v>42</v>
      </c>
      <c r="K598" s="37" t="n">
        <v>0</v>
      </c>
      <c r="L598" s="37" t="str">
        <f aca="false">IF(C598="","",IF(C598&lt;=5,"Night (00-05)",IF(C598&lt;=11,"Morning (06-11)",IF(C598&lt;=16,"Afternoon (12-16)",IF(C598&lt;=20,"Evening (17-20)","Late (21-23)")))))</f>
        <v>Evening (17-20)</v>
      </c>
    </row>
    <row r="599" customFormat="false" ht="15" hidden="false" customHeight="false" outlineLevel="0" collapsed="false">
      <c r="A599" s="37" t="s">
        <v>704</v>
      </c>
      <c r="B599" s="38" t="n">
        <v>46321</v>
      </c>
      <c r="C599" s="37" t="n">
        <v>11</v>
      </c>
      <c r="D599" s="37" t="s">
        <v>40</v>
      </c>
      <c r="E599" s="37" t="s">
        <v>46</v>
      </c>
      <c r="F599" s="37" t="s">
        <v>23</v>
      </c>
      <c r="G599" s="39" t="b">
        <f aca="false">TRUE()</f>
        <v>1</v>
      </c>
      <c r="H599" s="37" t="n">
        <v>1235.31</v>
      </c>
      <c r="I599" s="37" t="n">
        <v>5</v>
      </c>
      <c r="J599" s="37" t="n">
        <v>46</v>
      </c>
      <c r="K599" s="37" t="n">
        <v>0</v>
      </c>
      <c r="L599" s="37" t="str">
        <f aca="false">IF(C599="","",IF(C599&lt;=5,"Night (00-05)",IF(C599&lt;=11,"Morning (06-11)",IF(C599&lt;=16,"Afternoon (12-16)",IF(C599&lt;=20,"Evening (17-20)","Late (21-23)")))))</f>
        <v>Morning (06-11)</v>
      </c>
    </row>
    <row r="600" customFormat="false" ht="15" hidden="false" customHeight="false" outlineLevel="0" collapsed="false">
      <c r="A600" s="37" t="s">
        <v>705</v>
      </c>
      <c r="B600" s="38" t="n">
        <v>46317</v>
      </c>
      <c r="C600" s="37" t="n">
        <v>0</v>
      </c>
      <c r="D600" s="37" t="s">
        <v>37</v>
      </c>
      <c r="E600" s="37" t="s">
        <v>49</v>
      </c>
      <c r="F600" s="37" t="s">
        <v>23</v>
      </c>
      <c r="G600" s="39" t="b">
        <f aca="false">TRUE()</f>
        <v>1</v>
      </c>
      <c r="H600" s="37" t="n">
        <v>773.67</v>
      </c>
      <c r="I600" s="37" t="n">
        <v>3</v>
      </c>
      <c r="J600" s="37" t="n">
        <v>22</v>
      </c>
      <c r="K600" s="37" t="n">
        <v>0</v>
      </c>
      <c r="L600" s="37" t="str">
        <f aca="false">IF(C600="","",IF(C600&lt;=5,"Night (00-05)",IF(C600&lt;=11,"Morning (06-11)",IF(C600&lt;=16,"Afternoon (12-16)",IF(C600&lt;=20,"Evening (17-20)","Late (21-23)")))))</f>
        <v>Night (00-05)</v>
      </c>
    </row>
    <row r="601" customFormat="false" ht="15" hidden="false" customHeight="false" outlineLevel="0" collapsed="false">
      <c r="A601" s="37" t="s">
        <v>706</v>
      </c>
      <c r="B601" s="38" t="n">
        <v>46317</v>
      </c>
      <c r="C601" s="37" t="n">
        <v>18</v>
      </c>
      <c r="D601" s="37" t="s">
        <v>38</v>
      </c>
      <c r="E601" s="37" t="s">
        <v>49</v>
      </c>
      <c r="F601" s="37" t="s">
        <v>23</v>
      </c>
      <c r="G601" s="39" t="b">
        <f aca="false">TRUE()</f>
        <v>1</v>
      </c>
      <c r="H601" s="37" t="n">
        <v>1389.32</v>
      </c>
      <c r="I601" s="37" t="n">
        <v>3</v>
      </c>
      <c r="J601" s="37" t="n">
        <v>50</v>
      </c>
      <c r="K601" s="37" t="n">
        <v>0</v>
      </c>
      <c r="L601" s="37" t="str">
        <f aca="false">IF(C601="","",IF(C601&lt;=5,"Night (00-05)",IF(C601&lt;=11,"Morning (06-11)",IF(C601&lt;=16,"Afternoon (12-16)",IF(C601&lt;=20,"Evening (17-20)","Late (21-23)")))))</f>
        <v>Evening (17-20)</v>
      </c>
    </row>
    <row r="602" customFormat="false" ht="15" hidden="false" customHeight="false" outlineLevel="0" collapsed="false">
      <c r="A602" s="37" t="s">
        <v>707</v>
      </c>
      <c r="B602" s="38" t="n">
        <v>46321</v>
      </c>
      <c r="C602" s="37" t="n">
        <v>3</v>
      </c>
      <c r="D602" s="37" t="s">
        <v>39</v>
      </c>
      <c r="E602" s="37" t="s">
        <v>48</v>
      </c>
      <c r="F602" s="37" t="s">
        <v>23</v>
      </c>
      <c r="G602" s="39" t="b">
        <f aca="false">TRUE()</f>
        <v>1</v>
      </c>
      <c r="H602" s="37" t="n">
        <v>577.33</v>
      </c>
      <c r="I602" s="37" t="n">
        <v>5</v>
      </c>
      <c r="J602" s="37" t="n">
        <v>26</v>
      </c>
      <c r="K602" s="37" t="n">
        <v>0</v>
      </c>
      <c r="L602" s="37" t="str">
        <f aca="false">IF(C602="","",IF(C602&lt;=5,"Night (00-05)",IF(C602&lt;=11,"Morning (06-11)",IF(C602&lt;=16,"Afternoon (12-16)",IF(C602&lt;=20,"Evening (17-20)","Late (21-23)")))))</f>
        <v>Night (00-05)</v>
      </c>
    </row>
    <row r="603" customFormat="false" ht="15" hidden="false" customHeight="false" outlineLevel="0" collapsed="false">
      <c r="A603" s="37" t="s">
        <v>708</v>
      </c>
      <c r="B603" s="38" t="n">
        <v>46320</v>
      </c>
      <c r="C603" s="37" t="n">
        <v>22</v>
      </c>
      <c r="D603" s="37" t="s">
        <v>40</v>
      </c>
      <c r="E603" s="37" t="s">
        <v>49</v>
      </c>
      <c r="F603" s="37" t="s">
        <v>23</v>
      </c>
      <c r="G603" s="39" t="b">
        <f aca="false">TRUE()</f>
        <v>1</v>
      </c>
      <c r="H603" s="37" t="n">
        <v>986.08</v>
      </c>
      <c r="I603" s="37" t="n">
        <v>5</v>
      </c>
      <c r="J603" s="37" t="n">
        <v>53</v>
      </c>
      <c r="K603" s="37" t="n">
        <v>0</v>
      </c>
      <c r="L603" s="37" t="str">
        <f aca="false">IF(C603="","",IF(C603&lt;=5,"Night (00-05)",IF(C603&lt;=11,"Morning (06-11)",IF(C603&lt;=16,"Afternoon (12-16)",IF(C603&lt;=20,"Evening (17-20)","Late (21-23)")))))</f>
        <v>Late (21-23)</v>
      </c>
    </row>
    <row r="604" customFormat="false" ht="15" hidden="false" customHeight="false" outlineLevel="0" collapsed="false">
      <c r="A604" s="37" t="s">
        <v>709</v>
      </c>
      <c r="B604" s="38" t="n">
        <v>46319</v>
      </c>
      <c r="C604" s="37" t="n">
        <v>19</v>
      </c>
      <c r="D604" s="37" t="s">
        <v>39</v>
      </c>
      <c r="E604" s="37" t="s">
        <v>49</v>
      </c>
      <c r="F604" s="37" t="s">
        <v>23</v>
      </c>
      <c r="G604" s="39" t="b">
        <f aca="false">TRUE()</f>
        <v>1</v>
      </c>
      <c r="H604" s="37" t="n">
        <v>496</v>
      </c>
      <c r="I604" s="37" t="n">
        <v>5</v>
      </c>
      <c r="J604" s="37" t="n">
        <v>34</v>
      </c>
      <c r="K604" s="37" t="n">
        <v>0</v>
      </c>
      <c r="L604" s="37" t="str">
        <f aca="false">IF(C604="","",IF(C604&lt;=5,"Night (00-05)",IF(C604&lt;=11,"Morning (06-11)",IF(C604&lt;=16,"Afternoon (12-16)",IF(C604&lt;=20,"Evening (17-20)","Late (21-23)")))))</f>
        <v>Evening (17-20)</v>
      </c>
    </row>
    <row r="605" customFormat="false" ht="15" hidden="false" customHeight="false" outlineLevel="0" collapsed="false">
      <c r="A605" s="37" t="s">
        <v>710</v>
      </c>
      <c r="B605" s="38" t="n">
        <v>46316</v>
      </c>
      <c r="C605" s="37" t="n">
        <v>8</v>
      </c>
      <c r="D605" s="37" t="s">
        <v>38</v>
      </c>
      <c r="E605" s="37" t="s">
        <v>48</v>
      </c>
      <c r="F605" s="37" t="s">
        <v>129</v>
      </c>
      <c r="G605" s="39" t="b">
        <f aca="false">FALSE()</f>
        <v>0</v>
      </c>
      <c r="H605" s="37" t="n">
        <v>1358.7</v>
      </c>
      <c r="K605" s="37" t="n">
        <v>0</v>
      </c>
      <c r="L605" s="37" t="str">
        <f aca="false">IF(C605="","",IF(C605&lt;=5,"Night (00-05)",IF(C605&lt;=11,"Morning (06-11)",IF(C605&lt;=16,"Afternoon (12-16)",IF(C605&lt;=20,"Evening (17-20)","Late (21-23)")))))</f>
        <v>Morning (06-11)</v>
      </c>
    </row>
    <row r="606" customFormat="false" ht="15" hidden="false" customHeight="false" outlineLevel="0" collapsed="false">
      <c r="A606" s="37" t="s">
        <v>711</v>
      </c>
      <c r="B606" s="38" t="n">
        <v>46318</v>
      </c>
      <c r="C606" s="37" t="n">
        <v>13</v>
      </c>
      <c r="D606" s="37" t="s">
        <v>37</v>
      </c>
      <c r="E606" s="37" t="s">
        <v>47</v>
      </c>
      <c r="F606" s="37" t="s">
        <v>23</v>
      </c>
      <c r="G606" s="39" t="b">
        <f aca="false">TRUE()</f>
        <v>1</v>
      </c>
      <c r="H606" s="37" t="n">
        <v>719.31</v>
      </c>
      <c r="I606" s="37" t="n">
        <v>5</v>
      </c>
      <c r="J606" s="37" t="n">
        <v>36</v>
      </c>
      <c r="K606" s="37" t="n">
        <v>0</v>
      </c>
      <c r="L606" s="37" t="str">
        <f aca="false">IF(C606="","",IF(C606&lt;=5,"Night (00-05)",IF(C606&lt;=11,"Morning (06-11)",IF(C606&lt;=16,"Afternoon (12-16)",IF(C606&lt;=20,"Evening (17-20)","Late (21-23)")))))</f>
        <v>Afternoon (12-16)</v>
      </c>
    </row>
    <row r="607" customFormat="false" ht="15" hidden="false" customHeight="false" outlineLevel="0" collapsed="false">
      <c r="A607" s="37" t="s">
        <v>712</v>
      </c>
      <c r="B607" s="38" t="n">
        <v>46317</v>
      </c>
      <c r="C607" s="37" t="n">
        <v>18</v>
      </c>
      <c r="D607" s="37" t="s">
        <v>38</v>
      </c>
      <c r="E607" s="37" t="s">
        <v>47</v>
      </c>
      <c r="F607" s="37" t="s">
        <v>23</v>
      </c>
      <c r="G607" s="39" t="b">
        <f aca="false">TRUE()</f>
        <v>1</v>
      </c>
      <c r="H607" s="37" t="n">
        <v>1279.09</v>
      </c>
      <c r="I607" s="37" t="n">
        <v>5</v>
      </c>
      <c r="J607" s="37" t="n">
        <v>21</v>
      </c>
      <c r="K607" s="37" t="n">
        <v>0</v>
      </c>
      <c r="L607" s="37" t="str">
        <f aca="false">IF(C607="","",IF(C607&lt;=5,"Night (00-05)",IF(C607&lt;=11,"Morning (06-11)",IF(C607&lt;=16,"Afternoon (12-16)",IF(C607&lt;=20,"Evening (17-20)","Late (21-23)")))))</f>
        <v>Evening (17-20)</v>
      </c>
    </row>
    <row r="608" customFormat="false" ht="15" hidden="false" customHeight="false" outlineLevel="0" collapsed="false">
      <c r="A608" s="37" t="s">
        <v>713</v>
      </c>
      <c r="B608" s="38" t="n">
        <v>46316</v>
      </c>
      <c r="C608" s="37" t="n">
        <v>18</v>
      </c>
      <c r="D608" s="37" t="s">
        <v>39</v>
      </c>
      <c r="E608" s="37" t="s">
        <v>49</v>
      </c>
      <c r="F608" s="37" t="s">
        <v>23</v>
      </c>
      <c r="G608" s="39" t="b">
        <f aca="false">TRUE()</f>
        <v>1</v>
      </c>
      <c r="H608" s="37" t="n">
        <v>617.9</v>
      </c>
      <c r="I608" s="37" t="n">
        <v>4</v>
      </c>
      <c r="J608" s="37" t="n">
        <v>50</v>
      </c>
      <c r="K608" s="37" t="n">
        <v>0</v>
      </c>
      <c r="L608" s="37" t="str">
        <f aca="false">IF(C608="","",IF(C608&lt;=5,"Night (00-05)",IF(C608&lt;=11,"Morning (06-11)",IF(C608&lt;=16,"Afternoon (12-16)",IF(C608&lt;=20,"Evening (17-20)","Late (21-23)")))))</f>
        <v>Evening (17-20)</v>
      </c>
    </row>
    <row r="609" customFormat="false" ht="15" hidden="false" customHeight="false" outlineLevel="0" collapsed="false">
      <c r="A609" s="37" t="s">
        <v>714</v>
      </c>
      <c r="B609" s="38" t="n">
        <v>46319</v>
      </c>
      <c r="C609" s="37" t="n">
        <v>3</v>
      </c>
      <c r="D609" s="37" t="s">
        <v>40</v>
      </c>
      <c r="E609" s="37" t="s">
        <v>49</v>
      </c>
      <c r="F609" s="37" t="s">
        <v>23</v>
      </c>
      <c r="G609" s="39" t="b">
        <f aca="false">TRUE()</f>
        <v>1</v>
      </c>
      <c r="H609" s="37" t="n">
        <v>1126.19</v>
      </c>
      <c r="I609" s="37" t="n">
        <v>5</v>
      </c>
      <c r="J609" s="37" t="n">
        <v>23</v>
      </c>
      <c r="K609" s="37" t="n">
        <v>0</v>
      </c>
      <c r="L609" s="37" t="str">
        <f aca="false">IF(C609="","",IF(C609&lt;=5,"Night (00-05)",IF(C609&lt;=11,"Morning (06-11)",IF(C609&lt;=16,"Afternoon (12-16)",IF(C609&lt;=20,"Evening (17-20)","Late (21-23)")))))</f>
        <v>Night (00-05)</v>
      </c>
    </row>
    <row r="610" customFormat="false" ht="15" hidden="false" customHeight="false" outlineLevel="0" collapsed="false">
      <c r="A610" s="37" t="s">
        <v>715</v>
      </c>
      <c r="B610" s="38" t="n">
        <v>46317</v>
      </c>
      <c r="C610" s="37" t="n">
        <v>23</v>
      </c>
      <c r="D610" s="37" t="s">
        <v>38</v>
      </c>
      <c r="E610" s="37" t="s">
        <v>48</v>
      </c>
      <c r="F610" s="37" t="s">
        <v>23</v>
      </c>
      <c r="G610" s="39" t="b">
        <f aca="false">TRUE()</f>
        <v>1</v>
      </c>
      <c r="H610" s="37" t="n">
        <v>1203.18</v>
      </c>
      <c r="I610" s="37" t="n">
        <v>3</v>
      </c>
      <c r="J610" s="37" t="n">
        <v>42</v>
      </c>
      <c r="K610" s="37" t="n">
        <v>0</v>
      </c>
      <c r="L610" s="37" t="str">
        <f aca="false">IF(C610="","",IF(C610&lt;=5,"Night (00-05)",IF(C610&lt;=11,"Morning (06-11)",IF(C610&lt;=16,"Afternoon (12-16)",IF(C610&lt;=20,"Evening (17-20)","Late (21-23)")))))</f>
        <v>Late (21-23)</v>
      </c>
    </row>
    <row r="611" customFormat="false" ht="15" hidden="false" customHeight="false" outlineLevel="0" collapsed="false">
      <c r="A611" s="37" t="s">
        <v>716</v>
      </c>
      <c r="B611" s="38" t="n">
        <v>46316</v>
      </c>
      <c r="C611" s="37" t="n">
        <v>18</v>
      </c>
      <c r="D611" s="37" t="s">
        <v>39</v>
      </c>
      <c r="E611" s="37" t="s">
        <v>48</v>
      </c>
      <c r="F611" s="37" t="s">
        <v>23</v>
      </c>
      <c r="G611" s="39" t="b">
        <f aca="false">TRUE()</f>
        <v>1</v>
      </c>
      <c r="H611" s="37" t="n">
        <v>527.39</v>
      </c>
      <c r="I611" s="37" t="n">
        <v>5</v>
      </c>
      <c r="J611" s="37" t="n">
        <v>27</v>
      </c>
      <c r="K611" s="37" t="n">
        <v>0</v>
      </c>
      <c r="L611" s="37" t="str">
        <f aca="false">IF(C611="","",IF(C611&lt;=5,"Night (00-05)",IF(C611&lt;=11,"Morning (06-11)",IF(C611&lt;=16,"Afternoon (12-16)",IF(C611&lt;=20,"Evening (17-20)","Late (21-23)")))))</f>
        <v>Evening (17-20)</v>
      </c>
    </row>
    <row r="612" customFormat="false" ht="15" hidden="false" customHeight="false" outlineLevel="0" collapsed="false">
      <c r="A612" s="37" t="s">
        <v>717</v>
      </c>
      <c r="B612" s="38" t="n">
        <v>46321</v>
      </c>
      <c r="C612" s="37" t="n">
        <v>18</v>
      </c>
      <c r="D612" s="37" t="s">
        <v>38</v>
      </c>
      <c r="E612" s="37" t="s">
        <v>46</v>
      </c>
      <c r="F612" s="37" t="s">
        <v>23</v>
      </c>
      <c r="G612" s="39" t="b">
        <f aca="false">TRUE()</f>
        <v>1</v>
      </c>
      <c r="H612" s="37" t="n">
        <v>1088.71</v>
      </c>
      <c r="I612" s="37" t="n">
        <v>4</v>
      </c>
      <c r="J612" s="37" t="n">
        <v>35</v>
      </c>
      <c r="K612" s="37" t="n">
        <v>0</v>
      </c>
      <c r="L612" s="37" t="str">
        <f aca="false">IF(C612="","",IF(C612&lt;=5,"Night (00-05)",IF(C612&lt;=11,"Morning (06-11)",IF(C612&lt;=16,"Afternoon (12-16)",IF(C612&lt;=20,"Evening (17-20)","Late (21-23)")))))</f>
        <v>Evening (17-20)</v>
      </c>
    </row>
    <row r="613" customFormat="false" ht="15" hidden="false" customHeight="false" outlineLevel="0" collapsed="false">
      <c r="A613" s="37" t="s">
        <v>718</v>
      </c>
      <c r="B613" s="38" t="n">
        <v>46322</v>
      </c>
      <c r="C613" s="37" t="n">
        <v>5</v>
      </c>
      <c r="D613" s="37" t="s">
        <v>40</v>
      </c>
      <c r="E613" s="37" t="s">
        <v>48</v>
      </c>
      <c r="F613" s="37" t="s">
        <v>23</v>
      </c>
      <c r="G613" s="39" t="b">
        <f aca="false">TRUE()</f>
        <v>1</v>
      </c>
      <c r="H613" s="37" t="n">
        <v>588.79</v>
      </c>
      <c r="I613" s="37" t="n">
        <v>5</v>
      </c>
      <c r="J613" s="37" t="n">
        <v>32</v>
      </c>
      <c r="K613" s="37" t="n">
        <v>0</v>
      </c>
      <c r="L613" s="37" t="str">
        <f aca="false">IF(C613="","",IF(C613&lt;=5,"Night (00-05)",IF(C613&lt;=11,"Morning (06-11)",IF(C613&lt;=16,"Afternoon (12-16)",IF(C613&lt;=20,"Evening (17-20)","Late (21-23)")))))</f>
        <v>Night (00-05)</v>
      </c>
    </row>
    <row r="614" customFormat="false" ht="15" hidden="false" customHeight="false" outlineLevel="0" collapsed="false">
      <c r="A614" s="37" t="s">
        <v>719</v>
      </c>
      <c r="B614" s="38" t="n">
        <v>46318</v>
      </c>
      <c r="C614" s="37" t="n">
        <v>22</v>
      </c>
      <c r="D614" s="37" t="s">
        <v>37</v>
      </c>
      <c r="E614" s="37" t="s">
        <v>48</v>
      </c>
      <c r="F614" s="37" t="s">
        <v>23</v>
      </c>
      <c r="G614" s="39" t="b">
        <f aca="false">TRUE()</f>
        <v>1</v>
      </c>
      <c r="H614" s="37" t="n">
        <v>569.06</v>
      </c>
      <c r="I614" s="37" t="n">
        <v>4</v>
      </c>
      <c r="J614" s="37" t="n">
        <v>53</v>
      </c>
      <c r="K614" s="37" t="n">
        <v>0</v>
      </c>
      <c r="L614" s="37" t="str">
        <f aca="false">IF(C614="","",IF(C614&lt;=5,"Night (00-05)",IF(C614&lt;=11,"Morning (06-11)",IF(C614&lt;=16,"Afternoon (12-16)",IF(C614&lt;=20,"Evening (17-20)","Late (21-23)")))))</f>
        <v>Late (21-23)</v>
      </c>
    </row>
    <row r="615" customFormat="false" ht="15" hidden="false" customHeight="false" outlineLevel="0" collapsed="false">
      <c r="A615" s="37" t="s">
        <v>720</v>
      </c>
      <c r="B615" s="38" t="n">
        <v>46317</v>
      </c>
      <c r="C615" s="37" t="n">
        <v>16</v>
      </c>
      <c r="D615" s="37" t="s">
        <v>37</v>
      </c>
      <c r="E615" s="37" t="s">
        <v>48</v>
      </c>
      <c r="F615" s="37" t="s">
        <v>23</v>
      </c>
      <c r="G615" s="39" t="b">
        <f aca="false">TRUE()</f>
        <v>1</v>
      </c>
      <c r="H615" s="37" t="n">
        <v>761.29</v>
      </c>
      <c r="I615" s="37" t="n">
        <v>3</v>
      </c>
      <c r="J615" s="37" t="n">
        <v>53</v>
      </c>
      <c r="K615" s="37" t="n">
        <v>0</v>
      </c>
      <c r="L615" s="37" t="str">
        <f aca="false">IF(C615="","",IF(C615&lt;=5,"Night (00-05)",IF(C615&lt;=11,"Morning (06-11)",IF(C615&lt;=16,"Afternoon (12-16)",IF(C615&lt;=20,"Evening (17-20)","Late (21-23)")))))</f>
        <v>Afternoon (12-16)</v>
      </c>
    </row>
    <row r="616" customFormat="false" ht="15" hidden="false" customHeight="false" outlineLevel="0" collapsed="false">
      <c r="A616" s="37" t="s">
        <v>721</v>
      </c>
      <c r="B616" s="38" t="n">
        <v>46318</v>
      </c>
      <c r="C616" s="37" t="n">
        <v>4</v>
      </c>
      <c r="D616" s="37" t="s">
        <v>38</v>
      </c>
      <c r="E616" s="37" t="s">
        <v>46</v>
      </c>
      <c r="F616" s="37" t="s">
        <v>23</v>
      </c>
      <c r="G616" s="39" t="b">
        <f aca="false">FALSE()</f>
        <v>0</v>
      </c>
      <c r="H616" s="37" t="n">
        <v>1125.81</v>
      </c>
      <c r="I616" s="37" t="n">
        <v>5</v>
      </c>
      <c r="J616" s="37" t="n">
        <v>46</v>
      </c>
      <c r="K616" s="37" t="n">
        <v>0</v>
      </c>
      <c r="L616" s="37" t="str">
        <f aca="false">IF(C616="","",IF(C616&lt;=5,"Night (00-05)",IF(C616&lt;=11,"Morning (06-11)",IF(C616&lt;=16,"Afternoon (12-16)",IF(C616&lt;=20,"Evening (17-20)","Late (21-23)")))))</f>
        <v>Night (00-05)</v>
      </c>
    </row>
    <row r="617" customFormat="false" ht="15" hidden="false" customHeight="false" outlineLevel="0" collapsed="false">
      <c r="A617" s="37" t="s">
        <v>722</v>
      </c>
      <c r="B617" s="38" t="n">
        <v>46318</v>
      </c>
      <c r="C617" s="37" t="n">
        <v>0</v>
      </c>
      <c r="D617" s="37" t="s">
        <v>37</v>
      </c>
      <c r="E617" s="37" t="s">
        <v>48</v>
      </c>
      <c r="F617" s="37" t="s">
        <v>23</v>
      </c>
      <c r="G617" s="39" t="b">
        <f aca="false">TRUE()</f>
        <v>1</v>
      </c>
      <c r="H617" s="37" t="n">
        <v>542.28</v>
      </c>
      <c r="I617" s="37" t="n">
        <v>5</v>
      </c>
      <c r="J617" s="37" t="n">
        <v>48</v>
      </c>
      <c r="K617" s="37" t="n">
        <v>0</v>
      </c>
      <c r="L617" s="37" t="str">
        <f aca="false">IF(C617="","",IF(C617&lt;=5,"Night (00-05)",IF(C617&lt;=11,"Morning (06-11)",IF(C617&lt;=16,"Afternoon (12-16)",IF(C617&lt;=20,"Evening (17-20)","Late (21-23)")))))</f>
        <v>Night (00-05)</v>
      </c>
    </row>
    <row r="618" customFormat="false" ht="15" hidden="false" customHeight="false" outlineLevel="0" collapsed="false">
      <c r="A618" s="37" t="s">
        <v>723</v>
      </c>
      <c r="B618" s="38" t="n">
        <v>46317</v>
      </c>
      <c r="C618" s="37" t="n">
        <v>16</v>
      </c>
      <c r="D618" s="37" t="s">
        <v>38</v>
      </c>
      <c r="E618" s="37" t="s">
        <v>47</v>
      </c>
      <c r="F618" s="37" t="s">
        <v>23</v>
      </c>
      <c r="G618" s="39" t="b">
        <f aca="false">TRUE()</f>
        <v>1</v>
      </c>
      <c r="H618" s="37" t="n">
        <v>943.6</v>
      </c>
      <c r="I618" s="37" t="n">
        <v>4</v>
      </c>
      <c r="J618" s="37" t="n">
        <v>40</v>
      </c>
      <c r="K618" s="37" t="n">
        <v>0</v>
      </c>
      <c r="L618" s="37" t="str">
        <f aca="false">IF(C618="","",IF(C618&lt;=5,"Night (00-05)",IF(C618&lt;=11,"Morning (06-11)",IF(C618&lt;=16,"Afternoon (12-16)",IF(C618&lt;=20,"Evening (17-20)","Late (21-23)")))))</f>
        <v>Afternoon (12-16)</v>
      </c>
    </row>
    <row r="619" customFormat="false" ht="15" hidden="false" customHeight="false" outlineLevel="0" collapsed="false">
      <c r="A619" s="37" t="s">
        <v>724</v>
      </c>
      <c r="B619" s="38" t="n">
        <v>46321</v>
      </c>
      <c r="C619" s="37" t="n">
        <v>2</v>
      </c>
      <c r="D619" s="37" t="s">
        <v>37</v>
      </c>
      <c r="E619" s="37" t="s">
        <v>47</v>
      </c>
      <c r="F619" s="37" t="s">
        <v>113</v>
      </c>
      <c r="G619" s="39" t="b">
        <f aca="false">TRUE()</f>
        <v>1</v>
      </c>
      <c r="H619" s="37" t="n">
        <v>554.69</v>
      </c>
      <c r="K619" s="37" t="n">
        <v>0</v>
      </c>
      <c r="L619" s="37" t="str">
        <f aca="false">IF(C619="","",IF(C619&lt;=5,"Night (00-05)",IF(C619&lt;=11,"Morning (06-11)",IF(C619&lt;=16,"Afternoon (12-16)",IF(C619&lt;=20,"Evening (17-20)","Late (21-23)")))))</f>
        <v>Night (00-05)</v>
      </c>
    </row>
    <row r="620" customFormat="false" ht="15" hidden="false" customHeight="false" outlineLevel="0" collapsed="false">
      <c r="A620" s="37" t="s">
        <v>725</v>
      </c>
      <c r="B620" s="38" t="n">
        <v>46319</v>
      </c>
      <c r="C620" s="37" t="n">
        <v>21</v>
      </c>
      <c r="D620" s="37" t="s">
        <v>39</v>
      </c>
      <c r="E620" s="37" t="s">
        <v>47</v>
      </c>
      <c r="F620" s="37" t="s">
        <v>23</v>
      </c>
      <c r="G620" s="39" t="b">
        <f aca="false">TRUE()</f>
        <v>1</v>
      </c>
      <c r="H620" s="37" t="n">
        <v>341.37</v>
      </c>
      <c r="I620" s="37" t="n">
        <v>4</v>
      </c>
      <c r="J620" s="37" t="n">
        <v>47</v>
      </c>
      <c r="K620" s="37" t="n">
        <v>0</v>
      </c>
      <c r="L620" s="37" t="str">
        <f aca="false">IF(C620="","",IF(C620&lt;=5,"Night (00-05)",IF(C620&lt;=11,"Morning (06-11)",IF(C620&lt;=16,"Afternoon (12-16)",IF(C620&lt;=20,"Evening (17-20)","Late (21-23)")))))</f>
        <v>Late (21-23)</v>
      </c>
    </row>
    <row r="621" customFormat="false" ht="15" hidden="false" customHeight="false" outlineLevel="0" collapsed="false">
      <c r="A621" s="37" t="s">
        <v>726</v>
      </c>
      <c r="B621" s="38" t="n">
        <v>46320</v>
      </c>
      <c r="C621" s="37" t="n">
        <v>23</v>
      </c>
      <c r="D621" s="37" t="s">
        <v>39</v>
      </c>
      <c r="E621" s="37" t="s">
        <v>46</v>
      </c>
      <c r="F621" s="37" t="s">
        <v>23</v>
      </c>
      <c r="G621" s="39" t="b">
        <f aca="false">TRUE()</f>
        <v>1</v>
      </c>
      <c r="H621" s="37" t="n">
        <v>423.98</v>
      </c>
      <c r="I621" s="37" t="n">
        <v>3</v>
      </c>
      <c r="J621" s="37" t="n">
        <v>54</v>
      </c>
      <c r="K621" s="37" t="n">
        <v>0</v>
      </c>
      <c r="L621" s="37" t="str">
        <f aca="false">IF(C621="","",IF(C621&lt;=5,"Night (00-05)",IF(C621&lt;=11,"Morning (06-11)",IF(C621&lt;=16,"Afternoon (12-16)",IF(C621&lt;=20,"Evening (17-20)","Late (21-23)")))))</f>
        <v>Late (21-23)</v>
      </c>
    </row>
    <row r="622" customFormat="false" ht="15" hidden="false" customHeight="false" outlineLevel="0" collapsed="false">
      <c r="A622" s="37" t="s">
        <v>727</v>
      </c>
      <c r="B622" s="38" t="n">
        <v>46322</v>
      </c>
      <c r="C622" s="37" t="n">
        <v>1</v>
      </c>
      <c r="D622" s="37" t="s">
        <v>38</v>
      </c>
      <c r="E622" s="37" t="s">
        <v>49</v>
      </c>
      <c r="F622" s="37" t="s">
        <v>23</v>
      </c>
      <c r="G622" s="39" t="b">
        <f aca="false">TRUE()</f>
        <v>1</v>
      </c>
      <c r="H622" s="37" t="n">
        <v>867.08</v>
      </c>
      <c r="I622" s="37" t="n">
        <v>4</v>
      </c>
      <c r="J622" s="37" t="n">
        <v>49</v>
      </c>
      <c r="K622" s="37" t="n">
        <v>0</v>
      </c>
      <c r="L622" s="37" t="str">
        <f aca="false">IF(C622="","",IF(C622&lt;=5,"Night (00-05)",IF(C622&lt;=11,"Morning (06-11)",IF(C622&lt;=16,"Afternoon (12-16)",IF(C622&lt;=20,"Evening (17-20)","Late (21-23)")))))</f>
        <v>Night (00-05)</v>
      </c>
    </row>
    <row r="623" customFormat="false" ht="15" hidden="false" customHeight="false" outlineLevel="0" collapsed="false">
      <c r="A623" s="37" t="s">
        <v>728</v>
      </c>
      <c r="B623" s="38" t="n">
        <v>46316</v>
      </c>
      <c r="C623" s="37" t="n">
        <v>16</v>
      </c>
      <c r="D623" s="37" t="s">
        <v>40</v>
      </c>
      <c r="E623" s="37" t="s">
        <v>46</v>
      </c>
      <c r="F623" s="37" t="s">
        <v>23</v>
      </c>
      <c r="G623" s="39" t="b">
        <f aca="false">TRUE()</f>
        <v>1</v>
      </c>
      <c r="H623" s="37" t="n">
        <v>812.66</v>
      </c>
      <c r="I623" s="37" t="n">
        <v>5</v>
      </c>
      <c r="J623" s="37" t="n">
        <v>41</v>
      </c>
      <c r="K623" s="37" t="n">
        <v>0</v>
      </c>
      <c r="L623" s="37" t="str">
        <f aca="false">IF(C623="","",IF(C623&lt;=5,"Night (00-05)",IF(C623&lt;=11,"Morning (06-11)",IF(C623&lt;=16,"Afternoon (12-16)",IF(C623&lt;=20,"Evening (17-20)","Late (21-23)")))))</f>
        <v>Afternoon (12-16)</v>
      </c>
    </row>
    <row r="624" customFormat="false" ht="15" hidden="false" customHeight="false" outlineLevel="0" collapsed="false">
      <c r="A624" s="37" t="s">
        <v>729</v>
      </c>
      <c r="B624" s="38" t="n">
        <v>46317</v>
      </c>
      <c r="C624" s="37" t="n">
        <v>21</v>
      </c>
      <c r="D624" s="37" t="s">
        <v>39</v>
      </c>
      <c r="E624" s="37" t="s">
        <v>47</v>
      </c>
      <c r="F624" s="37" t="s">
        <v>23</v>
      </c>
      <c r="G624" s="39" t="b">
        <f aca="false">TRUE()</f>
        <v>1</v>
      </c>
      <c r="H624" s="37" t="n">
        <v>439.58</v>
      </c>
      <c r="I624" s="37" t="n">
        <v>4</v>
      </c>
      <c r="J624" s="37" t="n">
        <v>30</v>
      </c>
      <c r="K624" s="37" t="n">
        <v>0</v>
      </c>
      <c r="L624" s="37" t="str">
        <f aca="false">IF(C624="","",IF(C624&lt;=5,"Night (00-05)",IF(C624&lt;=11,"Morning (06-11)",IF(C624&lt;=16,"Afternoon (12-16)",IF(C624&lt;=20,"Evening (17-20)","Late (21-23)")))))</f>
        <v>Late (21-23)</v>
      </c>
    </row>
    <row r="625" customFormat="false" ht="15" hidden="false" customHeight="false" outlineLevel="0" collapsed="false">
      <c r="A625" s="37" t="s">
        <v>730</v>
      </c>
      <c r="B625" s="38" t="n">
        <v>46318</v>
      </c>
      <c r="C625" s="37" t="n">
        <v>0</v>
      </c>
      <c r="D625" s="37" t="s">
        <v>38</v>
      </c>
      <c r="E625" s="37" t="s">
        <v>49</v>
      </c>
      <c r="F625" s="37" t="s">
        <v>23</v>
      </c>
      <c r="G625" s="39" t="b">
        <f aca="false">TRUE()</f>
        <v>1</v>
      </c>
      <c r="H625" s="37" t="n">
        <v>1371.29</v>
      </c>
      <c r="I625" s="37" t="n">
        <v>5</v>
      </c>
      <c r="J625" s="37" t="n">
        <v>40</v>
      </c>
      <c r="K625" s="37" t="n">
        <v>0</v>
      </c>
      <c r="L625" s="37" t="str">
        <f aca="false">IF(C625="","",IF(C625&lt;=5,"Night (00-05)",IF(C625&lt;=11,"Morning (06-11)",IF(C625&lt;=16,"Afternoon (12-16)",IF(C625&lt;=20,"Evening (17-20)","Late (21-23)")))))</f>
        <v>Night (00-05)</v>
      </c>
    </row>
    <row r="626" customFormat="false" ht="15" hidden="false" customHeight="false" outlineLevel="0" collapsed="false">
      <c r="A626" s="37" t="s">
        <v>731</v>
      </c>
      <c r="B626" s="38" t="n">
        <v>46316</v>
      </c>
      <c r="C626" s="37" t="n">
        <v>2</v>
      </c>
      <c r="D626" s="37" t="s">
        <v>39</v>
      </c>
      <c r="E626" s="37" t="s">
        <v>49</v>
      </c>
      <c r="F626" s="37" t="s">
        <v>23</v>
      </c>
      <c r="G626" s="39" t="b">
        <f aca="false">TRUE()</f>
        <v>1</v>
      </c>
      <c r="H626" s="37" t="n">
        <v>394.43</v>
      </c>
      <c r="I626" s="37" t="n">
        <v>5</v>
      </c>
      <c r="J626" s="37" t="n">
        <v>30</v>
      </c>
      <c r="K626" s="37" t="n">
        <v>0</v>
      </c>
      <c r="L626" s="37" t="str">
        <f aca="false">IF(C626="","",IF(C626&lt;=5,"Night (00-05)",IF(C626&lt;=11,"Morning (06-11)",IF(C626&lt;=16,"Afternoon (12-16)",IF(C626&lt;=20,"Evening (17-20)","Late (21-23)")))))</f>
        <v>Night (00-05)</v>
      </c>
    </row>
    <row r="627" customFormat="false" ht="15" hidden="false" customHeight="false" outlineLevel="0" collapsed="false">
      <c r="A627" s="37" t="s">
        <v>732</v>
      </c>
      <c r="B627" s="38" t="n">
        <v>46318</v>
      </c>
      <c r="C627" s="37" t="n">
        <v>14</v>
      </c>
      <c r="D627" s="37" t="s">
        <v>39</v>
      </c>
      <c r="E627" s="37" t="s">
        <v>49</v>
      </c>
      <c r="F627" s="37" t="s">
        <v>23</v>
      </c>
      <c r="G627" s="39" t="b">
        <f aca="false">TRUE()</f>
        <v>1</v>
      </c>
      <c r="H627" s="37" t="n">
        <v>525.88</v>
      </c>
      <c r="I627" s="37" t="n">
        <v>4</v>
      </c>
      <c r="J627" s="37" t="n">
        <v>35</v>
      </c>
      <c r="K627" s="37" t="n">
        <v>0</v>
      </c>
      <c r="L627" s="37" t="str">
        <f aca="false">IF(C627="","",IF(C627&lt;=5,"Night (00-05)",IF(C627&lt;=11,"Morning (06-11)",IF(C627&lt;=16,"Afternoon (12-16)",IF(C627&lt;=20,"Evening (17-20)","Late (21-23)")))))</f>
        <v>Afternoon (12-16)</v>
      </c>
    </row>
    <row r="628" customFormat="false" ht="15" hidden="false" customHeight="false" outlineLevel="0" collapsed="false">
      <c r="A628" s="37" t="s">
        <v>733</v>
      </c>
      <c r="B628" s="38" t="n">
        <v>46320</v>
      </c>
      <c r="C628" s="37" t="n">
        <v>14</v>
      </c>
      <c r="D628" s="37" t="s">
        <v>39</v>
      </c>
      <c r="E628" s="37" t="s">
        <v>47</v>
      </c>
      <c r="F628" s="37" t="s">
        <v>23</v>
      </c>
      <c r="G628" s="39" t="b">
        <f aca="false">TRUE()</f>
        <v>1</v>
      </c>
      <c r="H628" s="37" t="n">
        <v>535.87</v>
      </c>
      <c r="I628" s="37" t="n">
        <v>3</v>
      </c>
      <c r="J628" s="37" t="n">
        <v>55</v>
      </c>
      <c r="K628" s="37" t="n">
        <v>0</v>
      </c>
      <c r="L628" s="37" t="str">
        <f aca="false">IF(C628="","",IF(C628&lt;=5,"Night (00-05)",IF(C628&lt;=11,"Morning (06-11)",IF(C628&lt;=16,"Afternoon (12-16)",IF(C628&lt;=20,"Evening (17-20)","Late (21-23)")))))</f>
        <v>Afternoon (12-16)</v>
      </c>
    </row>
    <row r="629" customFormat="false" ht="15" hidden="false" customHeight="false" outlineLevel="0" collapsed="false">
      <c r="A629" s="37" t="s">
        <v>734</v>
      </c>
      <c r="B629" s="38" t="n">
        <v>46318</v>
      </c>
      <c r="C629" s="37" t="n">
        <v>16</v>
      </c>
      <c r="D629" s="37" t="s">
        <v>38</v>
      </c>
      <c r="E629" s="37" t="s">
        <v>49</v>
      </c>
      <c r="F629" s="37" t="s">
        <v>23</v>
      </c>
      <c r="G629" s="39" t="b">
        <f aca="false">TRUE()</f>
        <v>1</v>
      </c>
      <c r="H629" s="37" t="n">
        <v>1028.19</v>
      </c>
      <c r="I629" s="37" t="n">
        <v>3</v>
      </c>
      <c r="J629" s="37" t="n">
        <v>23</v>
      </c>
      <c r="K629" s="37" t="n">
        <v>0</v>
      </c>
      <c r="L629" s="37" t="str">
        <f aca="false">IF(C629="","",IF(C629&lt;=5,"Night (00-05)",IF(C629&lt;=11,"Morning (06-11)",IF(C629&lt;=16,"Afternoon (12-16)",IF(C629&lt;=20,"Evening (17-20)","Late (21-23)")))))</f>
        <v>Afternoon (12-16)</v>
      </c>
    </row>
    <row r="630" customFormat="false" ht="15" hidden="false" customHeight="false" outlineLevel="0" collapsed="false">
      <c r="A630" s="37" t="s">
        <v>735</v>
      </c>
      <c r="B630" s="38" t="n">
        <v>46321</v>
      </c>
      <c r="C630" s="37" t="n">
        <v>16</v>
      </c>
      <c r="D630" s="37" t="s">
        <v>38</v>
      </c>
      <c r="E630" s="37" t="s">
        <v>48</v>
      </c>
      <c r="F630" s="37" t="s">
        <v>23</v>
      </c>
      <c r="G630" s="39" t="b">
        <f aca="false">TRUE()</f>
        <v>1</v>
      </c>
      <c r="H630" s="37" t="n">
        <v>1261.62</v>
      </c>
      <c r="I630" s="37" t="n">
        <v>4</v>
      </c>
      <c r="J630" s="37" t="n">
        <v>38</v>
      </c>
      <c r="K630" s="37" t="n">
        <v>0</v>
      </c>
      <c r="L630" s="37" t="str">
        <f aca="false">IF(C630="","",IF(C630&lt;=5,"Night (00-05)",IF(C630&lt;=11,"Morning (06-11)",IF(C630&lt;=16,"Afternoon (12-16)",IF(C630&lt;=20,"Evening (17-20)","Late (21-23)")))))</f>
        <v>Afternoon (12-16)</v>
      </c>
    </row>
    <row r="631" customFormat="false" ht="15" hidden="false" customHeight="false" outlineLevel="0" collapsed="false">
      <c r="A631" s="37" t="s">
        <v>736</v>
      </c>
      <c r="B631" s="38" t="n">
        <v>46319</v>
      </c>
      <c r="C631" s="37" t="n">
        <v>21</v>
      </c>
      <c r="D631" s="37" t="s">
        <v>40</v>
      </c>
      <c r="E631" s="37" t="s">
        <v>46</v>
      </c>
      <c r="F631" s="37" t="s">
        <v>113</v>
      </c>
      <c r="G631" s="39" t="b">
        <f aca="false">TRUE()</f>
        <v>1</v>
      </c>
      <c r="H631" s="37" t="n">
        <v>955.22</v>
      </c>
      <c r="K631" s="37" t="n">
        <v>0</v>
      </c>
      <c r="L631" s="37" t="str">
        <f aca="false">IF(C631="","",IF(C631&lt;=5,"Night (00-05)",IF(C631&lt;=11,"Morning (06-11)",IF(C631&lt;=16,"Afternoon (12-16)",IF(C631&lt;=20,"Evening (17-20)","Late (21-23)")))))</f>
        <v>Late (21-23)</v>
      </c>
    </row>
    <row r="632" customFormat="false" ht="15" hidden="false" customHeight="false" outlineLevel="0" collapsed="false">
      <c r="A632" s="37" t="s">
        <v>737</v>
      </c>
      <c r="B632" s="38" t="n">
        <v>46318</v>
      </c>
      <c r="C632" s="37" t="n">
        <v>4</v>
      </c>
      <c r="D632" s="37" t="s">
        <v>40</v>
      </c>
      <c r="E632" s="37" t="s">
        <v>47</v>
      </c>
      <c r="F632" s="37" t="s">
        <v>23</v>
      </c>
      <c r="G632" s="39" t="b">
        <f aca="false">TRUE()</f>
        <v>1</v>
      </c>
      <c r="H632" s="37" t="n">
        <v>965.18</v>
      </c>
      <c r="I632" s="37" t="n">
        <v>4</v>
      </c>
      <c r="J632" s="37" t="n">
        <v>52</v>
      </c>
      <c r="K632" s="37" t="n">
        <v>0</v>
      </c>
      <c r="L632" s="37" t="str">
        <f aca="false">IF(C632="","",IF(C632&lt;=5,"Night (00-05)",IF(C632&lt;=11,"Morning (06-11)",IF(C632&lt;=16,"Afternoon (12-16)",IF(C632&lt;=20,"Evening (17-20)","Late (21-23)")))))</f>
        <v>Night (00-05)</v>
      </c>
    </row>
    <row r="633" customFormat="false" ht="15" hidden="false" customHeight="false" outlineLevel="0" collapsed="false">
      <c r="A633" s="37" t="s">
        <v>738</v>
      </c>
      <c r="B633" s="38" t="n">
        <v>46317</v>
      </c>
      <c r="C633" s="37" t="n">
        <v>3</v>
      </c>
      <c r="D633" s="37" t="s">
        <v>38</v>
      </c>
      <c r="E633" s="37" t="s">
        <v>47</v>
      </c>
      <c r="F633" s="37" t="s">
        <v>23</v>
      </c>
      <c r="G633" s="39" t="b">
        <f aca="false">TRUE()</f>
        <v>1</v>
      </c>
      <c r="H633" s="37" t="n">
        <v>1291.35</v>
      </c>
      <c r="I633" s="37" t="n">
        <v>3</v>
      </c>
      <c r="J633" s="37" t="n">
        <v>42</v>
      </c>
      <c r="K633" s="37" t="n">
        <v>0</v>
      </c>
      <c r="L633" s="37" t="str">
        <f aca="false">IF(C633="","",IF(C633&lt;=5,"Night (00-05)",IF(C633&lt;=11,"Morning (06-11)",IF(C633&lt;=16,"Afternoon (12-16)",IF(C633&lt;=20,"Evening (17-20)","Late (21-23)")))))</f>
        <v>Night (00-05)</v>
      </c>
    </row>
    <row r="634" customFormat="false" ht="15" hidden="false" customHeight="false" outlineLevel="0" collapsed="false">
      <c r="A634" s="37" t="s">
        <v>739</v>
      </c>
      <c r="B634" s="38" t="n">
        <v>46318</v>
      </c>
      <c r="C634" s="37" t="n">
        <v>3</v>
      </c>
      <c r="D634" s="37" t="s">
        <v>39</v>
      </c>
      <c r="E634" s="37" t="s">
        <v>46</v>
      </c>
      <c r="F634" s="37" t="s">
        <v>23</v>
      </c>
      <c r="G634" s="39" t="b">
        <f aca="false">FALSE()</f>
        <v>0</v>
      </c>
      <c r="H634" s="37" t="n">
        <v>583.71</v>
      </c>
      <c r="I634" s="37" t="n">
        <v>1</v>
      </c>
      <c r="J634" s="37" t="n">
        <v>79</v>
      </c>
      <c r="K634" s="37" t="n">
        <v>1</v>
      </c>
      <c r="L634" s="37" t="str">
        <f aca="false">IF(C634="","",IF(C634&lt;=5,"Night (00-05)",IF(C634&lt;=11,"Morning (06-11)",IF(C634&lt;=16,"Afternoon (12-16)",IF(C634&lt;=20,"Evening (17-20)","Late (21-23)")))))</f>
        <v>Night (00-05)</v>
      </c>
    </row>
    <row r="635" customFormat="false" ht="15" hidden="false" customHeight="false" outlineLevel="0" collapsed="false">
      <c r="A635" s="37" t="s">
        <v>740</v>
      </c>
      <c r="B635" s="38" t="n">
        <v>46316</v>
      </c>
      <c r="C635" s="37" t="n">
        <v>21</v>
      </c>
      <c r="D635" s="37" t="s">
        <v>39</v>
      </c>
      <c r="E635" s="37" t="s">
        <v>46</v>
      </c>
      <c r="F635" s="37" t="s">
        <v>23</v>
      </c>
      <c r="G635" s="39" t="b">
        <f aca="false">TRUE()</f>
        <v>1</v>
      </c>
      <c r="H635" s="37" t="n">
        <v>634.99</v>
      </c>
      <c r="I635" s="37" t="n">
        <v>3</v>
      </c>
      <c r="J635" s="37" t="n">
        <v>28</v>
      </c>
      <c r="K635" s="37" t="n">
        <v>0</v>
      </c>
      <c r="L635" s="37" t="str">
        <f aca="false">IF(C635="","",IF(C635&lt;=5,"Night (00-05)",IF(C635&lt;=11,"Morning (06-11)",IF(C635&lt;=16,"Afternoon (12-16)",IF(C635&lt;=20,"Evening (17-20)","Late (21-23)")))))</f>
        <v>Late (21-23)</v>
      </c>
    </row>
    <row r="636" customFormat="false" ht="15" hidden="false" customHeight="false" outlineLevel="0" collapsed="false">
      <c r="A636" s="37" t="s">
        <v>741</v>
      </c>
      <c r="B636" s="38" t="n">
        <v>46316</v>
      </c>
      <c r="C636" s="37" t="n">
        <v>0</v>
      </c>
      <c r="D636" s="37" t="s">
        <v>39</v>
      </c>
      <c r="E636" s="37" t="s">
        <v>49</v>
      </c>
      <c r="F636" s="37" t="s">
        <v>23</v>
      </c>
      <c r="G636" s="39" t="b">
        <f aca="false">TRUE()</f>
        <v>1</v>
      </c>
      <c r="H636" s="37" t="n">
        <v>688.99</v>
      </c>
      <c r="I636" s="37" t="n">
        <v>5</v>
      </c>
      <c r="J636" s="37" t="n">
        <v>28</v>
      </c>
      <c r="K636" s="37" t="n">
        <v>0</v>
      </c>
      <c r="L636" s="37" t="str">
        <f aca="false">IF(C636="","",IF(C636&lt;=5,"Night (00-05)",IF(C636&lt;=11,"Morning (06-11)",IF(C636&lt;=16,"Afternoon (12-16)",IF(C636&lt;=20,"Evening (17-20)","Late (21-23)")))))</f>
        <v>Night (00-05)</v>
      </c>
    </row>
    <row r="637" customFormat="false" ht="15" hidden="false" customHeight="false" outlineLevel="0" collapsed="false">
      <c r="A637" s="37" t="s">
        <v>742</v>
      </c>
      <c r="B637" s="38" t="n">
        <v>46319</v>
      </c>
      <c r="C637" s="37" t="n">
        <v>3</v>
      </c>
      <c r="D637" s="37" t="s">
        <v>39</v>
      </c>
      <c r="E637" s="37" t="s">
        <v>48</v>
      </c>
      <c r="F637" s="37" t="s">
        <v>23</v>
      </c>
      <c r="G637" s="39" t="b">
        <f aca="false">TRUE()</f>
        <v>1</v>
      </c>
      <c r="H637" s="37" t="n">
        <v>480.76</v>
      </c>
      <c r="I637" s="37" t="n">
        <v>4</v>
      </c>
      <c r="J637" s="37" t="n">
        <v>48</v>
      </c>
      <c r="K637" s="37" t="n">
        <v>0</v>
      </c>
      <c r="L637" s="37" t="str">
        <f aca="false">IF(C637="","",IF(C637&lt;=5,"Night (00-05)",IF(C637&lt;=11,"Morning (06-11)",IF(C637&lt;=16,"Afternoon (12-16)",IF(C637&lt;=20,"Evening (17-20)","Late (21-23)")))))</f>
        <v>Night (00-05)</v>
      </c>
    </row>
    <row r="638" customFormat="false" ht="15" hidden="false" customHeight="false" outlineLevel="0" collapsed="false">
      <c r="A638" s="37" t="s">
        <v>743</v>
      </c>
      <c r="B638" s="38" t="n">
        <v>46316</v>
      </c>
      <c r="C638" s="37" t="n">
        <v>16</v>
      </c>
      <c r="D638" s="37" t="s">
        <v>39</v>
      </c>
      <c r="E638" s="37" t="s">
        <v>48</v>
      </c>
      <c r="F638" s="37" t="s">
        <v>23</v>
      </c>
      <c r="G638" s="39" t="b">
        <f aca="false">TRUE()</f>
        <v>1</v>
      </c>
      <c r="H638" s="37" t="n">
        <v>583.85</v>
      </c>
      <c r="I638" s="37" t="n">
        <v>5</v>
      </c>
      <c r="J638" s="37" t="n">
        <v>54</v>
      </c>
      <c r="K638" s="37" t="n">
        <v>0</v>
      </c>
      <c r="L638" s="37" t="str">
        <f aca="false">IF(C638="","",IF(C638&lt;=5,"Night (00-05)",IF(C638&lt;=11,"Morning (06-11)",IF(C638&lt;=16,"Afternoon (12-16)",IF(C638&lt;=20,"Evening (17-20)","Late (21-23)")))))</f>
        <v>Afternoon (12-16)</v>
      </c>
    </row>
    <row r="639" customFormat="false" ht="15" hidden="false" customHeight="false" outlineLevel="0" collapsed="false">
      <c r="A639" s="37" t="s">
        <v>744</v>
      </c>
      <c r="B639" s="38" t="n">
        <v>46316</v>
      </c>
      <c r="C639" s="37" t="n">
        <v>6</v>
      </c>
      <c r="D639" s="37" t="s">
        <v>40</v>
      </c>
      <c r="E639" s="37" t="s">
        <v>47</v>
      </c>
      <c r="F639" s="37" t="s">
        <v>129</v>
      </c>
      <c r="G639" s="39" t="b">
        <f aca="false">FALSE()</f>
        <v>0</v>
      </c>
      <c r="H639" s="37" t="n">
        <v>963.22</v>
      </c>
      <c r="K639" s="37" t="n">
        <v>0</v>
      </c>
      <c r="L639" s="37" t="str">
        <f aca="false">IF(C639="","",IF(C639&lt;=5,"Night (00-05)",IF(C639&lt;=11,"Morning (06-11)",IF(C639&lt;=16,"Afternoon (12-16)",IF(C639&lt;=20,"Evening (17-20)","Late (21-23)")))))</f>
        <v>Morning (06-11)</v>
      </c>
    </row>
    <row r="640" customFormat="false" ht="15" hidden="false" customHeight="false" outlineLevel="0" collapsed="false">
      <c r="A640" s="37" t="s">
        <v>745</v>
      </c>
      <c r="B640" s="38" t="n">
        <v>46315</v>
      </c>
      <c r="C640" s="37" t="n">
        <v>16</v>
      </c>
      <c r="D640" s="37" t="s">
        <v>40</v>
      </c>
      <c r="E640" s="37" t="s">
        <v>49</v>
      </c>
      <c r="F640" s="37" t="s">
        <v>23</v>
      </c>
      <c r="G640" s="39" t="b">
        <f aca="false">TRUE()</f>
        <v>1</v>
      </c>
      <c r="H640" s="37" t="n">
        <v>912.56</v>
      </c>
      <c r="I640" s="37" t="n">
        <v>4</v>
      </c>
      <c r="J640" s="37" t="n">
        <v>25</v>
      </c>
      <c r="K640" s="37" t="n">
        <v>0</v>
      </c>
      <c r="L640" s="37" t="str">
        <f aca="false">IF(C640="","",IF(C640&lt;=5,"Night (00-05)",IF(C640&lt;=11,"Morning (06-11)",IF(C640&lt;=16,"Afternoon (12-16)",IF(C640&lt;=20,"Evening (17-20)","Late (21-23)")))))</f>
        <v>Afternoon (12-16)</v>
      </c>
    </row>
    <row r="641" customFormat="false" ht="15" hidden="false" customHeight="false" outlineLevel="0" collapsed="false">
      <c r="A641" s="37" t="s">
        <v>746</v>
      </c>
      <c r="B641" s="38" t="n">
        <v>46321</v>
      </c>
      <c r="C641" s="37" t="n">
        <v>1</v>
      </c>
      <c r="D641" s="37" t="s">
        <v>40</v>
      </c>
      <c r="E641" s="37" t="s">
        <v>47</v>
      </c>
      <c r="F641" s="37" t="s">
        <v>23</v>
      </c>
      <c r="G641" s="39" t="b">
        <f aca="false">TRUE()</f>
        <v>1</v>
      </c>
      <c r="H641" s="37" t="n">
        <v>1221.87</v>
      </c>
      <c r="I641" s="37" t="n">
        <v>4</v>
      </c>
      <c r="J641" s="37" t="n">
        <v>20</v>
      </c>
      <c r="K641" s="37" t="n">
        <v>0</v>
      </c>
      <c r="L641" s="37" t="str">
        <f aca="false">IF(C641="","",IF(C641&lt;=5,"Night (00-05)",IF(C641&lt;=11,"Morning (06-11)",IF(C641&lt;=16,"Afternoon (12-16)",IF(C641&lt;=20,"Evening (17-20)","Late (21-23)")))))</f>
        <v>Night (00-05)</v>
      </c>
    </row>
    <row r="642" customFormat="false" ht="15" hidden="false" customHeight="false" outlineLevel="0" collapsed="false">
      <c r="A642" s="37" t="s">
        <v>747</v>
      </c>
      <c r="B642" s="38" t="n">
        <v>46320</v>
      </c>
      <c r="C642" s="37" t="n">
        <v>3</v>
      </c>
      <c r="D642" s="37" t="s">
        <v>40</v>
      </c>
      <c r="E642" s="37" t="s">
        <v>49</v>
      </c>
      <c r="F642" s="37" t="s">
        <v>129</v>
      </c>
      <c r="G642" s="39" t="b">
        <f aca="false">FALSE()</f>
        <v>0</v>
      </c>
      <c r="H642" s="37" t="n">
        <v>781.33</v>
      </c>
      <c r="K642" s="37" t="n">
        <v>0</v>
      </c>
      <c r="L642" s="37" t="str">
        <f aca="false">IF(C642="","",IF(C642&lt;=5,"Night (00-05)",IF(C642&lt;=11,"Morning (06-11)",IF(C642&lt;=16,"Afternoon (12-16)",IF(C642&lt;=20,"Evening (17-20)","Late (21-23)")))))</f>
        <v>Night (00-05)</v>
      </c>
    </row>
    <row r="643" customFormat="false" ht="15" hidden="false" customHeight="false" outlineLevel="0" collapsed="false">
      <c r="A643" s="37" t="s">
        <v>748</v>
      </c>
      <c r="B643" s="38" t="n">
        <v>46317</v>
      </c>
      <c r="C643" s="37" t="n">
        <v>18</v>
      </c>
      <c r="D643" s="37" t="s">
        <v>40</v>
      </c>
      <c r="E643" s="37" t="s">
        <v>46</v>
      </c>
      <c r="F643" s="37" t="s">
        <v>23</v>
      </c>
      <c r="G643" s="39" t="b">
        <f aca="false">TRUE()</f>
        <v>1</v>
      </c>
      <c r="H643" s="37" t="n">
        <v>548.13</v>
      </c>
      <c r="I643" s="37" t="n">
        <v>5</v>
      </c>
      <c r="J643" s="37" t="n">
        <v>30</v>
      </c>
      <c r="K643" s="37" t="n">
        <v>0</v>
      </c>
      <c r="L643" s="37" t="str">
        <f aca="false">IF(C643="","",IF(C643&lt;=5,"Night (00-05)",IF(C643&lt;=11,"Morning (06-11)",IF(C643&lt;=16,"Afternoon (12-16)",IF(C643&lt;=20,"Evening (17-20)","Late (21-23)")))))</f>
        <v>Evening (17-20)</v>
      </c>
    </row>
    <row r="644" customFormat="false" ht="15" hidden="false" customHeight="false" outlineLevel="0" collapsed="false">
      <c r="A644" s="37" t="s">
        <v>749</v>
      </c>
      <c r="B644" s="38" t="n">
        <v>46321</v>
      </c>
      <c r="C644" s="37" t="n">
        <v>6</v>
      </c>
      <c r="D644" s="37" t="s">
        <v>38</v>
      </c>
      <c r="E644" s="37" t="s">
        <v>46</v>
      </c>
      <c r="F644" s="37" t="s">
        <v>23</v>
      </c>
      <c r="G644" s="39" t="b">
        <f aca="false">TRUE()</f>
        <v>1</v>
      </c>
      <c r="H644" s="37" t="n">
        <v>1138.33</v>
      </c>
      <c r="I644" s="37" t="n">
        <v>5</v>
      </c>
      <c r="J644" s="37" t="n">
        <v>24</v>
      </c>
      <c r="K644" s="37" t="n">
        <v>0</v>
      </c>
      <c r="L644" s="37" t="str">
        <f aca="false">IF(C644="","",IF(C644&lt;=5,"Night (00-05)",IF(C644&lt;=11,"Morning (06-11)",IF(C644&lt;=16,"Afternoon (12-16)",IF(C644&lt;=20,"Evening (17-20)","Late (21-23)")))))</f>
        <v>Morning (06-11)</v>
      </c>
    </row>
    <row r="645" customFormat="false" ht="15" hidden="false" customHeight="false" outlineLevel="0" collapsed="false">
      <c r="A645" s="37" t="s">
        <v>750</v>
      </c>
      <c r="B645" s="38" t="n">
        <v>46317</v>
      </c>
      <c r="C645" s="37" t="n">
        <v>17</v>
      </c>
      <c r="D645" s="37" t="s">
        <v>40</v>
      </c>
      <c r="E645" s="37" t="s">
        <v>46</v>
      </c>
      <c r="F645" s="37" t="s">
        <v>23</v>
      </c>
      <c r="G645" s="39" t="b">
        <f aca="false">TRUE()</f>
        <v>1</v>
      </c>
      <c r="H645" s="37" t="n">
        <v>510.36</v>
      </c>
      <c r="I645" s="37" t="n">
        <v>5</v>
      </c>
      <c r="J645" s="37" t="n">
        <v>31</v>
      </c>
      <c r="K645" s="37" t="n">
        <v>0</v>
      </c>
      <c r="L645" s="37" t="str">
        <f aca="false">IF(C645="","",IF(C645&lt;=5,"Night (00-05)",IF(C645&lt;=11,"Morning (06-11)",IF(C645&lt;=16,"Afternoon (12-16)",IF(C645&lt;=20,"Evening (17-20)","Late (21-23)")))))</f>
        <v>Evening (17-20)</v>
      </c>
    </row>
    <row r="646" customFormat="false" ht="15" hidden="false" customHeight="false" outlineLevel="0" collapsed="false">
      <c r="A646" s="37" t="s">
        <v>751</v>
      </c>
      <c r="B646" s="38" t="n">
        <v>46320</v>
      </c>
      <c r="C646" s="37" t="n">
        <v>16</v>
      </c>
      <c r="D646" s="37" t="s">
        <v>37</v>
      </c>
      <c r="E646" s="37" t="s">
        <v>46</v>
      </c>
      <c r="F646" s="37" t="s">
        <v>23</v>
      </c>
      <c r="G646" s="39" t="b">
        <f aca="false">TRUE()</f>
        <v>1</v>
      </c>
      <c r="H646" s="37" t="n">
        <v>790.26</v>
      </c>
      <c r="I646" s="37" t="n">
        <v>5</v>
      </c>
      <c r="J646" s="37" t="n">
        <v>31</v>
      </c>
      <c r="K646" s="37" t="n">
        <v>0</v>
      </c>
      <c r="L646" s="37" t="str">
        <f aca="false">IF(C646="","",IF(C646&lt;=5,"Night (00-05)",IF(C646&lt;=11,"Morning (06-11)",IF(C646&lt;=16,"Afternoon (12-16)",IF(C646&lt;=20,"Evening (17-20)","Late (21-23)")))))</f>
        <v>Afternoon (12-16)</v>
      </c>
    </row>
    <row r="647" customFormat="false" ht="15" hidden="false" customHeight="false" outlineLevel="0" collapsed="false">
      <c r="A647" s="37" t="s">
        <v>752</v>
      </c>
      <c r="B647" s="38" t="n">
        <v>46321</v>
      </c>
      <c r="C647" s="37" t="n">
        <v>11</v>
      </c>
      <c r="D647" s="37" t="s">
        <v>37</v>
      </c>
      <c r="E647" s="37" t="s">
        <v>49</v>
      </c>
      <c r="F647" s="37" t="s">
        <v>23</v>
      </c>
      <c r="G647" s="39" t="b">
        <f aca="false">TRUE()</f>
        <v>1</v>
      </c>
      <c r="H647" s="37" t="n">
        <v>775.38</v>
      </c>
      <c r="I647" s="37" t="n">
        <v>4</v>
      </c>
      <c r="J647" s="37" t="n">
        <v>44</v>
      </c>
      <c r="K647" s="37" t="n">
        <v>0</v>
      </c>
      <c r="L647" s="37" t="str">
        <f aca="false">IF(C647="","",IF(C647&lt;=5,"Night (00-05)",IF(C647&lt;=11,"Morning (06-11)",IF(C647&lt;=16,"Afternoon (12-16)",IF(C647&lt;=20,"Evening (17-20)","Late (21-23)")))))</f>
        <v>Morning (06-11)</v>
      </c>
    </row>
    <row r="648" customFormat="false" ht="15" hidden="false" customHeight="false" outlineLevel="0" collapsed="false">
      <c r="A648" s="37" t="s">
        <v>753</v>
      </c>
      <c r="B648" s="38" t="n">
        <v>46319</v>
      </c>
      <c r="C648" s="37" t="n">
        <v>1</v>
      </c>
      <c r="D648" s="37" t="s">
        <v>40</v>
      </c>
      <c r="E648" s="37" t="s">
        <v>47</v>
      </c>
      <c r="F648" s="37" t="s">
        <v>23</v>
      </c>
      <c r="G648" s="39" t="b">
        <f aca="false">TRUE()</f>
        <v>1</v>
      </c>
      <c r="H648" s="37" t="n">
        <v>1012.81</v>
      </c>
      <c r="I648" s="37" t="n">
        <v>3</v>
      </c>
      <c r="J648" s="37" t="n">
        <v>27</v>
      </c>
      <c r="K648" s="37" t="n">
        <v>0</v>
      </c>
      <c r="L648" s="37" t="str">
        <f aca="false">IF(C648="","",IF(C648&lt;=5,"Night (00-05)",IF(C648&lt;=11,"Morning (06-11)",IF(C648&lt;=16,"Afternoon (12-16)",IF(C648&lt;=20,"Evening (17-20)","Late (21-23)")))))</f>
        <v>Night (00-05)</v>
      </c>
    </row>
    <row r="649" customFormat="false" ht="15" hidden="false" customHeight="false" outlineLevel="0" collapsed="false">
      <c r="A649" s="37" t="s">
        <v>754</v>
      </c>
      <c r="B649" s="38" t="n">
        <v>46318</v>
      </c>
      <c r="C649" s="37" t="n">
        <v>19</v>
      </c>
      <c r="D649" s="37" t="s">
        <v>37</v>
      </c>
      <c r="E649" s="37" t="s">
        <v>49</v>
      </c>
      <c r="F649" s="37" t="s">
        <v>23</v>
      </c>
      <c r="G649" s="39" t="b">
        <f aca="false">TRUE()</f>
        <v>1</v>
      </c>
      <c r="H649" s="37" t="n">
        <v>740.75</v>
      </c>
      <c r="I649" s="37" t="n">
        <v>3</v>
      </c>
      <c r="J649" s="37" t="n">
        <v>36</v>
      </c>
      <c r="K649" s="37" t="n">
        <v>0</v>
      </c>
      <c r="L649" s="37" t="str">
        <f aca="false">IF(C649="","",IF(C649&lt;=5,"Night (00-05)",IF(C649&lt;=11,"Morning (06-11)",IF(C649&lt;=16,"Afternoon (12-16)",IF(C649&lt;=20,"Evening (17-20)","Late (21-23)")))))</f>
        <v>Evening (17-20)</v>
      </c>
    </row>
    <row r="650" customFormat="false" ht="15" hidden="false" customHeight="false" outlineLevel="0" collapsed="false">
      <c r="A650" s="37" t="s">
        <v>755</v>
      </c>
      <c r="B650" s="38" t="n">
        <v>46321</v>
      </c>
      <c r="C650" s="37" t="n">
        <v>20</v>
      </c>
      <c r="D650" s="37" t="s">
        <v>39</v>
      </c>
      <c r="E650" s="37" t="s">
        <v>49</v>
      </c>
      <c r="F650" s="37" t="s">
        <v>129</v>
      </c>
      <c r="G650" s="39" t="b">
        <f aca="false">FALSE()</f>
        <v>0</v>
      </c>
      <c r="H650" s="37" t="n">
        <v>570.4</v>
      </c>
      <c r="K650" s="37" t="n">
        <v>0</v>
      </c>
      <c r="L650" s="37" t="str">
        <f aca="false">IF(C650="","",IF(C650&lt;=5,"Night (00-05)",IF(C650&lt;=11,"Morning (06-11)",IF(C650&lt;=16,"Afternoon (12-16)",IF(C650&lt;=20,"Evening (17-20)","Late (21-23)")))))</f>
        <v>Evening (17-20)</v>
      </c>
    </row>
    <row r="651" customFormat="false" ht="15" hidden="false" customHeight="false" outlineLevel="0" collapsed="false">
      <c r="A651" s="37" t="s">
        <v>756</v>
      </c>
      <c r="B651" s="38" t="n">
        <v>46321</v>
      </c>
      <c r="C651" s="37" t="n">
        <v>5</v>
      </c>
      <c r="D651" s="37" t="s">
        <v>40</v>
      </c>
      <c r="E651" s="37" t="s">
        <v>49</v>
      </c>
      <c r="F651" s="37" t="s">
        <v>23</v>
      </c>
      <c r="G651" s="39" t="b">
        <f aca="false">TRUE()</f>
        <v>1</v>
      </c>
      <c r="H651" s="37" t="n">
        <v>987.39</v>
      </c>
      <c r="I651" s="37" t="n">
        <v>4</v>
      </c>
      <c r="J651" s="37" t="n">
        <v>37</v>
      </c>
      <c r="K651" s="37" t="n">
        <v>0</v>
      </c>
      <c r="L651" s="37" t="str">
        <f aca="false">IF(C651="","",IF(C651&lt;=5,"Night (00-05)",IF(C651&lt;=11,"Morning (06-11)",IF(C651&lt;=16,"Afternoon (12-16)",IF(C651&lt;=20,"Evening (17-20)","Late (21-23)")))))</f>
        <v>Night (00-05)</v>
      </c>
    </row>
    <row r="652" customFormat="false" ht="15" hidden="false" customHeight="false" outlineLevel="0" collapsed="false">
      <c r="A652" s="37" t="s">
        <v>757</v>
      </c>
      <c r="B652" s="38" t="n">
        <v>46318</v>
      </c>
      <c r="C652" s="37" t="n">
        <v>2</v>
      </c>
      <c r="D652" s="37" t="s">
        <v>39</v>
      </c>
      <c r="E652" s="37" t="s">
        <v>49</v>
      </c>
      <c r="F652" s="37" t="s">
        <v>23</v>
      </c>
      <c r="G652" s="39" t="b">
        <f aca="false">TRUE()</f>
        <v>1</v>
      </c>
      <c r="H652" s="37" t="n">
        <v>608.26</v>
      </c>
      <c r="I652" s="37" t="n">
        <v>4</v>
      </c>
      <c r="J652" s="37" t="n">
        <v>32</v>
      </c>
      <c r="K652" s="37" t="n">
        <v>0</v>
      </c>
      <c r="L652" s="37" t="str">
        <f aca="false">IF(C652="","",IF(C652&lt;=5,"Night (00-05)",IF(C652&lt;=11,"Morning (06-11)",IF(C652&lt;=16,"Afternoon (12-16)",IF(C652&lt;=20,"Evening (17-20)","Late (21-23)")))))</f>
        <v>Night (00-05)</v>
      </c>
    </row>
    <row r="653" customFormat="false" ht="15" hidden="false" customHeight="false" outlineLevel="0" collapsed="false">
      <c r="A653" s="37" t="s">
        <v>758</v>
      </c>
      <c r="B653" s="38" t="n">
        <v>46321</v>
      </c>
      <c r="C653" s="37" t="n">
        <v>1</v>
      </c>
      <c r="D653" s="37" t="s">
        <v>38</v>
      </c>
      <c r="E653" s="37" t="s">
        <v>47</v>
      </c>
      <c r="F653" s="37" t="s">
        <v>23</v>
      </c>
      <c r="G653" s="39" t="b">
        <f aca="false">TRUE()</f>
        <v>1</v>
      </c>
      <c r="H653" s="37" t="n">
        <v>1381.18</v>
      </c>
      <c r="I653" s="37" t="n">
        <v>4</v>
      </c>
      <c r="J653" s="37" t="n">
        <v>26</v>
      </c>
      <c r="K653" s="37" t="n">
        <v>0</v>
      </c>
      <c r="L653" s="37" t="str">
        <f aca="false">IF(C653="","",IF(C653&lt;=5,"Night (00-05)",IF(C653&lt;=11,"Morning (06-11)",IF(C653&lt;=16,"Afternoon (12-16)",IF(C653&lt;=20,"Evening (17-20)","Late (21-23)")))))</f>
        <v>Night (00-05)</v>
      </c>
    </row>
    <row r="654" customFormat="false" ht="15" hidden="false" customHeight="false" outlineLevel="0" collapsed="false">
      <c r="A654" s="37" t="s">
        <v>759</v>
      </c>
      <c r="B654" s="38" t="n">
        <v>46320</v>
      </c>
      <c r="C654" s="37" t="n">
        <v>21</v>
      </c>
      <c r="D654" s="37" t="s">
        <v>40</v>
      </c>
      <c r="E654" s="37" t="s">
        <v>46</v>
      </c>
      <c r="F654" s="37" t="s">
        <v>23</v>
      </c>
      <c r="G654" s="39" t="b">
        <f aca="false">TRUE()</f>
        <v>1</v>
      </c>
      <c r="H654" s="37" t="n">
        <v>653.46</v>
      </c>
      <c r="I654" s="37" t="n">
        <v>3</v>
      </c>
      <c r="J654" s="37" t="n">
        <v>25</v>
      </c>
      <c r="K654" s="37" t="n">
        <v>0</v>
      </c>
      <c r="L654" s="37" t="str">
        <f aca="false">IF(C654="","",IF(C654&lt;=5,"Night (00-05)",IF(C654&lt;=11,"Morning (06-11)",IF(C654&lt;=16,"Afternoon (12-16)",IF(C654&lt;=20,"Evening (17-20)","Late (21-23)")))))</f>
        <v>Late (21-23)</v>
      </c>
    </row>
    <row r="655" customFormat="false" ht="15" hidden="false" customHeight="false" outlineLevel="0" collapsed="false">
      <c r="A655" s="37" t="s">
        <v>760</v>
      </c>
      <c r="B655" s="38" t="n">
        <v>46320</v>
      </c>
      <c r="C655" s="37" t="n">
        <v>0</v>
      </c>
      <c r="D655" s="37" t="s">
        <v>38</v>
      </c>
      <c r="E655" s="37" t="s">
        <v>47</v>
      </c>
      <c r="F655" s="37" t="s">
        <v>23</v>
      </c>
      <c r="G655" s="39" t="b">
        <f aca="false">TRUE()</f>
        <v>1</v>
      </c>
      <c r="H655" s="37" t="n">
        <v>859.47</v>
      </c>
      <c r="I655" s="37" t="n">
        <v>5</v>
      </c>
      <c r="J655" s="37" t="n">
        <v>44</v>
      </c>
      <c r="K655" s="37" t="n">
        <v>0</v>
      </c>
      <c r="L655" s="37" t="str">
        <f aca="false">IF(C655="","",IF(C655&lt;=5,"Night (00-05)",IF(C655&lt;=11,"Morning (06-11)",IF(C655&lt;=16,"Afternoon (12-16)",IF(C655&lt;=20,"Evening (17-20)","Late (21-23)")))))</f>
        <v>Night (00-05)</v>
      </c>
    </row>
    <row r="656" customFormat="false" ht="15" hidden="false" customHeight="false" outlineLevel="0" collapsed="false">
      <c r="A656" s="37" t="s">
        <v>761</v>
      </c>
      <c r="B656" s="38" t="n">
        <v>46320</v>
      </c>
      <c r="C656" s="37" t="n">
        <v>23</v>
      </c>
      <c r="D656" s="37" t="s">
        <v>38</v>
      </c>
      <c r="E656" s="37" t="s">
        <v>48</v>
      </c>
      <c r="F656" s="37" t="s">
        <v>23</v>
      </c>
      <c r="G656" s="39" t="b">
        <f aca="false">TRUE()</f>
        <v>1</v>
      </c>
      <c r="H656" s="37" t="n">
        <v>976.34</v>
      </c>
      <c r="I656" s="37" t="n">
        <v>5</v>
      </c>
      <c r="J656" s="37" t="n">
        <v>24</v>
      </c>
      <c r="K656" s="37" t="n">
        <v>0</v>
      </c>
      <c r="L656" s="37" t="str">
        <f aca="false">IF(C656="","",IF(C656&lt;=5,"Night (00-05)",IF(C656&lt;=11,"Morning (06-11)",IF(C656&lt;=16,"Afternoon (12-16)",IF(C656&lt;=20,"Evening (17-20)","Late (21-23)")))))</f>
        <v>Late (21-23)</v>
      </c>
    </row>
    <row r="657" customFormat="false" ht="15" hidden="false" customHeight="false" outlineLevel="0" collapsed="false">
      <c r="A657" s="37" t="s">
        <v>762</v>
      </c>
      <c r="B657" s="38" t="n">
        <v>46318</v>
      </c>
      <c r="C657" s="37" t="n">
        <v>2</v>
      </c>
      <c r="D657" s="37" t="s">
        <v>40</v>
      </c>
      <c r="E657" s="37" t="s">
        <v>46</v>
      </c>
      <c r="F657" s="37" t="s">
        <v>23</v>
      </c>
      <c r="G657" s="39" t="b">
        <f aca="false">TRUE()</f>
        <v>1</v>
      </c>
      <c r="H657" s="37" t="n">
        <v>628.57</v>
      </c>
      <c r="I657" s="37" t="n">
        <v>2</v>
      </c>
      <c r="J657" s="37" t="n">
        <v>69</v>
      </c>
      <c r="K657" s="37" t="n">
        <v>1</v>
      </c>
      <c r="L657" s="37" t="str">
        <f aca="false">IF(C657="","",IF(C657&lt;=5,"Night (00-05)",IF(C657&lt;=11,"Morning (06-11)",IF(C657&lt;=16,"Afternoon (12-16)",IF(C657&lt;=20,"Evening (17-20)","Late (21-23)")))))</f>
        <v>Night (00-05)</v>
      </c>
    </row>
    <row r="658" customFormat="false" ht="15" hidden="false" customHeight="false" outlineLevel="0" collapsed="false">
      <c r="A658" s="37" t="s">
        <v>763</v>
      </c>
      <c r="B658" s="38" t="n">
        <v>46315</v>
      </c>
      <c r="C658" s="37" t="n">
        <v>17</v>
      </c>
      <c r="D658" s="37" t="s">
        <v>37</v>
      </c>
      <c r="E658" s="37" t="s">
        <v>49</v>
      </c>
      <c r="F658" s="37" t="s">
        <v>129</v>
      </c>
      <c r="G658" s="39" t="b">
        <f aca="false">FALSE()</f>
        <v>0</v>
      </c>
      <c r="H658" s="37" t="n">
        <v>433.7</v>
      </c>
      <c r="K658" s="37" t="n">
        <v>0</v>
      </c>
      <c r="L658" s="37" t="str">
        <f aca="false">IF(C658="","",IF(C658&lt;=5,"Night (00-05)",IF(C658&lt;=11,"Morning (06-11)",IF(C658&lt;=16,"Afternoon (12-16)",IF(C658&lt;=20,"Evening (17-20)","Late (21-23)")))))</f>
        <v>Evening (17-20)</v>
      </c>
    </row>
    <row r="659" customFormat="false" ht="15" hidden="false" customHeight="false" outlineLevel="0" collapsed="false">
      <c r="A659" s="37" t="s">
        <v>764</v>
      </c>
      <c r="B659" s="38" t="n">
        <v>46317</v>
      </c>
      <c r="C659" s="37" t="n">
        <v>0</v>
      </c>
      <c r="D659" s="37" t="s">
        <v>39</v>
      </c>
      <c r="E659" s="37" t="s">
        <v>47</v>
      </c>
      <c r="F659" s="37" t="s">
        <v>23</v>
      </c>
      <c r="G659" s="39" t="b">
        <f aca="false">TRUE()</f>
        <v>1</v>
      </c>
      <c r="H659" s="37" t="n">
        <v>356.55</v>
      </c>
      <c r="I659" s="37" t="n">
        <v>5</v>
      </c>
      <c r="J659" s="37" t="n">
        <v>33</v>
      </c>
      <c r="K659" s="37" t="n">
        <v>0</v>
      </c>
      <c r="L659" s="37" t="str">
        <f aca="false">IF(C659="","",IF(C659&lt;=5,"Night (00-05)",IF(C659&lt;=11,"Morning (06-11)",IF(C659&lt;=16,"Afternoon (12-16)",IF(C659&lt;=20,"Evening (17-20)","Late (21-23)")))))</f>
        <v>Night (00-05)</v>
      </c>
    </row>
    <row r="660" customFormat="false" ht="15" hidden="false" customHeight="false" outlineLevel="0" collapsed="false">
      <c r="A660" s="37" t="s">
        <v>765</v>
      </c>
      <c r="B660" s="38" t="n">
        <v>46316</v>
      </c>
      <c r="C660" s="37" t="n">
        <v>3</v>
      </c>
      <c r="D660" s="37" t="s">
        <v>38</v>
      </c>
      <c r="E660" s="37" t="s">
        <v>47</v>
      </c>
      <c r="F660" s="37" t="s">
        <v>23</v>
      </c>
      <c r="G660" s="39" t="b">
        <f aca="false">TRUE()</f>
        <v>1</v>
      </c>
      <c r="H660" s="37" t="n">
        <v>850.04</v>
      </c>
      <c r="I660" s="37" t="n">
        <v>5</v>
      </c>
      <c r="J660" s="37" t="n">
        <v>36</v>
      </c>
      <c r="K660" s="37" t="n">
        <v>0</v>
      </c>
      <c r="L660" s="37" t="str">
        <f aca="false">IF(C660="","",IF(C660&lt;=5,"Night (00-05)",IF(C660&lt;=11,"Morning (06-11)",IF(C660&lt;=16,"Afternoon (12-16)",IF(C660&lt;=20,"Evening (17-20)","Late (21-23)")))))</f>
        <v>Night (00-05)</v>
      </c>
    </row>
    <row r="661" customFormat="false" ht="15" hidden="false" customHeight="false" outlineLevel="0" collapsed="false">
      <c r="A661" s="37" t="s">
        <v>766</v>
      </c>
      <c r="B661" s="38" t="n">
        <v>46316</v>
      </c>
      <c r="C661" s="37" t="n">
        <v>3</v>
      </c>
      <c r="D661" s="37" t="s">
        <v>38</v>
      </c>
      <c r="E661" s="37" t="s">
        <v>47</v>
      </c>
      <c r="F661" s="37" t="s">
        <v>23</v>
      </c>
      <c r="G661" s="39" t="b">
        <f aca="false">TRUE()</f>
        <v>1</v>
      </c>
      <c r="H661" s="37" t="n">
        <v>1264.22</v>
      </c>
      <c r="I661" s="37" t="n">
        <v>5</v>
      </c>
      <c r="J661" s="37" t="n">
        <v>41</v>
      </c>
      <c r="K661" s="37" t="n">
        <v>0</v>
      </c>
      <c r="L661" s="37" t="str">
        <f aca="false">IF(C661="","",IF(C661&lt;=5,"Night (00-05)",IF(C661&lt;=11,"Morning (06-11)",IF(C661&lt;=16,"Afternoon (12-16)",IF(C661&lt;=20,"Evening (17-20)","Late (21-23)")))))</f>
        <v>Night (00-05)</v>
      </c>
    </row>
    <row r="662" customFormat="false" ht="15" hidden="false" customHeight="false" outlineLevel="0" collapsed="false">
      <c r="A662" s="37" t="s">
        <v>767</v>
      </c>
      <c r="B662" s="38" t="n">
        <v>46319</v>
      </c>
      <c r="C662" s="37" t="n">
        <v>8</v>
      </c>
      <c r="D662" s="37" t="s">
        <v>39</v>
      </c>
      <c r="E662" s="37" t="s">
        <v>49</v>
      </c>
      <c r="F662" s="37" t="s">
        <v>23</v>
      </c>
      <c r="G662" s="39" t="b">
        <f aca="false">TRUE()</f>
        <v>1</v>
      </c>
      <c r="H662" s="37" t="n">
        <v>473.42</v>
      </c>
      <c r="I662" s="37" t="n">
        <v>4</v>
      </c>
      <c r="J662" s="37" t="n">
        <v>24</v>
      </c>
      <c r="K662" s="37" t="n">
        <v>0</v>
      </c>
      <c r="L662" s="37" t="str">
        <f aca="false">IF(C662="","",IF(C662&lt;=5,"Night (00-05)",IF(C662&lt;=11,"Morning (06-11)",IF(C662&lt;=16,"Afternoon (12-16)",IF(C662&lt;=20,"Evening (17-20)","Late (21-23)")))))</f>
        <v>Morning (06-11)</v>
      </c>
    </row>
    <row r="663" customFormat="false" ht="15" hidden="false" customHeight="false" outlineLevel="0" collapsed="false">
      <c r="A663" s="37" t="s">
        <v>768</v>
      </c>
      <c r="B663" s="38" t="n">
        <v>46315</v>
      </c>
      <c r="C663" s="37" t="n">
        <v>19</v>
      </c>
      <c r="D663" s="37" t="s">
        <v>39</v>
      </c>
      <c r="E663" s="37" t="s">
        <v>47</v>
      </c>
      <c r="F663" s="37" t="s">
        <v>113</v>
      </c>
      <c r="G663" s="39" t="b">
        <f aca="false">TRUE()</f>
        <v>1</v>
      </c>
      <c r="H663" s="37" t="n">
        <v>525.9</v>
      </c>
      <c r="K663" s="37" t="n">
        <v>0</v>
      </c>
      <c r="L663" s="37" t="str">
        <f aca="false">IF(C663="","",IF(C663&lt;=5,"Night (00-05)",IF(C663&lt;=11,"Morning (06-11)",IF(C663&lt;=16,"Afternoon (12-16)",IF(C663&lt;=20,"Evening (17-20)","Late (21-23)")))))</f>
        <v>Evening (17-20)</v>
      </c>
    </row>
    <row r="664" customFormat="false" ht="15" hidden="false" customHeight="false" outlineLevel="0" collapsed="false">
      <c r="A664" s="37" t="s">
        <v>769</v>
      </c>
      <c r="B664" s="38" t="n">
        <v>46317</v>
      </c>
      <c r="C664" s="37" t="n">
        <v>18</v>
      </c>
      <c r="D664" s="37" t="s">
        <v>38</v>
      </c>
      <c r="E664" s="37" t="s">
        <v>47</v>
      </c>
      <c r="F664" s="37" t="s">
        <v>23</v>
      </c>
      <c r="G664" s="39" t="b">
        <f aca="false">TRUE()</f>
        <v>1</v>
      </c>
      <c r="H664" s="37" t="n">
        <v>1054.75</v>
      </c>
      <c r="I664" s="37" t="n">
        <v>3</v>
      </c>
      <c r="J664" s="37" t="n">
        <v>41</v>
      </c>
      <c r="K664" s="37" t="n">
        <v>0</v>
      </c>
      <c r="L664" s="37" t="str">
        <f aca="false">IF(C664="","",IF(C664&lt;=5,"Night (00-05)",IF(C664&lt;=11,"Morning (06-11)",IF(C664&lt;=16,"Afternoon (12-16)",IF(C664&lt;=20,"Evening (17-20)","Late (21-23)")))))</f>
        <v>Evening (17-20)</v>
      </c>
    </row>
    <row r="665" customFormat="false" ht="15" hidden="false" customHeight="false" outlineLevel="0" collapsed="false">
      <c r="A665" s="37" t="s">
        <v>770</v>
      </c>
      <c r="B665" s="38" t="n">
        <v>46319</v>
      </c>
      <c r="C665" s="37" t="n">
        <v>1</v>
      </c>
      <c r="D665" s="37" t="s">
        <v>37</v>
      </c>
      <c r="E665" s="37" t="s">
        <v>48</v>
      </c>
      <c r="F665" s="37" t="s">
        <v>129</v>
      </c>
      <c r="G665" s="39" t="b">
        <f aca="false">FALSE()</f>
        <v>0</v>
      </c>
      <c r="H665" s="37" t="n">
        <v>676.24</v>
      </c>
      <c r="K665" s="37" t="n">
        <v>0</v>
      </c>
      <c r="L665" s="37" t="str">
        <f aca="false">IF(C665="","",IF(C665&lt;=5,"Night (00-05)",IF(C665&lt;=11,"Morning (06-11)",IF(C665&lt;=16,"Afternoon (12-16)",IF(C665&lt;=20,"Evening (17-20)","Late (21-23)")))))</f>
        <v>Night (00-05)</v>
      </c>
    </row>
    <row r="666" customFormat="false" ht="15" hidden="false" customHeight="false" outlineLevel="0" collapsed="false">
      <c r="A666" s="37" t="s">
        <v>771</v>
      </c>
      <c r="B666" s="38" t="n">
        <v>46320</v>
      </c>
      <c r="C666" s="37" t="n">
        <v>16</v>
      </c>
      <c r="D666" s="37" t="s">
        <v>38</v>
      </c>
      <c r="E666" s="37" t="s">
        <v>46</v>
      </c>
      <c r="F666" s="37" t="s">
        <v>113</v>
      </c>
      <c r="G666" s="39" t="b">
        <f aca="false">TRUE()</f>
        <v>1</v>
      </c>
      <c r="H666" s="37" t="n">
        <v>1139.55</v>
      </c>
      <c r="K666" s="37" t="n">
        <v>0</v>
      </c>
      <c r="L666" s="37" t="str">
        <f aca="false">IF(C666="","",IF(C666&lt;=5,"Night (00-05)",IF(C666&lt;=11,"Morning (06-11)",IF(C666&lt;=16,"Afternoon (12-16)",IF(C666&lt;=20,"Evening (17-20)","Late (21-23)")))))</f>
        <v>Afternoon (12-16)</v>
      </c>
    </row>
    <row r="667" customFormat="false" ht="15" hidden="false" customHeight="false" outlineLevel="0" collapsed="false">
      <c r="A667" s="37" t="s">
        <v>772</v>
      </c>
      <c r="B667" s="38" t="n">
        <v>46319</v>
      </c>
      <c r="C667" s="37" t="n">
        <v>1</v>
      </c>
      <c r="D667" s="37" t="s">
        <v>37</v>
      </c>
      <c r="E667" s="37" t="s">
        <v>47</v>
      </c>
      <c r="F667" s="37" t="s">
        <v>23</v>
      </c>
      <c r="G667" s="39" t="b">
        <f aca="false">TRUE()</f>
        <v>1</v>
      </c>
      <c r="H667" s="37" t="n">
        <v>758.87</v>
      </c>
      <c r="I667" s="37" t="n">
        <v>4</v>
      </c>
      <c r="J667" s="37" t="n">
        <v>51</v>
      </c>
      <c r="K667" s="37" t="n">
        <v>0</v>
      </c>
      <c r="L667" s="37" t="str">
        <f aca="false">IF(C667="","",IF(C667&lt;=5,"Night (00-05)",IF(C667&lt;=11,"Morning (06-11)",IF(C667&lt;=16,"Afternoon (12-16)",IF(C667&lt;=20,"Evening (17-20)","Late (21-23)")))))</f>
        <v>Night (00-05)</v>
      </c>
    </row>
    <row r="668" customFormat="false" ht="15" hidden="false" customHeight="false" outlineLevel="0" collapsed="false">
      <c r="A668" s="37" t="s">
        <v>773</v>
      </c>
      <c r="B668" s="38" t="n">
        <v>46321</v>
      </c>
      <c r="C668" s="37" t="n">
        <v>23</v>
      </c>
      <c r="D668" s="37" t="s">
        <v>39</v>
      </c>
      <c r="E668" s="37" t="s">
        <v>47</v>
      </c>
      <c r="F668" s="37" t="s">
        <v>23</v>
      </c>
      <c r="G668" s="39" t="b">
        <f aca="false">TRUE()</f>
        <v>1</v>
      </c>
      <c r="H668" s="37" t="n">
        <v>313.82</v>
      </c>
      <c r="I668" s="37" t="n">
        <v>4</v>
      </c>
      <c r="J668" s="37" t="n">
        <v>22</v>
      </c>
      <c r="K668" s="37" t="n">
        <v>0</v>
      </c>
      <c r="L668" s="37" t="str">
        <f aca="false">IF(C668="","",IF(C668&lt;=5,"Night (00-05)",IF(C668&lt;=11,"Morning (06-11)",IF(C668&lt;=16,"Afternoon (12-16)",IF(C668&lt;=20,"Evening (17-20)","Late (21-23)")))))</f>
        <v>Late (21-23)</v>
      </c>
    </row>
    <row r="669" customFormat="false" ht="15" hidden="false" customHeight="false" outlineLevel="0" collapsed="false">
      <c r="A669" s="37" t="s">
        <v>774</v>
      </c>
      <c r="B669" s="38" t="n">
        <v>46317</v>
      </c>
      <c r="C669" s="37" t="n">
        <v>2</v>
      </c>
      <c r="D669" s="37" t="s">
        <v>39</v>
      </c>
      <c r="E669" s="37" t="s">
        <v>48</v>
      </c>
      <c r="F669" s="37" t="s">
        <v>23</v>
      </c>
      <c r="G669" s="39" t="b">
        <f aca="false">TRUE()</f>
        <v>1</v>
      </c>
      <c r="H669" s="37" t="n">
        <v>595.42</v>
      </c>
      <c r="I669" s="37" t="n">
        <v>2</v>
      </c>
      <c r="J669" s="37" t="n">
        <v>24</v>
      </c>
      <c r="K669" s="37" t="n">
        <v>0</v>
      </c>
      <c r="L669" s="37" t="str">
        <f aca="false">IF(C669="","",IF(C669&lt;=5,"Night (00-05)",IF(C669&lt;=11,"Morning (06-11)",IF(C669&lt;=16,"Afternoon (12-16)",IF(C669&lt;=20,"Evening (17-20)","Late (21-23)")))))</f>
        <v>Night (00-05)</v>
      </c>
    </row>
    <row r="670" customFormat="false" ht="15" hidden="false" customHeight="false" outlineLevel="0" collapsed="false">
      <c r="A670" s="37" t="s">
        <v>775</v>
      </c>
      <c r="B670" s="38" t="n">
        <v>46316</v>
      </c>
      <c r="C670" s="37" t="n">
        <v>22</v>
      </c>
      <c r="D670" s="37" t="s">
        <v>38</v>
      </c>
      <c r="E670" s="37" t="s">
        <v>48</v>
      </c>
      <c r="F670" s="37" t="s">
        <v>23</v>
      </c>
      <c r="G670" s="39" t="b">
        <f aca="false">TRUE()</f>
        <v>1</v>
      </c>
      <c r="H670" s="37" t="n">
        <v>1289.91</v>
      </c>
      <c r="I670" s="37" t="n">
        <v>5</v>
      </c>
      <c r="J670" s="37" t="n">
        <v>31</v>
      </c>
      <c r="K670" s="37" t="n">
        <v>0</v>
      </c>
      <c r="L670" s="37" t="str">
        <f aca="false">IF(C670="","",IF(C670&lt;=5,"Night (00-05)",IF(C670&lt;=11,"Morning (06-11)",IF(C670&lt;=16,"Afternoon (12-16)",IF(C670&lt;=20,"Evening (17-20)","Late (21-23)")))))</f>
        <v>Late (21-23)</v>
      </c>
    </row>
    <row r="671" customFormat="false" ht="15" hidden="false" customHeight="false" outlineLevel="0" collapsed="false">
      <c r="A671" s="37" t="s">
        <v>776</v>
      </c>
      <c r="B671" s="38" t="n">
        <v>46318</v>
      </c>
      <c r="C671" s="37" t="n">
        <v>2</v>
      </c>
      <c r="D671" s="37" t="s">
        <v>37</v>
      </c>
      <c r="E671" s="37" t="s">
        <v>47</v>
      </c>
      <c r="F671" s="37" t="s">
        <v>23</v>
      </c>
      <c r="G671" s="39" t="b">
        <f aca="false">TRUE()</f>
        <v>1</v>
      </c>
      <c r="H671" s="37" t="n">
        <v>807.9</v>
      </c>
      <c r="I671" s="37" t="n">
        <v>5</v>
      </c>
      <c r="J671" s="37" t="n">
        <v>51</v>
      </c>
      <c r="K671" s="37" t="n">
        <v>0</v>
      </c>
      <c r="L671" s="37" t="str">
        <f aca="false">IF(C671="","",IF(C671&lt;=5,"Night (00-05)",IF(C671&lt;=11,"Morning (06-11)",IF(C671&lt;=16,"Afternoon (12-16)",IF(C671&lt;=20,"Evening (17-20)","Late (21-23)")))))</f>
        <v>Night (00-05)</v>
      </c>
    </row>
    <row r="672" customFormat="false" ht="15" hidden="false" customHeight="false" outlineLevel="0" collapsed="false">
      <c r="A672" s="37" t="s">
        <v>777</v>
      </c>
      <c r="B672" s="38" t="n">
        <v>46319</v>
      </c>
      <c r="C672" s="37" t="n">
        <v>17</v>
      </c>
      <c r="D672" s="37" t="s">
        <v>39</v>
      </c>
      <c r="E672" s="37" t="s">
        <v>46</v>
      </c>
      <c r="F672" s="37" t="s">
        <v>129</v>
      </c>
      <c r="G672" s="39" t="b">
        <f aca="false">FALSE()</f>
        <v>0</v>
      </c>
      <c r="H672" s="37" t="n">
        <v>623.61</v>
      </c>
      <c r="K672" s="37" t="n">
        <v>0</v>
      </c>
      <c r="L672" s="37" t="str">
        <f aca="false">IF(C672="","",IF(C672&lt;=5,"Night (00-05)",IF(C672&lt;=11,"Morning (06-11)",IF(C672&lt;=16,"Afternoon (12-16)",IF(C672&lt;=20,"Evening (17-20)","Late (21-23)")))))</f>
        <v>Evening (17-20)</v>
      </c>
    </row>
    <row r="673" customFormat="false" ht="15" hidden="false" customHeight="false" outlineLevel="0" collapsed="false">
      <c r="A673" s="37" t="s">
        <v>778</v>
      </c>
      <c r="B673" s="38" t="n">
        <v>46320</v>
      </c>
      <c r="C673" s="37" t="n">
        <v>20</v>
      </c>
      <c r="D673" s="37" t="s">
        <v>37</v>
      </c>
      <c r="E673" s="37" t="s">
        <v>46</v>
      </c>
      <c r="F673" s="37" t="s">
        <v>23</v>
      </c>
      <c r="G673" s="39" t="b">
        <f aca="false">TRUE()</f>
        <v>1</v>
      </c>
      <c r="H673" s="37" t="n">
        <v>817.21</v>
      </c>
      <c r="I673" s="37" t="n">
        <v>5</v>
      </c>
      <c r="J673" s="37" t="n">
        <v>22</v>
      </c>
      <c r="K673" s="37" t="n">
        <v>0</v>
      </c>
      <c r="L673" s="37" t="str">
        <f aca="false">IF(C673="","",IF(C673&lt;=5,"Night (00-05)",IF(C673&lt;=11,"Morning (06-11)",IF(C673&lt;=16,"Afternoon (12-16)",IF(C673&lt;=20,"Evening (17-20)","Late (21-23)")))))</f>
        <v>Evening (17-20)</v>
      </c>
    </row>
    <row r="674" customFormat="false" ht="15" hidden="false" customHeight="false" outlineLevel="0" collapsed="false">
      <c r="A674" s="37" t="s">
        <v>779</v>
      </c>
      <c r="B674" s="38" t="n">
        <v>46317</v>
      </c>
      <c r="C674" s="37" t="n">
        <v>14</v>
      </c>
      <c r="D674" s="37" t="s">
        <v>39</v>
      </c>
      <c r="E674" s="37" t="s">
        <v>48</v>
      </c>
      <c r="F674" s="37" t="s">
        <v>23</v>
      </c>
      <c r="G674" s="39" t="b">
        <f aca="false">TRUE()</f>
        <v>1</v>
      </c>
      <c r="H674" s="37" t="n">
        <v>577.52</v>
      </c>
      <c r="I674" s="37" t="n">
        <v>4</v>
      </c>
      <c r="J674" s="37" t="n">
        <v>48</v>
      </c>
      <c r="K674" s="37" t="n">
        <v>0</v>
      </c>
      <c r="L674" s="37" t="str">
        <f aca="false">IF(C674="","",IF(C674&lt;=5,"Night (00-05)",IF(C674&lt;=11,"Morning (06-11)",IF(C674&lt;=16,"Afternoon (12-16)",IF(C674&lt;=20,"Evening (17-20)","Late (21-23)")))))</f>
        <v>Afternoon (12-16)</v>
      </c>
    </row>
    <row r="675" customFormat="false" ht="15" hidden="false" customHeight="false" outlineLevel="0" collapsed="false">
      <c r="A675" s="37" t="s">
        <v>780</v>
      </c>
      <c r="B675" s="38" t="n">
        <v>46319</v>
      </c>
      <c r="C675" s="37" t="n">
        <v>12</v>
      </c>
      <c r="D675" s="37" t="s">
        <v>39</v>
      </c>
      <c r="E675" s="37" t="s">
        <v>48</v>
      </c>
      <c r="F675" s="37" t="s">
        <v>23</v>
      </c>
      <c r="G675" s="39" t="b">
        <f aca="false">TRUE()</f>
        <v>1</v>
      </c>
      <c r="H675" s="37" t="n">
        <v>305.25</v>
      </c>
      <c r="I675" s="37" t="n">
        <v>1</v>
      </c>
      <c r="J675" s="37" t="n">
        <v>20</v>
      </c>
      <c r="K675" s="37" t="n">
        <v>0</v>
      </c>
      <c r="L675" s="37" t="str">
        <f aca="false">IF(C675="","",IF(C675&lt;=5,"Night (00-05)",IF(C675&lt;=11,"Morning (06-11)",IF(C675&lt;=16,"Afternoon (12-16)",IF(C675&lt;=20,"Evening (17-20)","Late (21-23)")))))</f>
        <v>Afternoon (12-16)</v>
      </c>
    </row>
    <row r="676" customFormat="false" ht="15" hidden="false" customHeight="false" outlineLevel="0" collapsed="false">
      <c r="A676" s="37" t="s">
        <v>781</v>
      </c>
      <c r="B676" s="38" t="n">
        <v>46316</v>
      </c>
      <c r="C676" s="37" t="n">
        <v>1</v>
      </c>
      <c r="D676" s="37" t="s">
        <v>40</v>
      </c>
      <c r="E676" s="37" t="s">
        <v>49</v>
      </c>
      <c r="F676" s="37" t="s">
        <v>23</v>
      </c>
      <c r="G676" s="39" t="b">
        <f aca="false">TRUE()</f>
        <v>1</v>
      </c>
      <c r="H676" s="37" t="n">
        <v>1053.8</v>
      </c>
      <c r="I676" s="37" t="n">
        <v>5</v>
      </c>
      <c r="J676" s="37" t="n">
        <v>50</v>
      </c>
      <c r="K676" s="37" t="n">
        <v>0</v>
      </c>
      <c r="L676" s="37" t="str">
        <f aca="false">IF(C676="","",IF(C676&lt;=5,"Night (00-05)",IF(C676&lt;=11,"Morning (06-11)",IF(C676&lt;=16,"Afternoon (12-16)",IF(C676&lt;=20,"Evening (17-20)","Late (21-23)")))))</f>
        <v>Night (00-05)</v>
      </c>
    </row>
    <row r="677" customFormat="false" ht="15" hidden="false" customHeight="false" outlineLevel="0" collapsed="false">
      <c r="A677" s="37" t="s">
        <v>782</v>
      </c>
      <c r="B677" s="38" t="n">
        <v>46316</v>
      </c>
      <c r="C677" s="37" t="n">
        <v>16</v>
      </c>
      <c r="D677" s="37" t="s">
        <v>39</v>
      </c>
      <c r="E677" s="37" t="s">
        <v>49</v>
      </c>
      <c r="F677" s="37" t="s">
        <v>23</v>
      </c>
      <c r="G677" s="39" t="b">
        <f aca="false">TRUE()</f>
        <v>1</v>
      </c>
      <c r="H677" s="37" t="n">
        <v>394.7</v>
      </c>
      <c r="I677" s="37" t="n">
        <v>5</v>
      </c>
      <c r="J677" s="37" t="n">
        <v>22</v>
      </c>
      <c r="K677" s="37" t="n">
        <v>0</v>
      </c>
      <c r="L677" s="37" t="str">
        <f aca="false">IF(C677="","",IF(C677&lt;=5,"Night (00-05)",IF(C677&lt;=11,"Morning (06-11)",IF(C677&lt;=16,"Afternoon (12-16)",IF(C677&lt;=20,"Evening (17-20)","Late (21-23)")))))</f>
        <v>Afternoon (12-16)</v>
      </c>
    </row>
    <row r="678" customFormat="false" ht="15" hidden="false" customHeight="false" outlineLevel="0" collapsed="false">
      <c r="A678" s="37" t="s">
        <v>783</v>
      </c>
      <c r="B678" s="38" t="n">
        <v>46320</v>
      </c>
      <c r="C678" s="37" t="n">
        <v>22</v>
      </c>
      <c r="D678" s="37" t="s">
        <v>40</v>
      </c>
      <c r="E678" s="37" t="s">
        <v>46</v>
      </c>
      <c r="F678" s="37" t="s">
        <v>23</v>
      </c>
      <c r="G678" s="39" t="b">
        <f aca="false">TRUE()</f>
        <v>1</v>
      </c>
      <c r="H678" s="37" t="n">
        <v>834.03</v>
      </c>
      <c r="I678" s="37" t="n">
        <v>3</v>
      </c>
      <c r="J678" s="37" t="n">
        <v>32</v>
      </c>
      <c r="K678" s="37" t="n">
        <v>0</v>
      </c>
      <c r="L678" s="37" t="str">
        <f aca="false">IF(C678="","",IF(C678&lt;=5,"Night (00-05)",IF(C678&lt;=11,"Morning (06-11)",IF(C678&lt;=16,"Afternoon (12-16)",IF(C678&lt;=20,"Evening (17-20)","Late (21-23)")))))</f>
        <v>Late (21-23)</v>
      </c>
    </row>
    <row r="679" customFormat="false" ht="15" hidden="false" customHeight="false" outlineLevel="0" collapsed="false">
      <c r="A679" s="37" t="s">
        <v>784</v>
      </c>
      <c r="B679" s="38" t="n">
        <v>46320</v>
      </c>
      <c r="C679" s="37" t="n">
        <v>6</v>
      </c>
      <c r="D679" s="37" t="s">
        <v>37</v>
      </c>
      <c r="E679" s="37" t="s">
        <v>49</v>
      </c>
      <c r="F679" s="37" t="s">
        <v>23</v>
      </c>
      <c r="G679" s="39" t="b">
        <f aca="false">TRUE()</f>
        <v>1</v>
      </c>
      <c r="H679" s="37" t="n">
        <v>784.17</v>
      </c>
      <c r="I679" s="37" t="n">
        <v>3</v>
      </c>
      <c r="J679" s="37" t="n">
        <v>37</v>
      </c>
      <c r="K679" s="37" t="n">
        <v>0</v>
      </c>
      <c r="L679" s="37" t="str">
        <f aca="false">IF(C679="","",IF(C679&lt;=5,"Night (00-05)",IF(C679&lt;=11,"Morning (06-11)",IF(C679&lt;=16,"Afternoon (12-16)",IF(C679&lt;=20,"Evening (17-20)","Late (21-23)")))))</f>
        <v>Morning (06-11)</v>
      </c>
    </row>
    <row r="680" customFormat="false" ht="15" hidden="false" customHeight="false" outlineLevel="0" collapsed="false">
      <c r="A680" s="37" t="s">
        <v>785</v>
      </c>
      <c r="B680" s="38" t="n">
        <v>46316</v>
      </c>
      <c r="C680" s="37" t="n">
        <v>2</v>
      </c>
      <c r="D680" s="37" t="s">
        <v>39</v>
      </c>
      <c r="E680" s="37" t="s">
        <v>49</v>
      </c>
      <c r="F680" s="37" t="s">
        <v>23</v>
      </c>
      <c r="G680" s="39" t="b">
        <f aca="false">TRUE()</f>
        <v>1</v>
      </c>
      <c r="H680" s="37" t="n">
        <v>369.53</v>
      </c>
      <c r="I680" s="37" t="n">
        <v>3</v>
      </c>
      <c r="J680" s="37" t="n">
        <v>22</v>
      </c>
      <c r="K680" s="37" t="n">
        <v>0</v>
      </c>
      <c r="L680" s="37" t="str">
        <f aca="false">IF(C680="","",IF(C680&lt;=5,"Night (00-05)",IF(C680&lt;=11,"Morning (06-11)",IF(C680&lt;=16,"Afternoon (12-16)",IF(C680&lt;=20,"Evening (17-20)","Late (21-23)")))))</f>
        <v>Night (00-05)</v>
      </c>
    </row>
    <row r="681" customFormat="false" ht="15" hidden="false" customHeight="false" outlineLevel="0" collapsed="false">
      <c r="A681" s="37" t="s">
        <v>786</v>
      </c>
      <c r="B681" s="38" t="n">
        <v>46317</v>
      </c>
      <c r="C681" s="37" t="n">
        <v>18</v>
      </c>
      <c r="D681" s="37" t="s">
        <v>40</v>
      </c>
      <c r="E681" s="37" t="s">
        <v>49</v>
      </c>
      <c r="F681" s="37" t="s">
        <v>23</v>
      </c>
      <c r="G681" s="39" t="b">
        <f aca="false">TRUE()</f>
        <v>1</v>
      </c>
      <c r="H681" s="37" t="n">
        <v>533.65</v>
      </c>
      <c r="I681" s="37" t="n">
        <v>4</v>
      </c>
      <c r="J681" s="37" t="n">
        <v>54</v>
      </c>
      <c r="K681" s="37" t="n">
        <v>0</v>
      </c>
      <c r="L681" s="37" t="str">
        <f aca="false">IF(C681="","",IF(C681&lt;=5,"Night (00-05)",IF(C681&lt;=11,"Morning (06-11)",IF(C681&lt;=16,"Afternoon (12-16)",IF(C681&lt;=20,"Evening (17-20)","Late (21-23)")))))</f>
        <v>Evening (17-20)</v>
      </c>
    </row>
    <row r="682" customFormat="false" ht="15" hidden="false" customHeight="false" outlineLevel="0" collapsed="false">
      <c r="A682" s="37" t="s">
        <v>787</v>
      </c>
      <c r="B682" s="38" t="n">
        <v>46321</v>
      </c>
      <c r="C682" s="37" t="n">
        <v>11</v>
      </c>
      <c r="D682" s="37" t="s">
        <v>38</v>
      </c>
      <c r="E682" s="37" t="s">
        <v>48</v>
      </c>
      <c r="F682" s="37" t="s">
        <v>23</v>
      </c>
      <c r="G682" s="39" t="b">
        <f aca="false">TRUE()</f>
        <v>1</v>
      </c>
      <c r="H682" s="37" t="n">
        <v>1303.98</v>
      </c>
      <c r="I682" s="37" t="n">
        <v>4</v>
      </c>
      <c r="J682" s="37" t="n">
        <v>40</v>
      </c>
      <c r="K682" s="37" t="n">
        <v>0</v>
      </c>
      <c r="L682" s="37" t="str">
        <f aca="false">IF(C682="","",IF(C682&lt;=5,"Night (00-05)",IF(C682&lt;=11,"Morning (06-11)",IF(C682&lt;=16,"Afternoon (12-16)",IF(C682&lt;=20,"Evening (17-20)","Late (21-23)")))))</f>
        <v>Morning (06-11)</v>
      </c>
    </row>
    <row r="683" customFormat="false" ht="15" hidden="false" customHeight="false" outlineLevel="0" collapsed="false">
      <c r="A683" s="37" t="s">
        <v>788</v>
      </c>
      <c r="B683" s="38" t="n">
        <v>46321</v>
      </c>
      <c r="C683" s="37" t="n">
        <v>0</v>
      </c>
      <c r="D683" s="37" t="s">
        <v>38</v>
      </c>
      <c r="E683" s="37" t="s">
        <v>46</v>
      </c>
      <c r="F683" s="37" t="s">
        <v>23</v>
      </c>
      <c r="G683" s="39" t="b">
        <f aca="false">TRUE()</f>
        <v>1</v>
      </c>
      <c r="H683" s="37" t="n">
        <v>958.45</v>
      </c>
      <c r="I683" s="37" t="n">
        <v>5</v>
      </c>
      <c r="J683" s="37" t="n">
        <v>46</v>
      </c>
      <c r="K683" s="37" t="n">
        <v>0</v>
      </c>
      <c r="L683" s="37" t="str">
        <f aca="false">IF(C683="","",IF(C683&lt;=5,"Night (00-05)",IF(C683&lt;=11,"Morning (06-11)",IF(C683&lt;=16,"Afternoon (12-16)",IF(C683&lt;=20,"Evening (17-20)","Late (21-23)")))))</f>
        <v>Night (00-05)</v>
      </c>
    </row>
    <row r="684" customFormat="false" ht="15" hidden="false" customHeight="false" outlineLevel="0" collapsed="false">
      <c r="A684" s="37" t="s">
        <v>789</v>
      </c>
      <c r="B684" s="38" t="n">
        <v>46319</v>
      </c>
      <c r="C684" s="37" t="n">
        <v>3</v>
      </c>
      <c r="D684" s="37" t="s">
        <v>39</v>
      </c>
      <c r="E684" s="37" t="s">
        <v>47</v>
      </c>
      <c r="F684" s="37" t="s">
        <v>23</v>
      </c>
      <c r="G684" s="39" t="b">
        <f aca="false">TRUE()</f>
        <v>1</v>
      </c>
      <c r="H684" s="37" t="n">
        <v>655.2</v>
      </c>
      <c r="I684" s="37" t="n">
        <v>4</v>
      </c>
      <c r="J684" s="37" t="n">
        <v>49</v>
      </c>
      <c r="K684" s="37" t="n">
        <v>0</v>
      </c>
      <c r="L684" s="37" t="str">
        <f aca="false">IF(C684="","",IF(C684&lt;=5,"Night (00-05)",IF(C684&lt;=11,"Morning (06-11)",IF(C684&lt;=16,"Afternoon (12-16)",IF(C684&lt;=20,"Evening (17-20)","Late (21-23)")))))</f>
        <v>Night (00-05)</v>
      </c>
    </row>
    <row r="685" customFormat="false" ht="15" hidden="false" customHeight="false" outlineLevel="0" collapsed="false">
      <c r="A685" s="37" t="s">
        <v>790</v>
      </c>
      <c r="B685" s="38" t="n">
        <v>46317</v>
      </c>
      <c r="C685" s="37" t="n">
        <v>16</v>
      </c>
      <c r="D685" s="37" t="s">
        <v>40</v>
      </c>
      <c r="E685" s="37" t="s">
        <v>46</v>
      </c>
      <c r="F685" s="37" t="s">
        <v>23</v>
      </c>
      <c r="G685" s="39" t="b">
        <f aca="false">TRUE()</f>
        <v>1</v>
      </c>
      <c r="H685" s="37" t="n">
        <v>660.77</v>
      </c>
      <c r="I685" s="37" t="n">
        <v>4</v>
      </c>
      <c r="J685" s="37" t="n">
        <v>23</v>
      </c>
      <c r="K685" s="37" t="n">
        <v>0</v>
      </c>
      <c r="L685" s="37" t="str">
        <f aca="false">IF(C685="","",IF(C685&lt;=5,"Night (00-05)",IF(C685&lt;=11,"Morning (06-11)",IF(C685&lt;=16,"Afternoon (12-16)",IF(C685&lt;=20,"Evening (17-20)","Late (21-23)")))))</f>
        <v>Afternoon (12-16)</v>
      </c>
    </row>
    <row r="686" customFormat="false" ht="15" hidden="false" customHeight="false" outlineLevel="0" collapsed="false">
      <c r="A686" s="37" t="s">
        <v>791</v>
      </c>
      <c r="B686" s="38" t="n">
        <v>46316</v>
      </c>
      <c r="C686" s="37" t="n">
        <v>3</v>
      </c>
      <c r="D686" s="37" t="s">
        <v>37</v>
      </c>
      <c r="E686" s="37" t="s">
        <v>46</v>
      </c>
      <c r="F686" s="37" t="s">
        <v>23</v>
      </c>
      <c r="G686" s="39" t="b">
        <f aca="false">TRUE()</f>
        <v>1</v>
      </c>
      <c r="H686" s="37" t="n">
        <v>508.93</v>
      </c>
      <c r="I686" s="37" t="n">
        <v>3</v>
      </c>
      <c r="J686" s="37" t="n">
        <v>95</v>
      </c>
      <c r="K686" s="37" t="n">
        <v>1</v>
      </c>
      <c r="L686" s="37" t="str">
        <f aca="false">IF(C686="","",IF(C686&lt;=5,"Night (00-05)",IF(C686&lt;=11,"Morning (06-11)",IF(C686&lt;=16,"Afternoon (12-16)",IF(C686&lt;=20,"Evening (17-20)","Late (21-23)")))))</f>
        <v>Night (00-05)</v>
      </c>
    </row>
    <row r="687" customFormat="false" ht="15" hidden="false" customHeight="false" outlineLevel="0" collapsed="false">
      <c r="A687" s="37" t="s">
        <v>792</v>
      </c>
      <c r="B687" s="38" t="n">
        <v>46320</v>
      </c>
      <c r="C687" s="37" t="n">
        <v>3</v>
      </c>
      <c r="D687" s="37" t="s">
        <v>37</v>
      </c>
      <c r="E687" s="37" t="s">
        <v>47</v>
      </c>
      <c r="F687" s="37" t="s">
        <v>23</v>
      </c>
      <c r="G687" s="39" t="b">
        <f aca="false">TRUE()</f>
        <v>1</v>
      </c>
      <c r="H687" s="37" t="n">
        <v>604.85</v>
      </c>
      <c r="I687" s="37" t="n">
        <v>5</v>
      </c>
      <c r="J687" s="37" t="n">
        <v>33</v>
      </c>
      <c r="K687" s="37" t="n">
        <v>0</v>
      </c>
      <c r="L687" s="37" t="str">
        <f aca="false">IF(C687="","",IF(C687&lt;=5,"Night (00-05)",IF(C687&lt;=11,"Morning (06-11)",IF(C687&lt;=16,"Afternoon (12-16)",IF(C687&lt;=20,"Evening (17-20)","Late (21-23)")))))</f>
        <v>Night (00-05)</v>
      </c>
    </row>
    <row r="688" customFormat="false" ht="15" hidden="false" customHeight="false" outlineLevel="0" collapsed="false">
      <c r="A688" s="37" t="s">
        <v>793</v>
      </c>
      <c r="B688" s="38" t="n">
        <v>46321</v>
      </c>
      <c r="C688" s="37" t="n">
        <v>21</v>
      </c>
      <c r="D688" s="37" t="s">
        <v>39</v>
      </c>
      <c r="E688" s="37" t="s">
        <v>48</v>
      </c>
      <c r="F688" s="37" t="s">
        <v>23</v>
      </c>
      <c r="G688" s="39" t="b">
        <f aca="false">TRUE()</f>
        <v>1</v>
      </c>
      <c r="H688" s="37" t="n">
        <v>398.13</v>
      </c>
      <c r="I688" s="37" t="n">
        <v>5</v>
      </c>
      <c r="J688" s="37" t="n">
        <v>34</v>
      </c>
      <c r="K688" s="37" t="n">
        <v>0</v>
      </c>
      <c r="L688" s="37" t="str">
        <f aca="false">IF(C688="","",IF(C688&lt;=5,"Night (00-05)",IF(C688&lt;=11,"Morning (06-11)",IF(C688&lt;=16,"Afternoon (12-16)",IF(C688&lt;=20,"Evening (17-20)","Late (21-23)")))))</f>
        <v>Late (21-23)</v>
      </c>
    </row>
    <row r="689" customFormat="false" ht="15" hidden="false" customHeight="false" outlineLevel="0" collapsed="false">
      <c r="A689" s="37" t="s">
        <v>794</v>
      </c>
      <c r="B689" s="38" t="n">
        <v>46320</v>
      </c>
      <c r="C689" s="37" t="n">
        <v>4</v>
      </c>
      <c r="D689" s="37" t="s">
        <v>38</v>
      </c>
      <c r="E689" s="37" t="s">
        <v>49</v>
      </c>
      <c r="F689" s="37" t="s">
        <v>23</v>
      </c>
      <c r="G689" s="39" t="b">
        <f aca="false">TRUE()</f>
        <v>1</v>
      </c>
      <c r="H689" s="37" t="n">
        <v>1485.13</v>
      </c>
      <c r="I689" s="37" t="n">
        <v>5</v>
      </c>
      <c r="J689" s="37" t="n">
        <v>50</v>
      </c>
      <c r="K689" s="37" t="n">
        <v>0</v>
      </c>
      <c r="L689" s="37" t="str">
        <f aca="false">IF(C689="","",IF(C689&lt;=5,"Night (00-05)",IF(C689&lt;=11,"Morning (06-11)",IF(C689&lt;=16,"Afternoon (12-16)",IF(C689&lt;=20,"Evening (17-20)","Late (21-23)")))))</f>
        <v>Night (00-05)</v>
      </c>
    </row>
    <row r="690" customFormat="false" ht="15" hidden="false" customHeight="false" outlineLevel="0" collapsed="false">
      <c r="A690" s="37" t="s">
        <v>795</v>
      </c>
      <c r="B690" s="38" t="n">
        <v>46319</v>
      </c>
      <c r="C690" s="37" t="n">
        <v>11</v>
      </c>
      <c r="D690" s="37" t="s">
        <v>39</v>
      </c>
      <c r="E690" s="37" t="s">
        <v>47</v>
      </c>
      <c r="F690" s="37" t="s">
        <v>23</v>
      </c>
      <c r="G690" s="39" t="b">
        <f aca="false">TRUE()</f>
        <v>1</v>
      </c>
      <c r="H690" s="37" t="n">
        <v>479.98</v>
      </c>
      <c r="I690" s="37" t="n">
        <v>5</v>
      </c>
      <c r="J690" s="37" t="n">
        <v>55</v>
      </c>
      <c r="K690" s="37" t="n">
        <v>0</v>
      </c>
      <c r="L690" s="37" t="str">
        <f aca="false">IF(C690="","",IF(C690&lt;=5,"Night (00-05)",IF(C690&lt;=11,"Morning (06-11)",IF(C690&lt;=16,"Afternoon (12-16)",IF(C690&lt;=20,"Evening (17-20)","Late (21-23)")))))</f>
        <v>Morning (06-11)</v>
      </c>
    </row>
    <row r="691" customFormat="false" ht="15" hidden="false" customHeight="false" outlineLevel="0" collapsed="false">
      <c r="A691" s="37" t="s">
        <v>796</v>
      </c>
      <c r="B691" s="38" t="n">
        <v>46321</v>
      </c>
      <c r="C691" s="37" t="n">
        <v>1</v>
      </c>
      <c r="D691" s="37" t="s">
        <v>40</v>
      </c>
      <c r="E691" s="37" t="s">
        <v>46</v>
      </c>
      <c r="F691" s="37" t="s">
        <v>129</v>
      </c>
      <c r="G691" s="39" t="b">
        <f aca="false">FALSE()</f>
        <v>0</v>
      </c>
      <c r="H691" s="37" t="n">
        <v>690.25</v>
      </c>
      <c r="K691" s="37" t="n">
        <v>0</v>
      </c>
      <c r="L691" s="37" t="str">
        <f aca="false">IF(C691="","",IF(C691&lt;=5,"Night (00-05)",IF(C691&lt;=11,"Morning (06-11)",IF(C691&lt;=16,"Afternoon (12-16)",IF(C691&lt;=20,"Evening (17-20)","Late (21-23)")))))</f>
        <v>Night (00-05)</v>
      </c>
    </row>
    <row r="692" customFormat="false" ht="15" hidden="false" customHeight="false" outlineLevel="0" collapsed="false">
      <c r="A692" s="37" t="s">
        <v>797</v>
      </c>
      <c r="B692" s="38" t="n">
        <v>46315</v>
      </c>
      <c r="C692" s="37" t="n">
        <v>21</v>
      </c>
      <c r="D692" s="37" t="s">
        <v>39</v>
      </c>
      <c r="E692" s="37" t="s">
        <v>47</v>
      </c>
      <c r="F692" s="37" t="s">
        <v>23</v>
      </c>
      <c r="G692" s="39" t="b">
        <f aca="false">TRUE()</f>
        <v>1</v>
      </c>
      <c r="H692" s="37" t="n">
        <v>689.57</v>
      </c>
      <c r="I692" s="37" t="n">
        <v>5</v>
      </c>
      <c r="J692" s="37" t="n">
        <v>28</v>
      </c>
      <c r="K692" s="37" t="n">
        <v>0</v>
      </c>
      <c r="L692" s="37" t="str">
        <f aca="false">IF(C692="","",IF(C692&lt;=5,"Night (00-05)",IF(C692&lt;=11,"Morning (06-11)",IF(C692&lt;=16,"Afternoon (12-16)",IF(C692&lt;=20,"Evening (17-20)","Late (21-23)")))))</f>
        <v>Late (21-23)</v>
      </c>
    </row>
    <row r="693" customFormat="false" ht="15" hidden="false" customHeight="false" outlineLevel="0" collapsed="false">
      <c r="A693" s="37" t="s">
        <v>798</v>
      </c>
      <c r="B693" s="38" t="n">
        <v>46318</v>
      </c>
      <c r="C693" s="37" t="n">
        <v>16</v>
      </c>
      <c r="D693" s="37" t="s">
        <v>39</v>
      </c>
      <c r="E693" s="37" t="s">
        <v>47</v>
      </c>
      <c r="F693" s="37" t="s">
        <v>23</v>
      </c>
      <c r="G693" s="39" t="b">
        <f aca="false">TRUE()</f>
        <v>1</v>
      </c>
      <c r="H693" s="37" t="n">
        <v>643.15</v>
      </c>
      <c r="I693" s="37" t="n">
        <v>4</v>
      </c>
      <c r="J693" s="37" t="n">
        <v>41</v>
      </c>
      <c r="K693" s="37" t="n">
        <v>0</v>
      </c>
      <c r="L693" s="37" t="str">
        <f aca="false">IF(C693="","",IF(C693&lt;=5,"Night (00-05)",IF(C693&lt;=11,"Morning (06-11)",IF(C693&lt;=16,"Afternoon (12-16)",IF(C693&lt;=20,"Evening (17-20)","Late (21-23)")))))</f>
        <v>Afternoon (12-16)</v>
      </c>
    </row>
    <row r="694" customFormat="false" ht="15" hidden="false" customHeight="false" outlineLevel="0" collapsed="false">
      <c r="A694" s="37" t="s">
        <v>799</v>
      </c>
      <c r="B694" s="38" t="n">
        <v>46317</v>
      </c>
      <c r="C694" s="37" t="n">
        <v>20</v>
      </c>
      <c r="D694" s="37" t="s">
        <v>37</v>
      </c>
      <c r="E694" s="37" t="s">
        <v>47</v>
      </c>
      <c r="F694" s="37" t="s">
        <v>23</v>
      </c>
      <c r="G694" s="39" t="b">
        <f aca="false">TRUE()</f>
        <v>1</v>
      </c>
      <c r="H694" s="37" t="n">
        <v>709.23</v>
      </c>
      <c r="I694" s="37" t="n">
        <v>4</v>
      </c>
      <c r="J694" s="37" t="n">
        <v>23</v>
      </c>
      <c r="K694" s="37" t="n">
        <v>0</v>
      </c>
      <c r="L694" s="37" t="str">
        <f aca="false">IF(C694="","",IF(C694&lt;=5,"Night (00-05)",IF(C694&lt;=11,"Morning (06-11)",IF(C694&lt;=16,"Afternoon (12-16)",IF(C694&lt;=20,"Evening (17-20)","Late (21-23)")))))</f>
        <v>Evening (17-20)</v>
      </c>
    </row>
    <row r="695" customFormat="false" ht="15" hidden="false" customHeight="false" outlineLevel="0" collapsed="false">
      <c r="A695" s="37" t="s">
        <v>800</v>
      </c>
      <c r="B695" s="38" t="n">
        <v>46320</v>
      </c>
      <c r="C695" s="37" t="n">
        <v>19</v>
      </c>
      <c r="D695" s="37" t="s">
        <v>39</v>
      </c>
      <c r="E695" s="37" t="s">
        <v>46</v>
      </c>
      <c r="F695" s="37" t="s">
        <v>23</v>
      </c>
      <c r="G695" s="39" t="b">
        <f aca="false">TRUE()</f>
        <v>1</v>
      </c>
      <c r="H695" s="37" t="n">
        <v>485.14</v>
      </c>
      <c r="I695" s="37" t="n">
        <v>4</v>
      </c>
      <c r="J695" s="37" t="n">
        <v>43</v>
      </c>
      <c r="K695" s="37" t="n">
        <v>0</v>
      </c>
      <c r="L695" s="37" t="str">
        <f aca="false">IF(C695="","",IF(C695&lt;=5,"Night (00-05)",IF(C695&lt;=11,"Morning (06-11)",IF(C695&lt;=16,"Afternoon (12-16)",IF(C695&lt;=20,"Evening (17-20)","Late (21-23)")))))</f>
        <v>Evening (17-20)</v>
      </c>
    </row>
    <row r="696" customFormat="false" ht="15" hidden="false" customHeight="false" outlineLevel="0" collapsed="false">
      <c r="A696" s="37" t="s">
        <v>801</v>
      </c>
      <c r="B696" s="38" t="n">
        <v>46320</v>
      </c>
      <c r="C696" s="37" t="n">
        <v>1</v>
      </c>
      <c r="D696" s="37" t="s">
        <v>37</v>
      </c>
      <c r="E696" s="37" t="s">
        <v>48</v>
      </c>
      <c r="F696" s="37" t="s">
        <v>23</v>
      </c>
      <c r="G696" s="39" t="b">
        <f aca="false">TRUE()</f>
        <v>1</v>
      </c>
      <c r="H696" s="37" t="n">
        <v>889.63</v>
      </c>
      <c r="I696" s="37" t="n">
        <v>5</v>
      </c>
      <c r="J696" s="37" t="n">
        <v>27</v>
      </c>
      <c r="K696" s="37" t="n">
        <v>0</v>
      </c>
      <c r="L696" s="37" t="str">
        <f aca="false">IF(C696="","",IF(C696&lt;=5,"Night (00-05)",IF(C696&lt;=11,"Morning (06-11)",IF(C696&lt;=16,"Afternoon (12-16)",IF(C696&lt;=20,"Evening (17-20)","Late (21-23)")))))</f>
        <v>Night (00-05)</v>
      </c>
    </row>
    <row r="697" customFormat="false" ht="15" hidden="false" customHeight="false" outlineLevel="0" collapsed="false">
      <c r="A697" s="37" t="s">
        <v>802</v>
      </c>
      <c r="B697" s="38" t="n">
        <v>46321</v>
      </c>
      <c r="C697" s="37" t="n">
        <v>4</v>
      </c>
      <c r="D697" s="37" t="s">
        <v>37</v>
      </c>
      <c r="E697" s="37" t="s">
        <v>48</v>
      </c>
      <c r="F697" s="37" t="s">
        <v>113</v>
      </c>
      <c r="G697" s="39" t="b">
        <f aca="false">TRUE()</f>
        <v>1</v>
      </c>
      <c r="H697" s="37" t="n">
        <v>559.23</v>
      </c>
      <c r="K697" s="37" t="n">
        <v>0</v>
      </c>
      <c r="L697" s="37" t="str">
        <f aca="false">IF(C697="","",IF(C697&lt;=5,"Night (00-05)",IF(C697&lt;=11,"Morning (06-11)",IF(C697&lt;=16,"Afternoon (12-16)",IF(C697&lt;=20,"Evening (17-20)","Late (21-23)")))))</f>
        <v>Night (00-05)</v>
      </c>
    </row>
    <row r="698" customFormat="false" ht="15" hidden="false" customHeight="false" outlineLevel="0" collapsed="false">
      <c r="A698" s="37" t="s">
        <v>803</v>
      </c>
      <c r="B698" s="38" t="n">
        <v>46320</v>
      </c>
      <c r="C698" s="37" t="n">
        <v>1</v>
      </c>
      <c r="D698" s="37" t="s">
        <v>38</v>
      </c>
      <c r="E698" s="37" t="s">
        <v>46</v>
      </c>
      <c r="F698" s="37" t="s">
        <v>23</v>
      </c>
      <c r="G698" s="39" t="b">
        <f aca="false">TRUE()</f>
        <v>1</v>
      </c>
      <c r="H698" s="37" t="n">
        <v>1040.66</v>
      </c>
      <c r="I698" s="37" t="n">
        <v>5</v>
      </c>
      <c r="J698" s="37" t="n">
        <v>53</v>
      </c>
      <c r="K698" s="37" t="n">
        <v>0</v>
      </c>
      <c r="L698" s="37" t="str">
        <f aca="false">IF(C698="","",IF(C698&lt;=5,"Night (00-05)",IF(C698&lt;=11,"Morning (06-11)",IF(C698&lt;=16,"Afternoon (12-16)",IF(C698&lt;=20,"Evening (17-20)","Late (21-23)")))))</f>
        <v>Night (00-05)</v>
      </c>
    </row>
    <row r="699" customFormat="false" ht="15" hidden="false" customHeight="false" outlineLevel="0" collapsed="false">
      <c r="A699" s="37" t="s">
        <v>804</v>
      </c>
      <c r="B699" s="38" t="n">
        <v>46319</v>
      </c>
      <c r="C699" s="37" t="n">
        <v>1</v>
      </c>
      <c r="D699" s="37" t="s">
        <v>40</v>
      </c>
      <c r="E699" s="37" t="s">
        <v>49</v>
      </c>
      <c r="F699" s="37" t="s">
        <v>23</v>
      </c>
      <c r="G699" s="39" t="b">
        <f aca="false">TRUE()</f>
        <v>1</v>
      </c>
      <c r="H699" s="37" t="n">
        <v>995.76</v>
      </c>
      <c r="I699" s="37" t="n">
        <v>4</v>
      </c>
      <c r="J699" s="37" t="n">
        <v>24</v>
      </c>
      <c r="K699" s="37" t="n">
        <v>0</v>
      </c>
      <c r="L699" s="37" t="str">
        <f aca="false">IF(C699="","",IF(C699&lt;=5,"Night (00-05)",IF(C699&lt;=11,"Morning (06-11)",IF(C699&lt;=16,"Afternoon (12-16)",IF(C699&lt;=20,"Evening (17-20)","Late (21-23)")))))</f>
        <v>Night (00-05)</v>
      </c>
    </row>
    <row r="700" customFormat="false" ht="15" hidden="false" customHeight="false" outlineLevel="0" collapsed="false">
      <c r="A700" s="37" t="s">
        <v>805</v>
      </c>
      <c r="B700" s="38" t="n">
        <v>46318</v>
      </c>
      <c r="C700" s="37" t="n">
        <v>15</v>
      </c>
      <c r="D700" s="37" t="s">
        <v>37</v>
      </c>
      <c r="E700" s="37" t="s">
        <v>46</v>
      </c>
      <c r="F700" s="37" t="s">
        <v>23</v>
      </c>
      <c r="G700" s="39" t="b">
        <f aca="false">TRUE()</f>
        <v>1</v>
      </c>
      <c r="H700" s="37" t="n">
        <v>878.13</v>
      </c>
      <c r="I700" s="37" t="n">
        <v>4</v>
      </c>
      <c r="J700" s="37" t="n">
        <v>30</v>
      </c>
      <c r="K700" s="37" t="n">
        <v>0</v>
      </c>
      <c r="L700" s="37" t="str">
        <f aca="false">IF(C700="","",IF(C700&lt;=5,"Night (00-05)",IF(C700&lt;=11,"Morning (06-11)",IF(C700&lt;=16,"Afternoon (12-16)",IF(C700&lt;=20,"Evening (17-20)","Late (21-23)")))))</f>
        <v>Afternoon (12-16)</v>
      </c>
    </row>
    <row r="701" customFormat="false" ht="15" hidden="false" customHeight="false" outlineLevel="0" collapsed="false">
      <c r="A701" s="37" t="s">
        <v>806</v>
      </c>
      <c r="B701" s="38" t="n">
        <v>46320</v>
      </c>
      <c r="C701" s="37" t="n">
        <v>16</v>
      </c>
      <c r="D701" s="37" t="s">
        <v>37</v>
      </c>
      <c r="E701" s="37" t="s">
        <v>47</v>
      </c>
      <c r="F701" s="37" t="s">
        <v>129</v>
      </c>
      <c r="G701" s="39" t="b">
        <f aca="false">FALSE()</f>
        <v>0</v>
      </c>
      <c r="H701" s="37" t="n">
        <v>545.58</v>
      </c>
      <c r="K701" s="37" t="n">
        <v>0</v>
      </c>
      <c r="L701" s="37" t="str">
        <f aca="false">IF(C701="","",IF(C701&lt;=5,"Night (00-05)",IF(C701&lt;=11,"Morning (06-11)",IF(C701&lt;=16,"Afternoon (12-16)",IF(C701&lt;=20,"Evening (17-20)","Late (21-23)")))))</f>
        <v>Afternoon (12-16)</v>
      </c>
    </row>
    <row r="702" customFormat="false" ht="15" hidden="false" customHeight="false" outlineLevel="0" collapsed="false">
      <c r="A702" s="37" t="s">
        <v>807</v>
      </c>
      <c r="B702" s="38" t="n">
        <v>46320</v>
      </c>
      <c r="C702" s="37" t="n">
        <v>4</v>
      </c>
      <c r="D702" s="37" t="s">
        <v>39</v>
      </c>
      <c r="E702" s="37" t="s">
        <v>49</v>
      </c>
      <c r="F702" s="37" t="s">
        <v>23</v>
      </c>
      <c r="G702" s="39" t="b">
        <f aca="false">TRUE()</f>
        <v>1</v>
      </c>
      <c r="H702" s="37" t="n">
        <v>594.08</v>
      </c>
      <c r="I702" s="37" t="n">
        <v>3</v>
      </c>
      <c r="J702" s="37" t="n">
        <v>32</v>
      </c>
      <c r="K702" s="37" t="n">
        <v>0</v>
      </c>
      <c r="L702" s="37" t="str">
        <f aca="false">IF(C702="","",IF(C702&lt;=5,"Night (00-05)",IF(C702&lt;=11,"Morning (06-11)",IF(C702&lt;=16,"Afternoon (12-16)",IF(C702&lt;=20,"Evening (17-20)","Late (21-23)")))))</f>
        <v>Night (00-05)</v>
      </c>
    </row>
    <row r="703" customFormat="false" ht="15" hidden="false" customHeight="false" outlineLevel="0" collapsed="false">
      <c r="A703" s="37" t="s">
        <v>808</v>
      </c>
      <c r="B703" s="38" t="n">
        <v>46322</v>
      </c>
      <c r="C703" s="37" t="n">
        <v>2</v>
      </c>
      <c r="D703" s="37" t="s">
        <v>40</v>
      </c>
      <c r="E703" s="37" t="s">
        <v>49</v>
      </c>
      <c r="F703" s="37" t="s">
        <v>23</v>
      </c>
      <c r="G703" s="39" t="b">
        <f aca="false">TRUE()</f>
        <v>1</v>
      </c>
      <c r="H703" s="37" t="n">
        <v>961.96</v>
      </c>
      <c r="I703" s="37" t="n">
        <v>4</v>
      </c>
      <c r="J703" s="37" t="n">
        <v>40</v>
      </c>
      <c r="K703" s="37" t="n">
        <v>0</v>
      </c>
      <c r="L703" s="37" t="str">
        <f aca="false">IF(C703="","",IF(C703&lt;=5,"Night (00-05)",IF(C703&lt;=11,"Morning (06-11)",IF(C703&lt;=16,"Afternoon (12-16)",IF(C703&lt;=20,"Evening (17-20)","Late (21-23)")))))</f>
        <v>Night (00-05)</v>
      </c>
    </row>
    <row r="704" customFormat="false" ht="15" hidden="false" customHeight="false" outlineLevel="0" collapsed="false">
      <c r="A704" s="37" t="s">
        <v>809</v>
      </c>
      <c r="B704" s="38" t="n">
        <v>46321</v>
      </c>
      <c r="C704" s="37" t="n">
        <v>1</v>
      </c>
      <c r="D704" s="37" t="s">
        <v>39</v>
      </c>
      <c r="E704" s="37" t="s">
        <v>49</v>
      </c>
      <c r="F704" s="37" t="s">
        <v>23</v>
      </c>
      <c r="G704" s="39" t="b">
        <f aca="false">TRUE()</f>
        <v>1</v>
      </c>
      <c r="H704" s="37" t="n">
        <v>420.63</v>
      </c>
      <c r="I704" s="37" t="n">
        <v>4</v>
      </c>
      <c r="J704" s="37" t="n">
        <v>39</v>
      </c>
      <c r="K704" s="37" t="n">
        <v>0</v>
      </c>
      <c r="L704" s="37" t="str">
        <f aca="false">IF(C704="","",IF(C704&lt;=5,"Night (00-05)",IF(C704&lt;=11,"Morning (06-11)",IF(C704&lt;=16,"Afternoon (12-16)",IF(C704&lt;=20,"Evening (17-20)","Late (21-23)")))))</f>
        <v>Night (00-05)</v>
      </c>
    </row>
    <row r="705" customFormat="false" ht="15" hidden="false" customHeight="false" outlineLevel="0" collapsed="false">
      <c r="A705" s="37" t="s">
        <v>810</v>
      </c>
      <c r="B705" s="38" t="n">
        <v>46317</v>
      </c>
      <c r="C705" s="37" t="n">
        <v>17</v>
      </c>
      <c r="D705" s="37" t="s">
        <v>38</v>
      </c>
      <c r="E705" s="37" t="s">
        <v>48</v>
      </c>
      <c r="F705" s="37" t="s">
        <v>23</v>
      </c>
      <c r="G705" s="39" t="b">
        <f aca="false">TRUE()</f>
        <v>1</v>
      </c>
      <c r="H705" s="37" t="n">
        <v>1046.18</v>
      </c>
      <c r="I705" s="37" t="n">
        <v>5</v>
      </c>
      <c r="J705" s="37" t="n">
        <v>30</v>
      </c>
      <c r="K705" s="37" t="n">
        <v>0</v>
      </c>
      <c r="L705" s="37" t="str">
        <f aca="false">IF(C705="","",IF(C705&lt;=5,"Night (00-05)",IF(C705&lt;=11,"Morning (06-11)",IF(C705&lt;=16,"Afternoon (12-16)",IF(C705&lt;=20,"Evening (17-20)","Late (21-23)")))))</f>
        <v>Evening (17-20)</v>
      </c>
    </row>
    <row r="706" customFormat="false" ht="15" hidden="false" customHeight="false" outlineLevel="0" collapsed="false">
      <c r="A706" s="37" t="s">
        <v>811</v>
      </c>
      <c r="B706" s="38" t="n">
        <v>46317</v>
      </c>
      <c r="C706" s="37" t="n">
        <v>1</v>
      </c>
      <c r="D706" s="37" t="s">
        <v>37</v>
      </c>
      <c r="E706" s="37" t="s">
        <v>48</v>
      </c>
      <c r="F706" s="37" t="s">
        <v>23</v>
      </c>
      <c r="G706" s="39" t="b">
        <f aca="false">TRUE()</f>
        <v>1</v>
      </c>
      <c r="H706" s="37" t="n">
        <v>479.63</v>
      </c>
      <c r="I706" s="37" t="n">
        <v>5</v>
      </c>
      <c r="J706" s="37" t="n">
        <v>40</v>
      </c>
      <c r="K706" s="37" t="n">
        <v>0</v>
      </c>
      <c r="L706" s="37" t="str">
        <f aca="false">IF(C706="","",IF(C706&lt;=5,"Night (00-05)",IF(C706&lt;=11,"Morning (06-11)",IF(C706&lt;=16,"Afternoon (12-16)",IF(C706&lt;=20,"Evening (17-20)","Late (21-23)")))))</f>
        <v>Night (00-05)</v>
      </c>
    </row>
    <row r="707" customFormat="false" ht="15" hidden="false" customHeight="false" outlineLevel="0" collapsed="false">
      <c r="A707" s="37" t="s">
        <v>812</v>
      </c>
      <c r="B707" s="38" t="n">
        <v>46318</v>
      </c>
      <c r="C707" s="37" t="n">
        <v>17</v>
      </c>
      <c r="D707" s="37" t="s">
        <v>38</v>
      </c>
      <c r="E707" s="37" t="s">
        <v>46</v>
      </c>
      <c r="F707" s="37" t="s">
        <v>23</v>
      </c>
      <c r="G707" s="39" t="b">
        <f aca="false">TRUE()</f>
        <v>1</v>
      </c>
      <c r="H707" s="37" t="n">
        <v>1483.62</v>
      </c>
      <c r="I707" s="37" t="n">
        <v>4</v>
      </c>
      <c r="J707" s="37" t="n">
        <v>48</v>
      </c>
      <c r="K707" s="37" t="n">
        <v>0</v>
      </c>
      <c r="L707" s="37" t="str">
        <f aca="false">IF(C707="","",IF(C707&lt;=5,"Night (00-05)",IF(C707&lt;=11,"Morning (06-11)",IF(C707&lt;=16,"Afternoon (12-16)",IF(C707&lt;=20,"Evening (17-20)","Late (21-23)")))))</f>
        <v>Evening (17-20)</v>
      </c>
    </row>
    <row r="708" customFormat="false" ht="15" hidden="false" customHeight="false" outlineLevel="0" collapsed="false">
      <c r="A708" s="37" t="s">
        <v>813</v>
      </c>
      <c r="B708" s="38" t="n">
        <v>46316</v>
      </c>
      <c r="C708" s="37" t="n">
        <v>22</v>
      </c>
      <c r="D708" s="37" t="s">
        <v>38</v>
      </c>
      <c r="E708" s="37" t="s">
        <v>49</v>
      </c>
      <c r="F708" s="37" t="s">
        <v>23</v>
      </c>
      <c r="G708" s="39" t="b">
        <f aca="false">TRUE()</f>
        <v>1</v>
      </c>
      <c r="H708" s="37" t="n">
        <v>1450.75</v>
      </c>
      <c r="I708" s="37" t="n">
        <v>5</v>
      </c>
      <c r="J708" s="37" t="n">
        <v>49</v>
      </c>
      <c r="K708" s="37" t="n">
        <v>0</v>
      </c>
      <c r="L708" s="37" t="str">
        <f aca="false">IF(C708="","",IF(C708&lt;=5,"Night (00-05)",IF(C708&lt;=11,"Morning (06-11)",IF(C708&lt;=16,"Afternoon (12-16)",IF(C708&lt;=20,"Evening (17-20)","Late (21-23)")))))</f>
        <v>Late (21-23)</v>
      </c>
    </row>
    <row r="709" customFormat="false" ht="15" hidden="false" customHeight="false" outlineLevel="0" collapsed="false">
      <c r="A709" s="37" t="s">
        <v>814</v>
      </c>
      <c r="B709" s="38" t="n">
        <v>46316</v>
      </c>
      <c r="C709" s="37" t="n">
        <v>8</v>
      </c>
      <c r="D709" s="37" t="s">
        <v>40</v>
      </c>
      <c r="E709" s="37" t="s">
        <v>46</v>
      </c>
      <c r="F709" s="37" t="s">
        <v>23</v>
      </c>
      <c r="G709" s="39" t="b">
        <f aca="false">TRUE()</f>
        <v>1</v>
      </c>
      <c r="H709" s="37" t="n">
        <v>878.13</v>
      </c>
      <c r="I709" s="37" t="n">
        <v>5</v>
      </c>
      <c r="J709" s="37" t="n">
        <v>29</v>
      </c>
      <c r="K709" s="37" t="n">
        <v>0</v>
      </c>
      <c r="L709" s="37" t="str">
        <f aca="false">IF(C709="","",IF(C709&lt;=5,"Night (00-05)",IF(C709&lt;=11,"Morning (06-11)",IF(C709&lt;=16,"Afternoon (12-16)",IF(C709&lt;=20,"Evening (17-20)","Late (21-23)")))))</f>
        <v>Morning (06-11)</v>
      </c>
    </row>
    <row r="710" customFormat="false" ht="15" hidden="false" customHeight="false" outlineLevel="0" collapsed="false">
      <c r="A710" s="37" t="s">
        <v>815</v>
      </c>
      <c r="B710" s="38" t="n">
        <v>46321</v>
      </c>
      <c r="C710" s="37" t="n">
        <v>3</v>
      </c>
      <c r="D710" s="37" t="s">
        <v>38</v>
      </c>
      <c r="E710" s="37" t="s">
        <v>49</v>
      </c>
      <c r="F710" s="37" t="s">
        <v>23</v>
      </c>
      <c r="G710" s="39" t="b">
        <f aca="false">TRUE()</f>
        <v>1</v>
      </c>
      <c r="H710" s="37" t="n">
        <v>1429.12</v>
      </c>
      <c r="I710" s="37" t="n">
        <v>3</v>
      </c>
      <c r="J710" s="37" t="n">
        <v>55</v>
      </c>
      <c r="K710" s="37" t="n">
        <v>0</v>
      </c>
      <c r="L710" s="37" t="str">
        <f aca="false">IF(C710="","",IF(C710&lt;=5,"Night (00-05)",IF(C710&lt;=11,"Morning (06-11)",IF(C710&lt;=16,"Afternoon (12-16)",IF(C710&lt;=20,"Evening (17-20)","Late (21-23)")))))</f>
        <v>Night (00-05)</v>
      </c>
    </row>
    <row r="711" customFormat="false" ht="15" hidden="false" customHeight="false" outlineLevel="0" collapsed="false">
      <c r="A711" s="37" t="s">
        <v>816</v>
      </c>
      <c r="B711" s="38" t="n">
        <v>46315</v>
      </c>
      <c r="C711" s="37" t="n">
        <v>20</v>
      </c>
      <c r="D711" s="37" t="s">
        <v>39</v>
      </c>
      <c r="E711" s="37" t="s">
        <v>46</v>
      </c>
      <c r="F711" s="37" t="s">
        <v>23</v>
      </c>
      <c r="G711" s="39" t="b">
        <f aca="false">TRUE()</f>
        <v>1</v>
      </c>
      <c r="H711" s="37" t="n">
        <v>335.99</v>
      </c>
      <c r="I711" s="37" t="n">
        <v>5</v>
      </c>
      <c r="J711" s="37" t="n">
        <v>32</v>
      </c>
      <c r="K711" s="37" t="n">
        <v>0</v>
      </c>
      <c r="L711" s="37" t="str">
        <f aca="false">IF(C711="","",IF(C711&lt;=5,"Night (00-05)",IF(C711&lt;=11,"Morning (06-11)",IF(C711&lt;=16,"Afternoon (12-16)",IF(C711&lt;=20,"Evening (17-20)","Late (21-23)")))))</f>
        <v>Evening (17-20)</v>
      </c>
    </row>
    <row r="712" customFormat="false" ht="15" hidden="false" customHeight="false" outlineLevel="0" collapsed="false">
      <c r="A712" s="37" t="s">
        <v>817</v>
      </c>
      <c r="B712" s="38" t="n">
        <v>46317</v>
      </c>
      <c r="C712" s="37" t="n">
        <v>2</v>
      </c>
      <c r="D712" s="37" t="s">
        <v>37</v>
      </c>
      <c r="E712" s="37" t="s">
        <v>47</v>
      </c>
      <c r="F712" s="37" t="s">
        <v>23</v>
      </c>
      <c r="G712" s="39" t="b">
        <f aca="false">TRUE()</f>
        <v>1</v>
      </c>
      <c r="H712" s="37" t="n">
        <v>440.79</v>
      </c>
      <c r="I712" s="37" t="n">
        <v>5</v>
      </c>
      <c r="J712" s="37" t="n">
        <v>25</v>
      </c>
      <c r="K712" s="37" t="n">
        <v>0</v>
      </c>
      <c r="L712" s="37" t="str">
        <f aca="false">IF(C712="","",IF(C712&lt;=5,"Night (00-05)",IF(C712&lt;=11,"Morning (06-11)",IF(C712&lt;=16,"Afternoon (12-16)",IF(C712&lt;=20,"Evening (17-20)","Late (21-23)")))))</f>
        <v>Night (00-05)</v>
      </c>
    </row>
    <row r="713" customFormat="false" ht="15" hidden="false" customHeight="false" outlineLevel="0" collapsed="false">
      <c r="A713" s="37" t="s">
        <v>818</v>
      </c>
      <c r="B713" s="38" t="n">
        <v>46318</v>
      </c>
      <c r="C713" s="37" t="n">
        <v>16</v>
      </c>
      <c r="D713" s="37" t="s">
        <v>38</v>
      </c>
      <c r="E713" s="37" t="s">
        <v>46</v>
      </c>
      <c r="F713" s="37" t="s">
        <v>23</v>
      </c>
      <c r="G713" s="39" t="b">
        <f aca="false">TRUE()</f>
        <v>1</v>
      </c>
      <c r="H713" s="37" t="n">
        <v>1077.29</v>
      </c>
      <c r="I713" s="37" t="n">
        <v>4</v>
      </c>
      <c r="J713" s="37" t="n">
        <v>47</v>
      </c>
      <c r="K713" s="37" t="n">
        <v>0</v>
      </c>
      <c r="L713" s="37" t="str">
        <f aca="false">IF(C713="","",IF(C713&lt;=5,"Night (00-05)",IF(C713&lt;=11,"Morning (06-11)",IF(C713&lt;=16,"Afternoon (12-16)",IF(C713&lt;=20,"Evening (17-20)","Late (21-23)")))))</f>
        <v>Afternoon (12-16)</v>
      </c>
    </row>
    <row r="714" customFormat="false" ht="15" hidden="false" customHeight="false" outlineLevel="0" collapsed="false">
      <c r="A714" s="37" t="s">
        <v>819</v>
      </c>
      <c r="B714" s="38" t="n">
        <v>46317</v>
      </c>
      <c r="C714" s="37" t="n">
        <v>9</v>
      </c>
      <c r="D714" s="37" t="s">
        <v>40</v>
      </c>
      <c r="E714" s="37" t="s">
        <v>49</v>
      </c>
      <c r="F714" s="37" t="s">
        <v>23</v>
      </c>
      <c r="G714" s="39" t="b">
        <f aca="false">TRUE()</f>
        <v>1</v>
      </c>
      <c r="H714" s="37" t="n">
        <v>1198.44</v>
      </c>
      <c r="I714" s="37" t="n">
        <v>5</v>
      </c>
      <c r="J714" s="37" t="n">
        <v>48</v>
      </c>
      <c r="K714" s="37" t="n">
        <v>0</v>
      </c>
      <c r="L714" s="37" t="str">
        <f aca="false">IF(C714="","",IF(C714&lt;=5,"Night (00-05)",IF(C714&lt;=11,"Morning (06-11)",IF(C714&lt;=16,"Afternoon (12-16)",IF(C714&lt;=20,"Evening (17-20)","Late (21-23)")))))</f>
        <v>Morning (06-11)</v>
      </c>
    </row>
    <row r="715" customFormat="false" ht="15" hidden="false" customHeight="false" outlineLevel="0" collapsed="false">
      <c r="A715" s="37" t="s">
        <v>820</v>
      </c>
      <c r="B715" s="38" t="n">
        <v>46319</v>
      </c>
      <c r="C715" s="37" t="n">
        <v>2</v>
      </c>
      <c r="D715" s="37" t="s">
        <v>39</v>
      </c>
      <c r="E715" s="37" t="s">
        <v>49</v>
      </c>
      <c r="F715" s="37" t="s">
        <v>23</v>
      </c>
      <c r="G715" s="39" t="b">
        <f aca="false">TRUE()</f>
        <v>1</v>
      </c>
      <c r="H715" s="37" t="n">
        <v>354.83</v>
      </c>
      <c r="I715" s="37" t="n">
        <v>3</v>
      </c>
      <c r="J715" s="37" t="n">
        <v>25</v>
      </c>
      <c r="K715" s="37" t="n">
        <v>0</v>
      </c>
      <c r="L715" s="37" t="str">
        <f aca="false">IF(C715="","",IF(C715&lt;=5,"Night (00-05)",IF(C715&lt;=11,"Morning (06-11)",IF(C715&lt;=16,"Afternoon (12-16)",IF(C715&lt;=20,"Evening (17-20)","Late (21-23)")))))</f>
        <v>Night (00-05)</v>
      </c>
    </row>
    <row r="716" customFormat="false" ht="15" hidden="false" customHeight="false" outlineLevel="0" collapsed="false">
      <c r="A716" s="37" t="s">
        <v>821</v>
      </c>
      <c r="B716" s="38" t="n">
        <v>46317</v>
      </c>
      <c r="C716" s="37" t="n">
        <v>21</v>
      </c>
      <c r="D716" s="37" t="s">
        <v>40</v>
      </c>
      <c r="E716" s="37" t="s">
        <v>47</v>
      </c>
      <c r="F716" s="37" t="s">
        <v>23</v>
      </c>
      <c r="G716" s="39" t="b">
        <f aca="false">TRUE()</f>
        <v>1</v>
      </c>
      <c r="H716" s="37" t="n">
        <v>1245.52</v>
      </c>
      <c r="I716" s="37" t="n">
        <v>3</v>
      </c>
      <c r="J716" s="37" t="n">
        <v>44</v>
      </c>
      <c r="K716" s="37" t="n">
        <v>0</v>
      </c>
      <c r="L716" s="37" t="str">
        <f aca="false">IF(C716="","",IF(C716&lt;=5,"Night (00-05)",IF(C716&lt;=11,"Morning (06-11)",IF(C716&lt;=16,"Afternoon (12-16)",IF(C716&lt;=20,"Evening (17-20)","Late (21-23)")))))</f>
        <v>Late (21-23)</v>
      </c>
    </row>
    <row r="717" customFormat="false" ht="15" hidden="false" customHeight="false" outlineLevel="0" collapsed="false">
      <c r="A717" s="37" t="s">
        <v>822</v>
      </c>
      <c r="B717" s="38" t="n">
        <v>46319</v>
      </c>
      <c r="C717" s="37" t="n">
        <v>0</v>
      </c>
      <c r="D717" s="37" t="s">
        <v>37</v>
      </c>
      <c r="E717" s="37" t="s">
        <v>49</v>
      </c>
      <c r="F717" s="37" t="s">
        <v>23</v>
      </c>
      <c r="G717" s="39" t="b">
        <f aca="false">TRUE()</f>
        <v>1</v>
      </c>
      <c r="H717" s="37" t="n">
        <v>754.12</v>
      </c>
      <c r="I717" s="37" t="n">
        <v>4</v>
      </c>
      <c r="J717" s="37" t="n">
        <v>28</v>
      </c>
      <c r="K717" s="37" t="n">
        <v>0</v>
      </c>
      <c r="L717" s="37" t="str">
        <f aca="false">IF(C717="","",IF(C717&lt;=5,"Night (00-05)",IF(C717&lt;=11,"Morning (06-11)",IF(C717&lt;=16,"Afternoon (12-16)",IF(C717&lt;=20,"Evening (17-20)","Late (21-23)")))))</f>
        <v>Night (00-05)</v>
      </c>
    </row>
    <row r="718" customFormat="false" ht="15" hidden="false" customHeight="false" outlineLevel="0" collapsed="false">
      <c r="A718" s="37" t="s">
        <v>823</v>
      </c>
      <c r="B718" s="38" t="n">
        <v>46321</v>
      </c>
      <c r="C718" s="37" t="n">
        <v>19</v>
      </c>
      <c r="D718" s="37" t="s">
        <v>38</v>
      </c>
      <c r="E718" s="37" t="s">
        <v>46</v>
      </c>
      <c r="F718" s="37" t="s">
        <v>23</v>
      </c>
      <c r="G718" s="39" t="b">
        <f aca="false">TRUE()</f>
        <v>1</v>
      </c>
      <c r="H718" s="37" t="n">
        <v>1383.21</v>
      </c>
      <c r="I718" s="37" t="n">
        <v>5</v>
      </c>
      <c r="J718" s="37" t="n">
        <v>55</v>
      </c>
      <c r="K718" s="37" t="n">
        <v>0</v>
      </c>
      <c r="L718" s="37" t="str">
        <f aca="false">IF(C718="","",IF(C718&lt;=5,"Night (00-05)",IF(C718&lt;=11,"Morning (06-11)",IF(C718&lt;=16,"Afternoon (12-16)",IF(C718&lt;=20,"Evening (17-20)","Late (21-23)")))))</f>
        <v>Evening (17-20)</v>
      </c>
    </row>
    <row r="719" customFormat="false" ht="15" hidden="false" customHeight="false" outlineLevel="0" collapsed="false">
      <c r="A719" s="37" t="s">
        <v>824</v>
      </c>
      <c r="B719" s="38" t="n">
        <v>46316</v>
      </c>
      <c r="C719" s="37" t="n">
        <v>11</v>
      </c>
      <c r="D719" s="37" t="s">
        <v>40</v>
      </c>
      <c r="E719" s="37" t="s">
        <v>46</v>
      </c>
      <c r="F719" s="37" t="s">
        <v>23</v>
      </c>
      <c r="G719" s="39" t="b">
        <f aca="false">TRUE()</f>
        <v>1</v>
      </c>
      <c r="H719" s="37" t="n">
        <v>1263.82</v>
      </c>
      <c r="I719" s="37" t="n">
        <v>3</v>
      </c>
      <c r="J719" s="37" t="n">
        <v>50</v>
      </c>
      <c r="K719" s="37" t="n">
        <v>0</v>
      </c>
      <c r="L719" s="37" t="str">
        <f aca="false">IF(C719="","",IF(C719&lt;=5,"Night (00-05)",IF(C719&lt;=11,"Morning (06-11)",IF(C719&lt;=16,"Afternoon (12-16)",IF(C719&lt;=20,"Evening (17-20)","Late (21-23)")))))</f>
        <v>Morning (06-11)</v>
      </c>
    </row>
    <row r="720" customFormat="false" ht="15" hidden="false" customHeight="false" outlineLevel="0" collapsed="false">
      <c r="A720" s="37" t="s">
        <v>825</v>
      </c>
      <c r="B720" s="38" t="n">
        <v>46321</v>
      </c>
      <c r="C720" s="37" t="n">
        <v>3</v>
      </c>
      <c r="D720" s="37" t="s">
        <v>39</v>
      </c>
      <c r="E720" s="37" t="s">
        <v>48</v>
      </c>
      <c r="F720" s="37" t="s">
        <v>23</v>
      </c>
      <c r="G720" s="39" t="b">
        <f aca="false">TRUE()</f>
        <v>1</v>
      </c>
      <c r="H720" s="37" t="n">
        <v>310.38</v>
      </c>
      <c r="I720" s="37" t="n">
        <v>5</v>
      </c>
      <c r="J720" s="37" t="n">
        <v>51</v>
      </c>
      <c r="K720" s="37" t="n">
        <v>0</v>
      </c>
      <c r="L720" s="37" t="str">
        <f aca="false">IF(C720="","",IF(C720&lt;=5,"Night (00-05)",IF(C720&lt;=11,"Morning (06-11)",IF(C720&lt;=16,"Afternoon (12-16)",IF(C720&lt;=20,"Evening (17-20)","Late (21-23)")))))</f>
        <v>Night (00-05)</v>
      </c>
    </row>
    <row r="721" customFormat="false" ht="15" hidden="false" customHeight="false" outlineLevel="0" collapsed="false">
      <c r="A721" s="37" t="s">
        <v>826</v>
      </c>
      <c r="B721" s="38" t="n">
        <v>46315</v>
      </c>
      <c r="C721" s="37" t="n">
        <v>23</v>
      </c>
      <c r="D721" s="37" t="s">
        <v>39</v>
      </c>
      <c r="E721" s="37" t="s">
        <v>49</v>
      </c>
      <c r="F721" s="37" t="s">
        <v>23</v>
      </c>
      <c r="G721" s="39" t="b">
        <f aca="false">TRUE()</f>
        <v>1</v>
      </c>
      <c r="H721" s="37" t="n">
        <v>646.34</v>
      </c>
      <c r="I721" s="37" t="n">
        <v>5</v>
      </c>
      <c r="J721" s="37" t="n">
        <v>50</v>
      </c>
      <c r="K721" s="37" t="n">
        <v>0</v>
      </c>
      <c r="L721" s="37" t="str">
        <f aca="false">IF(C721="","",IF(C721&lt;=5,"Night (00-05)",IF(C721&lt;=11,"Morning (06-11)",IF(C721&lt;=16,"Afternoon (12-16)",IF(C721&lt;=20,"Evening (17-20)","Late (21-23)")))))</f>
        <v>Late (21-23)</v>
      </c>
    </row>
    <row r="722" customFormat="false" ht="15" hidden="false" customHeight="false" outlineLevel="0" collapsed="false">
      <c r="A722" s="37" t="s">
        <v>827</v>
      </c>
      <c r="B722" s="38" t="n">
        <v>46321</v>
      </c>
      <c r="C722" s="37" t="n">
        <v>15</v>
      </c>
      <c r="D722" s="37" t="s">
        <v>38</v>
      </c>
      <c r="E722" s="37" t="s">
        <v>46</v>
      </c>
      <c r="F722" s="37" t="s">
        <v>23</v>
      </c>
      <c r="G722" s="39" t="b">
        <f aca="false">TRUE()</f>
        <v>1</v>
      </c>
      <c r="H722" s="37" t="n">
        <v>912.99</v>
      </c>
      <c r="I722" s="37" t="n">
        <v>4</v>
      </c>
      <c r="J722" s="37" t="n">
        <v>40</v>
      </c>
      <c r="K722" s="37" t="n">
        <v>0</v>
      </c>
      <c r="L722" s="37" t="str">
        <f aca="false">IF(C722="","",IF(C722&lt;=5,"Night (00-05)",IF(C722&lt;=11,"Morning (06-11)",IF(C722&lt;=16,"Afternoon (12-16)",IF(C722&lt;=20,"Evening (17-20)","Late (21-23)")))))</f>
        <v>Afternoon (12-16)</v>
      </c>
    </row>
    <row r="723" customFormat="false" ht="15" hidden="false" customHeight="false" outlineLevel="0" collapsed="false">
      <c r="A723" s="37" t="s">
        <v>828</v>
      </c>
      <c r="B723" s="38" t="n">
        <v>46320</v>
      </c>
      <c r="C723" s="37" t="n">
        <v>16</v>
      </c>
      <c r="D723" s="37" t="s">
        <v>40</v>
      </c>
      <c r="E723" s="37" t="s">
        <v>46</v>
      </c>
      <c r="F723" s="37" t="s">
        <v>113</v>
      </c>
      <c r="G723" s="39" t="b">
        <f aca="false">TRUE()</f>
        <v>1</v>
      </c>
      <c r="H723" s="37" t="n">
        <v>834.61</v>
      </c>
      <c r="K723" s="37" t="n">
        <v>0</v>
      </c>
      <c r="L723" s="37" t="str">
        <f aca="false">IF(C723="","",IF(C723&lt;=5,"Night (00-05)",IF(C723&lt;=11,"Morning (06-11)",IF(C723&lt;=16,"Afternoon (12-16)",IF(C723&lt;=20,"Evening (17-20)","Late (21-23)")))))</f>
        <v>Afternoon (12-16)</v>
      </c>
    </row>
    <row r="724" customFormat="false" ht="15" hidden="false" customHeight="false" outlineLevel="0" collapsed="false">
      <c r="A724" s="37" t="s">
        <v>829</v>
      </c>
      <c r="B724" s="38" t="n">
        <v>46317</v>
      </c>
      <c r="C724" s="37" t="n">
        <v>13</v>
      </c>
      <c r="D724" s="37" t="s">
        <v>38</v>
      </c>
      <c r="E724" s="37" t="s">
        <v>48</v>
      </c>
      <c r="F724" s="37" t="s">
        <v>23</v>
      </c>
      <c r="G724" s="39" t="b">
        <f aca="false">TRUE()</f>
        <v>1</v>
      </c>
      <c r="H724" s="37" t="n">
        <v>1335.51</v>
      </c>
      <c r="I724" s="37" t="n">
        <v>5</v>
      </c>
      <c r="J724" s="37" t="n">
        <v>26</v>
      </c>
      <c r="K724" s="37" t="n">
        <v>0</v>
      </c>
      <c r="L724" s="37" t="str">
        <f aca="false">IF(C724="","",IF(C724&lt;=5,"Night (00-05)",IF(C724&lt;=11,"Morning (06-11)",IF(C724&lt;=16,"Afternoon (12-16)",IF(C724&lt;=20,"Evening (17-20)","Late (21-23)")))))</f>
        <v>Afternoon (12-16)</v>
      </c>
    </row>
    <row r="725" customFormat="false" ht="15" hidden="false" customHeight="false" outlineLevel="0" collapsed="false">
      <c r="A725" s="37" t="s">
        <v>830</v>
      </c>
      <c r="B725" s="38" t="n">
        <v>46316</v>
      </c>
      <c r="C725" s="37" t="n">
        <v>23</v>
      </c>
      <c r="D725" s="37" t="s">
        <v>40</v>
      </c>
      <c r="E725" s="37" t="s">
        <v>46</v>
      </c>
      <c r="F725" s="37" t="s">
        <v>23</v>
      </c>
      <c r="G725" s="39" t="b">
        <f aca="false">TRUE()</f>
        <v>1</v>
      </c>
      <c r="H725" s="37" t="n">
        <v>1047.35</v>
      </c>
      <c r="I725" s="37" t="n">
        <v>4</v>
      </c>
      <c r="J725" s="37" t="n">
        <v>26</v>
      </c>
      <c r="K725" s="37" t="n">
        <v>0</v>
      </c>
      <c r="L725" s="37" t="str">
        <f aca="false">IF(C725="","",IF(C725&lt;=5,"Night (00-05)",IF(C725&lt;=11,"Morning (06-11)",IF(C725&lt;=16,"Afternoon (12-16)",IF(C725&lt;=20,"Evening (17-20)","Late (21-23)")))))</f>
        <v>Late (21-23)</v>
      </c>
    </row>
    <row r="726" customFormat="false" ht="15" hidden="false" customHeight="false" outlineLevel="0" collapsed="false">
      <c r="A726" s="37" t="s">
        <v>831</v>
      </c>
      <c r="B726" s="38" t="n">
        <v>46318</v>
      </c>
      <c r="C726" s="37" t="n">
        <v>2</v>
      </c>
      <c r="D726" s="37" t="s">
        <v>40</v>
      </c>
      <c r="E726" s="37" t="s">
        <v>46</v>
      </c>
      <c r="F726" s="37" t="s">
        <v>23</v>
      </c>
      <c r="G726" s="39" t="b">
        <f aca="false">TRUE()</f>
        <v>1</v>
      </c>
      <c r="H726" s="37" t="n">
        <v>1122.05</v>
      </c>
      <c r="I726" s="37" t="n">
        <v>4</v>
      </c>
      <c r="J726" s="37" t="n">
        <v>51</v>
      </c>
      <c r="K726" s="37" t="n">
        <v>0</v>
      </c>
      <c r="L726" s="37" t="str">
        <f aca="false">IF(C726="","",IF(C726&lt;=5,"Night (00-05)",IF(C726&lt;=11,"Morning (06-11)",IF(C726&lt;=16,"Afternoon (12-16)",IF(C726&lt;=20,"Evening (17-20)","Late (21-23)")))))</f>
        <v>Night (00-05)</v>
      </c>
    </row>
    <row r="727" customFormat="false" ht="15" hidden="false" customHeight="false" outlineLevel="0" collapsed="false">
      <c r="A727" s="37" t="s">
        <v>832</v>
      </c>
      <c r="B727" s="38" t="n">
        <v>46319</v>
      </c>
      <c r="C727" s="37" t="n">
        <v>17</v>
      </c>
      <c r="D727" s="37" t="s">
        <v>38</v>
      </c>
      <c r="E727" s="37" t="s">
        <v>49</v>
      </c>
      <c r="F727" s="37" t="s">
        <v>23</v>
      </c>
      <c r="G727" s="39" t="b">
        <f aca="false">TRUE()</f>
        <v>1</v>
      </c>
      <c r="H727" s="37" t="n">
        <v>1121.34</v>
      </c>
      <c r="I727" s="37" t="n">
        <v>5</v>
      </c>
      <c r="J727" s="37" t="n">
        <v>28</v>
      </c>
      <c r="K727" s="37" t="n">
        <v>0</v>
      </c>
      <c r="L727" s="37" t="str">
        <f aca="false">IF(C727="","",IF(C727&lt;=5,"Night (00-05)",IF(C727&lt;=11,"Morning (06-11)",IF(C727&lt;=16,"Afternoon (12-16)",IF(C727&lt;=20,"Evening (17-20)","Late (21-23)")))))</f>
        <v>Evening (17-20)</v>
      </c>
    </row>
    <row r="728" customFormat="false" ht="15" hidden="false" customHeight="false" outlineLevel="0" collapsed="false">
      <c r="A728" s="37" t="s">
        <v>833</v>
      </c>
      <c r="B728" s="38" t="n">
        <v>46318</v>
      </c>
      <c r="C728" s="37" t="n">
        <v>19</v>
      </c>
      <c r="D728" s="37" t="s">
        <v>37</v>
      </c>
      <c r="E728" s="37" t="s">
        <v>49</v>
      </c>
      <c r="F728" s="37" t="s">
        <v>23</v>
      </c>
      <c r="G728" s="39" t="b">
        <f aca="false">TRUE()</f>
        <v>1</v>
      </c>
      <c r="H728" s="37" t="n">
        <v>843.86</v>
      </c>
      <c r="I728" s="37" t="n">
        <v>4</v>
      </c>
      <c r="J728" s="37" t="n">
        <v>41</v>
      </c>
      <c r="K728" s="37" t="n">
        <v>0</v>
      </c>
      <c r="L728" s="37" t="str">
        <f aca="false">IF(C728="","",IF(C728&lt;=5,"Night (00-05)",IF(C728&lt;=11,"Morning (06-11)",IF(C728&lt;=16,"Afternoon (12-16)",IF(C728&lt;=20,"Evening (17-20)","Late (21-23)")))))</f>
        <v>Evening (17-20)</v>
      </c>
    </row>
    <row r="729" customFormat="false" ht="15" hidden="false" customHeight="false" outlineLevel="0" collapsed="false">
      <c r="A729" s="37" t="s">
        <v>834</v>
      </c>
      <c r="B729" s="38" t="n">
        <v>46317</v>
      </c>
      <c r="C729" s="37" t="n">
        <v>11</v>
      </c>
      <c r="D729" s="37" t="s">
        <v>37</v>
      </c>
      <c r="E729" s="37" t="s">
        <v>48</v>
      </c>
      <c r="F729" s="37" t="s">
        <v>23</v>
      </c>
      <c r="G729" s="39" t="b">
        <f aca="false">TRUE()</f>
        <v>1</v>
      </c>
      <c r="H729" s="37" t="n">
        <v>827.41</v>
      </c>
      <c r="I729" s="37" t="n">
        <v>4</v>
      </c>
      <c r="J729" s="37" t="n">
        <v>34</v>
      </c>
      <c r="K729" s="37" t="n">
        <v>0</v>
      </c>
      <c r="L729" s="37" t="str">
        <f aca="false">IF(C729="","",IF(C729&lt;=5,"Night (00-05)",IF(C729&lt;=11,"Morning (06-11)",IF(C729&lt;=16,"Afternoon (12-16)",IF(C729&lt;=20,"Evening (17-20)","Late (21-23)")))))</f>
        <v>Morning (06-11)</v>
      </c>
    </row>
    <row r="730" customFormat="false" ht="15" hidden="false" customHeight="false" outlineLevel="0" collapsed="false">
      <c r="A730" s="37" t="s">
        <v>835</v>
      </c>
      <c r="B730" s="38" t="n">
        <v>46316</v>
      </c>
      <c r="C730" s="37" t="n">
        <v>15</v>
      </c>
      <c r="D730" s="37" t="s">
        <v>38</v>
      </c>
      <c r="E730" s="37" t="s">
        <v>47</v>
      </c>
      <c r="F730" s="37" t="s">
        <v>23</v>
      </c>
      <c r="G730" s="39" t="b">
        <f aca="false">TRUE()</f>
        <v>1</v>
      </c>
      <c r="H730" s="37" t="n">
        <v>812.16</v>
      </c>
      <c r="I730" s="37" t="n">
        <v>2</v>
      </c>
      <c r="J730" s="37" t="n">
        <v>47</v>
      </c>
      <c r="K730" s="37" t="n">
        <v>0</v>
      </c>
      <c r="L730" s="37" t="str">
        <f aca="false">IF(C730="","",IF(C730&lt;=5,"Night (00-05)",IF(C730&lt;=11,"Morning (06-11)",IF(C730&lt;=16,"Afternoon (12-16)",IF(C730&lt;=20,"Evening (17-20)","Late (21-23)")))))</f>
        <v>Afternoon (12-16)</v>
      </c>
    </row>
    <row r="731" customFormat="false" ht="15" hidden="false" customHeight="false" outlineLevel="0" collapsed="false">
      <c r="A731" s="37" t="s">
        <v>836</v>
      </c>
      <c r="B731" s="38" t="n">
        <v>46315</v>
      </c>
      <c r="C731" s="37" t="n">
        <v>11</v>
      </c>
      <c r="D731" s="37" t="s">
        <v>38</v>
      </c>
      <c r="E731" s="37" t="s">
        <v>49</v>
      </c>
      <c r="F731" s="37" t="s">
        <v>23</v>
      </c>
      <c r="G731" s="39" t="b">
        <f aca="false">TRUE()</f>
        <v>1</v>
      </c>
      <c r="H731" s="37" t="n">
        <v>882.25</v>
      </c>
      <c r="I731" s="37" t="n">
        <v>4</v>
      </c>
      <c r="J731" s="37" t="n">
        <v>24</v>
      </c>
      <c r="K731" s="37" t="n">
        <v>0</v>
      </c>
      <c r="L731" s="37" t="str">
        <f aca="false">IF(C731="","",IF(C731&lt;=5,"Night (00-05)",IF(C731&lt;=11,"Morning (06-11)",IF(C731&lt;=16,"Afternoon (12-16)",IF(C731&lt;=20,"Evening (17-20)","Late (21-23)")))))</f>
        <v>Morning (06-11)</v>
      </c>
    </row>
    <row r="732" customFormat="false" ht="15" hidden="false" customHeight="false" outlineLevel="0" collapsed="false">
      <c r="A732" s="37" t="s">
        <v>837</v>
      </c>
      <c r="B732" s="38" t="n">
        <v>46316</v>
      </c>
      <c r="C732" s="37" t="n">
        <v>1</v>
      </c>
      <c r="D732" s="37" t="s">
        <v>37</v>
      </c>
      <c r="E732" s="37" t="s">
        <v>48</v>
      </c>
      <c r="F732" s="37" t="s">
        <v>23</v>
      </c>
      <c r="G732" s="39" t="b">
        <f aca="false">TRUE()</f>
        <v>1</v>
      </c>
      <c r="H732" s="37" t="n">
        <v>491.39</v>
      </c>
      <c r="I732" s="37" t="n">
        <v>3</v>
      </c>
      <c r="J732" s="37" t="n">
        <v>25</v>
      </c>
      <c r="K732" s="37" t="n">
        <v>0</v>
      </c>
      <c r="L732" s="37" t="str">
        <f aca="false">IF(C732="","",IF(C732&lt;=5,"Night (00-05)",IF(C732&lt;=11,"Morning (06-11)",IF(C732&lt;=16,"Afternoon (12-16)",IF(C732&lt;=20,"Evening (17-20)","Late (21-23)")))))</f>
        <v>Night (00-05)</v>
      </c>
    </row>
    <row r="733" customFormat="false" ht="15" hidden="false" customHeight="false" outlineLevel="0" collapsed="false">
      <c r="A733" s="37" t="s">
        <v>838</v>
      </c>
      <c r="B733" s="38" t="n">
        <v>46321</v>
      </c>
      <c r="C733" s="37" t="n">
        <v>4</v>
      </c>
      <c r="D733" s="37" t="s">
        <v>40</v>
      </c>
      <c r="E733" s="37" t="s">
        <v>48</v>
      </c>
      <c r="F733" s="37" t="s">
        <v>23</v>
      </c>
      <c r="G733" s="39" t="b">
        <f aca="false">TRUE()</f>
        <v>1</v>
      </c>
      <c r="H733" s="37" t="n">
        <v>1183.11</v>
      </c>
      <c r="I733" s="37" t="n">
        <v>4</v>
      </c>
      <c r="J733" s="37" t="n">
        <v>35</v>
      </c>
      <c r="K733" s="37" t="n">
        <v>0</v>
      </c>
      <c r="L733" s="37" t="str">
        <f aca="false">IF(C733="","",IF(C733&lt;=5,"Night (00-05)",IF(C733&lt;=11,"Morning (06-11)",IF(C733&lt;=16,"Afternoon (12-16)",IF(C733&lt;=20,"Evening (17-20)","Late (21-23)")))))</f>
        <v>Night (00-05)</v>
      </c>
    </row>
    <row r="734" customFormat="false" ht="15" hidden="false" customHeight="false" outlineLevel="0" collapsed="false">
      <c r="A734" s="37" t="s">
        <v>839</v>
      </c>
      <c r="B734" s="38" t="n">
        <v>46315</v>
      </c>
      <c r="C734" s="37" t="n">
        <v>15</v>
      </c>
      <c r="D734" s="37" t="s">
        <v>38</v>
      </c>
      <c r="E734" s="37" t="s">
        <v>48</v>
      </c>
      <c r="F734" s="37" t="s">
        <v>129</v>
      </c>
      <c r="G734" s="39" t="b">
        <f aca="false">FALSE()</f>
        <v>0</v>
      </c>
      <c r="H734" s="37" t="n">
        <v>1300.07</v>
      </c>
      <c r="K734" s="37" t="n">
        <v>0</v>
      </c>
      <c r="L734" s="37" t="str">
        <f aca="false">IF(C734="","",IF(C734&lt;=5,"Night (00-05)",IF(C734&lt;=11,"Morning (06-11)",IF(C734&lt;=16,"Afternoon (12-16)",IF(C734&lt;=20,"Evening (17-20)","Late (21-23)")))))</f>
        <v>Afternoon (12-16)</v>
      </c>
    </row>
    <row r="735" customFormat="false" ht="15" hidden="false" customHeight="false" outlineLevel="0" collapsed="false">
      <c r="A735" s="37" t="s">
        <v>840</v>
      </c>
      <c r="B735" s="38" t="n">
        <v>46317</v>
      </c>
      <c r="C735" s="37" t="n">
        <v>3</v>
      </c>
      <c r="D735" s="37" t="s">
        <v>38</v>
      </c>
      <c r="E735" s="37" t="s">
        <v>48</v>
      </c>
      <c r="F735" s="37" t="s">
        <v>23</v>
      </c>
      <c r="G735" s="39" t="b">
        <f aca="false">TRUE()</f>
        <v>1</v>
      </c>
      <c r="H735" s="37" t="n">
        <v>1443.33</v>
      </c>
      <c r="I735" s="37" t="n">
        <v>4</v>
      </c>
      <c r="J735" s="37" t="n">
        <v>50</v>
      </c>
      <c r="K735" s="37" t="n">
        <v>0</v>
      </c>
      <c r="L735" s="37" t="str">
        <f aca="false">IF(C735="","",IF(C735&lt;=5,"Night (00-05)",IF(C735&lt;=11,"Morning (06-11)",IF(C735&lt;=16,"Afternoon (12-16)",IF(C735&lt;=20,"Evening (17-20)","Late (21-23)")))))</f>
        <v>Night (00-05)</v>
      </c>
    </row>
    <row r="736" customFormat="false" ht="15" hidden="false" customHeight="false" outlineLevel="0" collapsed="false">
      <c r="A736" s="37" t="s">
        <v>841</v>
      </c>
      <c r="B736" s="38" t="n">
        <v>46319</v>
      </c>
      <c r="C736" s="37" t="n">
        <v>16</v>
      </c>
      <c r="D736" s="37" t="s">
        <v>37</v>
      </c>
      <c r="E736" s="37" t="s">
        <v>46</v>
      </c>
      <c r="F736" s="37" t="s">
        <v>23</v>
      </c>
      <c r="G736" s="39" t="b">
        <f aca="false">TRUE()</f>
        <v>1</v>
      </c>
      <c r="H736" s="37" t="n">
        <v>889.65</v>
      </c>
      <c r="I736" s="37" t="n">
        <v>4</v>
      </c>
      <c r="J736" s="37" t="n">
        <v>52</v>
      </c>
      <c r="K736" s="37" t="n">
        <v>0</v>
      </c>
      <c r="L736" s="37" t="str">
        <f aca="false">IF(C736="","",IF(C736&lt;=5,"Night (00-05)",IF(C736&lt;=11,"Morning (06-11)",IF(C736&lt;=16,"Afternoon (12-16)",IF(C736&lt;=20,"Evening (17-20)","Late (21-23)")))))</f>
        <v>Afternoon (12-16)</v>
      </c>
    </row>
    <row r="737" customFormat="false" ht="15" hidden="false" customHeight="false" outlineLevel="0" collapsed="false">
      <c r="A737" s="37" t="s">
        <v>842</v>
      </c>
      <c r="B737" s="38" t="n">
        <v>46316</v>
      </c>
      <c r="C737" s="37" t="n">
        <v>1</v>
      </c>
      <c r="D737" s="37" t="s">
        <v>39</v>
      </c>
      <c r="E737" s="37" t="s">
        <v>47</v>
      </c>
      <c r="F737" s="37" t="s">
        <v>23</v>
      </c>
      <c r="G737" s="39" t="b">
        <f aca="false">TRUE()</f>
        <v>1</v>
      </c>
      <c r="H737" s="37" t="n">
        <v>506.89</v>
      </c>
      <c r="I737" s="37" t="n">
        <v>5</v>
      </c>
      <c r="J737" s="37" t="n">
        <v>43</v>
      </c>
      <c r="K737" s="37" t="n">
        <v>0</v>
      </c>
      <c r="L737" s="37" t="str">
        <f aca="false">IF(C737="","",IF(C737&lt;=5,"Night (00-05)",IF(C737&lt;=11,"Morning (06-11)",IF(C737&lt;=16,"Afternoon (12-16)",IF(C737&lt;=20,"Evening (17-20)","Late (21-23)")))))</f>
        <v>Night (00-05)</v>
      </c>
    </row>
    <row r="738" customFormat="false" ht="15" hidden="false" customHeight="false" outlineLevel="0" collapsed="false">
      <c r="A738" s="37" t="s">
        <v>843</v>
      </c>
      <c r="B738" s="38" t="n">
        <v>46320</v>
      </c>
      <c r="C738" s="37" t="n">
        <v>1</v>
      </c>
      <c r="D738" s="37" t="s">
        <v>39</v>
      </c>
      <c r="E738" s="37" t="s">
        <v>47</v>
      </c>
      <c r="F738" s="37" t="s">
        <v>23</v>
      </c>
      <c r="G738" s="39" t="b">
        <f aca="false">TRUE()</f>
        <v>1</v>
      </c>
      <c r="H738" s="37" t="n">
        <v>452.91</v>
      </c>
      <c r="I738" s="37" t="n">
        <v>5</v>
      </c>
      <c r="J738" s="37" t="n">
        <v>39</v>
      </c>
      <c r="K738" s="37" t="n">
        <v>0</v>
      </c>
      <c r="L738" s="37" t="str">
        <f aca="false">IF(C738="","",IF(C738&lt;=5,"Night (00-05)",IF(C738&lt;=11,"Morning (06-11)",IF(C738&lt;=16,"Afternoon (12-16)",IF(C738&lt;=20,"Evening (17-20)","Late (21-23)")))))</f>
        <v>Night (00-05)</v>
      </c>
    </row>
    <row r="739" customFormat="false" ht="15" hidden="false" customHeight="false" outlineLevel="0" collapsed="false">
      <c r="A739" s="37" t="s">
        <v>844</v>
      </c>
      <c r="B739" s="38" t="n">
        <v>46321</v>
      </c>
      <c r="C739" s="37" t="n">
        <v>21</v>
      </c>
      <c r="D739" s="37" t="s">
        <v>40</v>
      </c>
      <c r="E739" s="37" t="s">
        <v>49</v>
      </c>
      <c r="F739" s="37" t="s">
        <v>23</v>
      </c>
      <c r="G739" s="39" t="b">
        <f aca="false">TRUE()</f>
        <v>1</v>
      </c>
      <c r="H739" s="37" t="n">
        <v>650.03</v>
      </c>
      <c r="I739" s="37" t="n">
        <v>5</v>
      </c>
      <c r="J739" s="37" t="n">
        <v>50</v>
      </c>
      <c r="K739" s="37" t="n">
        <v>0</v>
      </c>
      <c r="L739" s="37" t="str">
        <f aca="false">IF(C739="","",IF(C739&lt;=5,"Night (00-05)",IF(C739&lt;=11,"Morning (06-11)",IF(C739&lt;=16,"Afternoon (12-16)",IF(C739&lt;=20,"Evening (17-20)","Late (21-23)")))))</f>
        <v>Late (21-23)</v>
      </c>
    </row>
    <row r="740" customFormat="false" ht="15" hidden="false" customHeight="false" outlineLevel="0" collapsed="false">
      <c r="A740" s="37" t="s">
        <v>845</v>
      </c>
      <c r="B740" s="38" t="n">
        <v>46317</v>
      </c>
      <c r="C740" s="37" t="n">
        <v>16</v>
      </c>
      <c r="D740" s="37" t="s">
        <v>38</v>
      </c>
      <c r="E740" s="37" t="s">
        <v>49</v>
      </c>
      <c r="F740" s="37" t="s">
        <v>23</v>
      </c>
      <c r="G740" s="39" t="b">
        <f aca="false">TRUE()</f>
        <v>1</v>
      </c>
      <c r="H740" s="37" t="n">
        <v>1105.64</v>
      </c>
      <c r="I740" s="37" t="n">
        <v>3</v>
      </c>
      <c r="J740" s="37" t="n">
        <v>25</v>
      </c>
      <c r="K740" s="37" t="n">
        <v>0</v>
      </c>
      <c r="L740" s="37" t="str">
        <f aca="false">IF(C740="","",IF(C740&lt;=5,"Night (00-05)",IF(C740&lt;=11,"Morning (06-11)",IF(C740&lt;=16,"Afternoon (12-16)",IF(C740&lt;=20,"Evening (17-20)","Late (21-23)")))))</f>
        <v>Afternoon (12-16)</v>
      </c>
    </row>
    <row r="741" customFormat="false" ht="15" hidden="false" customHeight="false" outlineLevel="0" collapsed="false">
      <c r="A741" s="37" t="s">
        <v>846</v>
      </c>
      <c r="B741" s="38" t="n">
        <v>46318</v>
      </c>
      <c r="C741" s="37" t="n">
        <v>20</v>
      </c>
      <c r="D741" s="37" t="s">
        <v>37</v>
      </c>
      <c r="E741" s="37" t="s">
        <v>47</v>
      </c>
      <c r="F741" s="37" t="s">
        <v>23</v>
      </c>
      <c r="G741" s="39" t="b">
        <f aca="false">TRUE()</f>
        <v>1</v>
      </c>
      <c r="H741" s="37" t="n">
        <v>580.85</v>
      </c>
      <c r="I741" s="37" t="n">
        <v>5</v>
      </c>
      <c r="J741" s="37" t="n">
        <v>32</v>
      </c>
      <c r="K741" s="37" t="n">
        <v>0</v>
      </c>
      <c r="L741" s="37" t="str">
        <f aca="false">IF(C741="","",IF(C741&lt;=5,"Night (00-05)",IF(C741&lt;=11,"Morning (06-11)",IF(C741&lt;=16,"Afternoon (12-16)",IF(C741&lt;=20,"Evening (17-20)","Late (21-23)")))))</f>
        <v>Evening (17-20)</v>
      </c>
    </row>
    <row r="742" customFormat="false" ht="15" hidden="false" customHeight="false" outlineLevel="0" collapsed="false">
      <c r="A742" s="37" t="s">
        <v>847</v>
      </c>
      <c r="B742" s="38" t="n">
        <v>46318</v>
      </c>
      <c r="C742" s="37" t="n">
        <v>15</v>
      </c>
      <c r="D742" s="37" t="s">
        <v>39</v>
      </c>
      <c r="E742" s="37" t="s">
        <v>46</v>
      </c>
      <c r="F742" s="37" t="s">
        <v>23</v>
      </c>
      <c r="G742" s="39" t="b">
        <f aca="false">TRUE()</f>
        <v>1</v>
      </c>
      <c r="H742" s="37" t="n">
        <v>604.93</v>
      </c>
      <c r="I742" s="37" t="n">
        <v>5</v>
      </c>
      <c r="J742" s="37" t="n">
        <v>37</v>
      </c>
      <c r="K742" s="37" t="n">
        <v>0</v>
      </c>
      <c r="L742" s="37" t="str">
        <f aca="false">IF(C742="","",IF(C742&lt;=5,"Night (00-05)",IF(C742&lt;=11,"Morning (06-11)",IF(C742&lt;=16,"Afternoon (12-16)",IF(C742&lt;=20,"Evening (17-20)","Late (21-23)")))))</f>
        <v>Afternoon (12-16)</v>
      </c>
    </row>
    <row r="743" customFormat="false" ht="15" hidden="false" customHeight="false" outlineLevel="0" collapsed="false">
      <c r="A743" s="37" t="s">
        <v>848</v>
      </c>
      <c r="B743" s="38" t="n">
        <v>46322</v>
      </c>
      <c r="C743" s="37" t="n">
        <v>0</v>
      </c>
      <c r="D743" s="37" t="s">
        <v>39</v>
      </c>
      <c r="E743" s="37" t="s">
        <v>49</v>
      </c>
      <c r="F743" s="37" t="s">
        <v>23</v>
      </c>
      <c r="G743" s="39" t="b">
        <f aca="false">TRUE()</f>
        <v>1</v>
      </c>
      <c r="H743" s="37" t="n">
        <v>694.01</v>
      </c>
      <c r="I743" s="37" t="n">
        <v>5</v>
      </c>
      <c r="J743" s="37" t="n">
        <v>29</v>
      </c>
      <c r="K743" s="37" t="n">
        <v>0</v>
      </c>
      <c r="L743" s="37" t="str">
        <f aca="false">IF(C743="","",IF(C743&lt;=5,"Night (00-05)",IF(C743&lt;=11,"Morning (06-11)",IF(C743&lt;=16,"Afternoon (12-16)",IF(C743&lt;=20,"Evening (17-20)","Late (21-23)")))))</f>
        <v>Night (00-05)</v>
      </c>
    </row>
    <row r="744" customFormat="false" ht="15" hidden="false" customHeight="false" outlineLevel="0" collapsed="false">
      <c r="A744" s="37" t="s">
        <v>849</v>
      </c>
      <c r="B744" s="38" t="n">
        <v>46315</v>
      </c>
      <c r="C744" s="37" t="n">
        <v>15</v>
      </c>
      <c r="D744" s="37" t="s">
        <v>37</v>
      </c>
      <c r="E744" s="37" t="s">
        <v>48</v>
      </c>
      <c r="F744" s="37" t="s">
        <v>23</v>
      </c>
      <c r="G744" s="39" t="b">
        <f aca="false">TRUE()</f>
        <v>1</v>
      </c>
      <c r="H744" s="37" t="n">
        <v>413.86</v>
      </c>
      <c r="I744" s="37" t="n">
        <v>4</v>
      </c>
      <c r="J744" s="37" t="n">
        <v>24</v>
      </c>
      <c r="K744" s="37" t="n">
        <v>0</v>
      </c>
      <c r="L744" s="37" t="str">
        <f aca="false">IF(C744="","",IF(C744&lt;=5,"Night (00-05)",IF(C744&lt;=11,"Morning (06-11)",IF(C744&lt;=16,"Afternoon (12-16)",IF(C744&lt;=20,"Evening (17-20)","Late (21-23)")))))</f>
        <v>Afternoon (12-16)</v>
      </c>
    </row>
    <row r="745" customFormat="false" ht="15" hidden="false" customHeight="false" outlineLevel="0" collapsed="false">
      <c r="A745" s="37" t="s">
        <v>850</v>
      </c>
      <c r="B745" s="38" t="n">
        <v>46316</v>
      </c>
      <c r="C745" s="37" t="n">
        <v>5</v>
      </c>
      <c r="D745" s="37" t="s">
        <v>40</v>
      </c>
      <c r="E745" s="37" t="s">
        <v>48</v>
      </c>
      <c r="F745" s="37" t="s">
        <v>23</v>
      </c>
      <c r="G745" s="39" t="b">
        <f aca="false">TRUE()</f>
        <v>1</v>
      </c>
      <c r="H745" s="37" t="n">
        <v>741.2</v>
      </c>
      <c r="I745" s="37" t="n">
        <v>5</v>
      </c>
      <c r="J745" s="37" t="n">
        <v>24</v>
      </c>
      <c r="K745" s="37" t="n">
        <v>0</v>
      </c>
      <c r="L745" s="37" t="str">
        <f aca="false">IF(C745="","",IF(C745&lt;=5,"Night (00-05)",IF(C745&lt;=11,"Morning (06-11)",IF(C745&lt;=16,"Afternoon (12-16)",IF(C745&lt;=20,"Evening (17-20)","Late (21-23)")))))</f>
        <v>Night (00-05)</v>
      </c>
    </row>
    <row r="746" customFormat="false" ht="15" hidden="false" customHeight="false" outlineLevel="0" collapsed="false">
      <c r="A746" s="37" t="s">
        <v>851</v>
      </c>
      <c r="B746" s="38" t="n">
        <v>46320</v>
      </c>
      <c r="C746" s="37" t="n">
        <v>2</v>
      </c>
      <c r="D746" s="37" t="s">
        <v>37</v>
      </c>
      <c r="E746" s="37" t="s">
        <v>46</v>
      </c>
      <c r="F746" s="37" t="s">
        <v>23</v>
      </c>
      <c r="G746" s="39" t="b">
        <f aca="false">FALSE()</f>
        <v>0</v>
      </c>
      <c r="H746" s="37" t="n">
        <v>730.05</v>
      </c>
      <c r="I746" s="37" t="n">
        <v>2</v>
      </c>
      <c r="J746" s="37" t="n">
        <v>79</v>
      </c>
      <c r="K746" s="37" t="n">
        <v>1</v>
      </c>
      <c r="L746" s="37" t="str">
        <f aca="false">IF(C746="","",IF(C746&lt;=5,"Night (00-05)",IF(C746&lt;=11,"Morning (06-11)",IF(C746&lt;=16,"Afternoon (12-16)",IF(C746&lt;=20,"Evening (17-20)","Late (21-23)")))))</f>
        <v>Night (00-05)</v>
      </c>
    </row>
    <row r="747" customFormat="false" ht="15" hidden="false" customHeight="false" outlineLevel="0" collapsed="false">
      <c r="A747" s="37" t="s">
        <v>852</v>
      </c>
      <c r="B747" s="38" t="n">
        <v>46321</v>
      </c>
      <c r="C747" s="37" t="n">
        <v>23</v>
      </c>
      <c r="D747" s="37" t="s">
        <v>38</v>
      </c>
      <c r="E747" s="37" t="s">
        <v>49</v>
      </c>
      <c r="F747" s="37" t="s">
        <v>23</v>
      </c>
      <c r="G747" s="39" t="b">
        <f aca="false">TRUE()</f>
        <v>1</v>
      </c>
      <c r="H747" s="37" t="n">
        <v>1415.09</v>
      </c>
      <c r="I747" s="37" t="n">
        <v>4</v>
      </c>
      <c r="J747" s="37" t="n">
        <v>48</v>
      </c>
      <c r="K747" s="37" t="n">
        <v>0</v>
      </c>
      <c r="L747" s="37" t="str">
        <f aca="false">IF(C747="","",IF(C747&lt;=5,"Night (00-05)",IF(C747&lt;=11,"Morning (06-11)",IF(C747&lt;=16,"Afternoon (12-16)",IF(C747&lt;=20,"Evening (17-20)","Late (21-23)")))))</f>
        <v>Late (21-23)</v>
      </c>
    </row>
    <row r="748" customFormat="false" ht="15" hidden="false" customHeight="false" outlineLevel="0" collapsed="false">
      <c r="A748" s="37" t="s">
        <v>853</v>
      </c>
      <c r="B748" s="38" t="n">
        <v>46318</v>
      </c>
      <c r="C748" s="37" t="n">
        <v>20</v>
      </c>
      <c r="D748" s="37" t="s">
        <v>37</v>
      </c>
      <c r="E748" s="37" t="s">
        <v>46</v>
      </c>
      <c r="F748" s="37" t="s">
        <v>23</v>
      </c>
      <c r="G748" s="39" t="b">
        <f aca="false">TRUE()</f>
        <v>1</v>
      </c>
      <c r="H748" s="37" t="n">
        <v>841.35</v>
      </c>
      <c r="I748" s="37" t="n">
        <v>3</v>
      </c>
      <c r="J748" s="37" t="n">
        <v>47</v>
      </c>
      <c r="K748" s="37" t="n">
        <v>0</v>
      </c>
      <c r="L748" s="37" t="str">
        <f aca="false">IF(C748="","",IF(C748&lt;=5,"Night (00-05)",IF(C748&lt;=11,"Morning (06-11)",IF(C748&lt;=16,"Afternoon (12-16)",IF(C748&lt;=20,"Evening (17-20)","Late (21-23)")))))</f>
        <v>Evening (17-20)</v>
      </c>
    </row>
    <row r="749" customFormat="false" ht="15" hidden="false" customHeight="false" outlineLevel="0" collapsed="false">
      <c r="A749" s="37" t="s">
        <v>854</v>
      </c>
      <c r="B749" s="38" t="n">
        <v>46320</v>
      </c>
      <c r="C749" s="37" t="n">
        <v>19</v>
      </c>
      <c r="D749" s="37" t="s">
        <v>39</v>
      </c>
      <c r="E749" s="37" t="s">
        <v>49</v>
      </c>
      <c r="F749" s="37" t="s">
        <v>23</v>
      </c>
      <c r="G749" s="39" t="b">
        <f aca="false">TRUE()</f>
        <v>1</v>
      </c>
      <c r="H749" s="37" t="n">
        <v>489.36</v>
      </c>
      <c r="I749" s="37" t="n">
        <v>3</v>
      </c>
      <c r="J749" s="37" t="n">
        <v>52</v>
      </c>
      <c r="K749" s="37" t="n">
        <v>0</v>
      </c>
      <c r="L749" s="37" t="str">
        <f aca="false">IF(C749="","",IF(C749&lt;=5,"Night (00-05)",IF(C749&lt;=11,"Morning (06-11)",IF(C749&lt;=16,"Afternoon (12-16)",IF(C749&lt;=20,"Evening (17-20)","Late (21-23)")))))</f>
        <v>Evening (17-20)</v>
      </c>
    </row>
    <row r="750" customFormat="false" ht="15" hidden="false" customHeight="false" outlineLevel="0" collapsed="false">
      <c r="A750" s="37" t="s">
        <v>855</v>
      </c>
      <c r="B750" s="38" t="n">
        <v>46317</v>
      </c>
      <c r="C750" s="37" t="n">
        <v>22</v>
      </c>
      <c r="D750" s="37" t="s">
        <v>40</v>
      </c>
      <c r="E750" s="37" t="s">
        <v>46</v>
      </c>
      <c r="F750" s="37" t="s">
        <v>23</v>
      </c>
      <c r="G750" s="39" t="b">
        <f aca="false">TRUE()</f>
        <v>1</v>
      </c>
      <c r="H750" s="37" t="n">
        <v>755.39</v>
      </c>
      <c r="I750" s="37" t="n">
        <v>3</v>
      </c>
      <c r="J750" s="37" t="n">
        <v>22</v>
      </c>
      <c r="K750" s="37" t="n">
        <v>0</v>
      </c>
      <c r="L750" s="37" t="str">
        <f aca="false">IF(C750="","",IF(C750&lt;=5,"Night (00-05)",IF(C750&lt;=11,"Morning (06-11)",IF(C750&lt;=16,"Afternoon (12-16)",IF(C750&lt;=20,"Evening (17-20)","Late (21-23)")))))</f>
        <v>Late (21-23)</v>
      </c>
    </row>
    <row r="751" customFormat="false" ht="15" hidden="false" customHeight="false" outlineLevel="0" collapsed="false">
      <c r="A751" s="37" t="s">
        <v>856</v>
      </c>
      <c r="B751" s="38" t="n">
        <v>46317</v>
      </c>
      <c r="C751" s="37" t="n">
        <v>19</v>
      </c>
      <c r="D751" s="37" t="s">
        <v>38</v>
      </c>
      <c r="E751" s="37" t="s">
        <v>46</v>
      </c>
      <c r="F751" s="37" t="s">
        <v>23</v>
      </c>
      <c r="G751" s="39" t="b">
        <f aca="false">TRUE()</f>
        <v>1</v>
      </c>
      <c r="H751" s="37" t="n">
        <v>1065.4</v>
      </c>
      <c r="I751" s="37" t="n">
        <v>4</v>
      </c>
      <c r="J751" s="37" t="n">
        <v>42</v>
      </c>
      <c r="K751" s="37" t="n">
        <v>0</v>
      </c>
      <c r="L751" s="37" t="str">
        <f aca="false">IF(C751="","",IF(C751&lt;=5,"Night (00-05)",IF(C751&lt;=11,"Morning (06-11)",IF(C751&lt;=16,"Afternoon (12-16)",IF(C751&lt;=20,"Evening (17-20)","Late (21-23)")))))</f>
        <v>Evening (17-20)</v>
      </c>
    </row>
    <row r="752" customFormat="false" ht="15" hidden="false" customHeight="false" outlineLevel="0" collapsed="false">
      <c r="A752" s="37" t="s">
        <v>857</v>
      </c>
      <c r="B752" s="38" t="n">
        <v>46316</v>
      </c>
      <c r="C752" s="37" t="n">
        <v>0</v>
      </c>
      <c r="D752" s="37" t="s">
        <v>40</v>
      </c>
      <c r="E752" s="37" t="s">
        <v>47</v>
      </c>
      <c r="F752" s="37" t="s">
        <v>23</v>
      </c>
      <c r="G752" s="39" t="b">
        <f aca="false">TRUE()</f>
        <v>1</v>
      </c>
      <c r="H752" s="37" t="n">
        <v>1227.31</v>
      </c>
      <c r="I752" s="37" t="n">
        <v>3</v>
      </c>
      <c r="J752" s="37" t="n">
        <v>39</v>
      </c>
      <c r="K752" s="37" t="n">
        <v>0</v>
      </c>
      <c r="L752" s="37" t="str">
        <f aca="false">IF(C752="","",IF(C752&lt;=5,"Night (00-05)",IF(C752&lt;=11,"Morning (06-11)",IF(C752&lt;=16,"Afternoon (12-16)",IF(C752&lt;=20,"Evening (17-20)","Late (21-23)")))))</f>
        <v>Night (00-05)</v>
      </c>
    </row>
    <row r="753" customFormat="false" ht="15" hidden="false" customHeight="false" outlineLevel="0" collapsed="false">
      <c r="A753" s="37" t="s">
        <v>858</v>
      </c>
      <c r="B753" s="38" t="n">
        <v>46316</v>
      </c>
      <c r="C753" s="37" t="n">
        <v>10</v>
      </c>
      <c r="D753" s="37" t="s">
        <v>39</v>
      </c>
      <c r="E753" s="37" t="s">
        <v>49</v>
      </c>
      <c r="F753" s="37" t="s">
        <v>113</v>
      </c>
      <c r="G753" s="39" t="b">
        <f aca="false">TRUE()</f>
        <v>1</v>
      </c>
      <c r="H753" s="37" t="n">
        <v>526.22</v>
      </c>
      <c r="K753" s="37" t="n">
        <v>0</v>
      </c>
      <c r="L753" s="37" t="str">
        <f aca="false">IF(C753="","",IF(C753&lt;=5,"Night (00-05)",IF(C753&lt;=11,"Morning (06-11)",IF(C753&lt;=16,"Afternoon (12-16)",IF(C753&lt;=20,"Evening (17-20)","Late (21-23)")))))</f>
        <v>Morning (06-11)</v>
      </c>
    </row>
    <row r="754" customFormat="false" ht="15" hidden="false" customHeight="false" outlineLevel="0" collapsed="false">
      <c r="A754" s="37" t="s">
        <v>859</v>
      </c>
      <c r="B754" s="38" t="n">
        <v>46317</v>
      </c>
      <c r="C754" s="37" t="n">
        <v>10</v>
      </c>
      <c r="D754" s="37" t="s">
        <v>38</v>
      </c>
      <c r="E754" s="37" t="s">
        <v>46</v>
      </c>
      <c r="F754" s="37" t="s">
        <v>23</v>
      </c>
      <c r="G754" s="39" t="b">
        <f aca="false">TRUE()</f>
        <v>1</v>
      </c>
      <c r="H754" s="37" t="n">
        <v>1063.42</v>
      </c>
      <c r="I754" s="37" t="n">
        <v>5</v>
      </c>
      <c r="J754" s="37" t="n">
        <v>26</v>
      </c>
      <c r="K754" s="37" t="n">
        <v>0</v>
      </c>
      <c r="L754" s="37" t="str">
        <f aca="false">IF(C754="","",IF(C754&lt;=5,"Night (00-05)",IF(C754&lt;=11,"Morning (06-11)",IF(C754&lt;=16,"Afternoon (12-16)",IF(C754&lt;=20,"Evening (17-20)","Late (21-23)")))))</f>
        <v>Morning (06-11)</v>
      </c>
    </row>
    <row r="755" customFormat="false" ht="15" hidden="false" customHeight="false" outlineLevel="0" collapsed="false">
      <c r="A755" s="37" t="s">
        <v>860</v>
      </c>
      <c r="B755" s="38" t="n">
        <v>46316</v>
      </c>
      <c r="C755" s="37" t="n">
        <v>1</v>
      </c>
      <c r="D755" s="37" t="s">
        <v>39</v>
      </c>
      <c r="E755" s="37" t="s">
        <v>46</v>
      </c>
      <c r="F755" s="37" t="s">
        <v>23</v>
      </c>
      <c r="G755" s="39" t="b">
        <f aca="false">TRUE()</f>
        <v>1</v>
      </c>
      <c r="H755" s="37" t="n">
        <v>365.65</v>
      </c>
      <c r="I755" s="37" t="n">
        <v>4</v>
      </c>
      <c r="J755" s="37" t="n">
        <v>47</v>
      </c>
      <c r="K755" s="37" t="n">
        <v>0</v>
      </c>
      <c r="L755" s="37" t="str">
        <f aca="false">IF(C755="","",IF(C755&lt;=5,"Night (00-05)",IF(C755&lt;=11,"Morning (06-11)",IF(C755&lt;=16,"Afternoon (12-16)",IF(C755&lt;=20,"Evening (17-20)","Late (21-23)")))))</f>
        <v>Night (00-05)</v>
      </c>
    </row>
    <row r="756" customFormat="false" ht="15" hidden="false" customHeight="false" outlineLevel="0" collapsed="false">
      <c r="A756" s="37" t="s">
        <v>861</v>
      </c>
      <c r="B756" s="38" t="n">
        <v>46321</v>
      </c>
      <c r="C756" s="37" t="n">
        <v>3</v>
      </c>
      <c r="D756" s="37" t="s">
        <v>37</v>
      </c>
      <c r="E756" s="37" t="s">
        <v>46</v>
      </c>
      <c r="F756" s="37" t="s">
        <v>23</v>
      </c>
      <c r="G756" s="39" t="b">
        <f aca="false">FALSE()</f>
        <v>0</v>
      </c>
      <c r="H756" s="37" t="n">
        <v>531.58</v>
      </c>
      <c r="I756" s="37" t="n">
        <v>5</v>
      </c>
      <c r="J756" s="37" t="n">
        <v>59</v>
      </c>
      <c r="K756" s="37" t="n">
        <v>0</v>
      </c>
      <c r="L756" s="37" t="str">
        <f aca="false">IF(C756="","",IF(C756&lt;=5,"Night (00-05)",IF(C756&lt;=11,"Morning (06-11)",IF(C756&lt;=16,"Afternoon (12-16)",IF(C756&lt;=20,"Evening (17-20)","Late (21-23)")))))</f>
        <v>Night (00-05)</v>
      </c>
    </row>
    <row r="757" customFormat="false" ht="15" hidden="false" customHeight="false" outlineLevel="0" collapsed="false">
      <c r="A757" s="37" t="s">
        <v>862</v>
      </c>
      <c r="B757" s="38" t="n">
        <v>46316</v>
      </c>
      <c r="C757" s="37" t="n">
        <v>1</v>
      </c>
      <c r="D757" s="37" t="s">
        <v>40</v>
      </c>
      <c r="E757" s="37" t="s">
        <v>46</v>
      </c>
      <c r="F757" s="37" t="s">
        <v>23</v>
      </c>
      <c r="G757" s="39" t="b">
        <f aca="false">TRUE()</f>
        <v>1</v>
      </c>
      <c r="H757" s="37" t="n">
        <v>552.82</v>
      </c>
      <c r="I757" s="37" t="n">
        <v>4</v>
      </c>
      <c r="J757" s="37" t="n">
        <v>50</v>
      </c>
      <c r="K757" s="37" t="n">
        <v>0</v>
      </c>
      <c r="L757" s="37" t="str">
        <f aca="false">IF(C757="","",IF(C757&lt;=5,"Night (00-05)",IF(C757&lt;=11,"Morning (06-11)",IF(C757&lt;=16,"Afternoon (12-16)",IF(C757&lt;=20,"Evening (17-20)","Late (21-23)")))))</f>
        <v>Night (00-05)</v>
      </c>
    </row>
    <row r="758" customFormat="false" ht="15" hidden="false" customHeight="false" outlineLevel="0" collapsed="false">
      <c r="A758" s="37" t="s">
        <v>863</v>
      </c>
      <c r="B758" s="38" t="n">
        <v>46318</v>
      </c>
      <c r="C758" s="37" t="n">
        <v>2</v>
      </c>
      <c r="D758" s="37" t="s">
        <v>40</v>
      </c>
      <c r="E758" s="37" t="s">
        <v>46</v>
      </c>
      <c r="F758" s="37" t="s">
        <v>113</v>
      </c>
      <c r="G758" s="39" t="b">
        <f aca="false">TRUE()</f>
        <v>1</v>
      </c>
      <c r="H758" s="37" t="n">
        <v>845.33</v>
      </c>
      <c r="K758" s="37" t="n">
        <v>0</v>
      </c>
      <c r="L758" s="37" t="str">
        <f aca="false">IF(C758="","",IF(C758&lt;=5,"Night (00-05)",IF(C758&lt;=11,"Morning (06-11)",IF(C758&lt;=16,"Afternoon (12-16)",IF(C758&lt;=20,"Evening (17-20)","Late (21-23)")))))</f>
        <v>Night (00-05)</v>
      </c>
    </row>
    <row r="759" customFormat="false" ht="15" hidden="false" customHeight="false" outlineLevel="0" collapsed="false">
      <c r="A759" s="37" t="s">
        <v>864</v>
      </c>
      <c r="B759" s="38" t="n">
        <v>46318</v>
      </c>
      <c r="C759" s="37" t="n">
        <v>20</v>
      </c>
      <c r="D759" s="37" t="s">
        <v>39</v>
      </c>
      <c r="E759" s="37" t="s">
        <v>48</v>
      </c>
      <c r="F759" s="37" t="s">
        <v>23</v>
      </c>
      <c r="G759" s="39" t="b">
        <f aca="false">TRUE()</f>
        <v>1</v>
      </c>
      <c r="H759" s="37" t="n">
        <v>651.36</v>
      </c>
      <c r="I759" s="37" t="n">
        <v>5</v>
      </c>
      <c r="J759" s="37" t="n">
        <v>53</v>
      </c>
      <c r="K759" s="37" t="n">
        <v>0</v>
      </c>
      <c r="L759" s="37" t="str">
        <f aca="false">IF(C759="","",IF(C759&lt;=5,"Night (00-05)",IF(C759&lt;=11,"Morning (06-11)",IF(C759&lt;=16,"Afternoon (12-16)",IF(C759&lt;=20,"Evening (17-20)","Late (21-23)")))))</f>
        <v>Evening (17-20)</v>
      </c>
    </row>
    <row r="760" customFormat="false" ht="15" hidden="false" customHeight="false" outlineLevel="0" collapsed="false">
      <c r="A760" s="37" t="s">
        <v>865</v>
      </c>
      <c r="B760" s="38" t="n">
        <v>46319</v>
      </c>
      <c r="C760" s="37" t="n">
        <v>22</v>
      </c>
      <c r="D760" s="37" t="s">
        <v>39</v>
      </c>
      <c r="E760" s="37" t="s">
        <v>46</v>
      </c>
      <c r="F760" s="37" t="s">
        <v>23</v>
      </c>
      <c r="G760" s="39" t="b">
        <f aca="false">TRUE()</f>
        <v>1</v>
      </c>
      <c r="H760" s="37" t="n">
        <v>673.87</v>
      </c>
      <c r="I760" s="37" t="n">
        <v>5</v>
      </c>
      <c r="J760" s="37" t="n">
        <v>47</v>
      </c>
      <c r="K760" s="37" t="n">
        <v>0</v>
      </c>
      <c r="L760" s="37" t="str">
        <f aca="false">IF(C760="","",IF(C760&lt;=5,"Night (00-05)",IF(C760&lt;=11,"Morning (06-11)",IF(C760&lt;=16,"Afternoon (12-16)",IF(C760&lt;=20,"Evening (17-20)","Late (21-23)")))))</f>
        <v>Late (21-23)</v>
      </c>
    </row>
    <row r="761" customFormat="false" ht="15" hidden="false" customHeight="false" outlineLevel="0" collapsed="false">
      <c r="A761" s="37" t="s">
        <v>866</v>
      </c>
      <c r="B761" s="38" t="n">
        <v>46321</v>
      </c>
      <c r="C761" s="37" t="n">
        <v>0</v>
      </c>
      <c r="D761" s="37" t="s">
        <v>40</v>
      </c>
      <c r="E761" s="37" t="s">
        <v>49</v>
      </c>
      <c r="F761" s="37" t="s">
        <v>23</v>
      </c>
      <c r="G761" s="39" t="b">
        <f aca="false">TRUE()</f>
        <v>1</v>
      </c>
      <c r="H761" s="37" t="n">
        <v>617.19</v>
      </c>
      <c r="I761" s="37" t="n">
        <v>5</v>
      </c>
      <c r="J761" s="37" t="n">
        <v>39</v>
      </c>
      <c r="K761" s="37" t="n">
        <v>0</v>
      </c>
      <c r="L761" s="37" t="str">
        <f aca="false">IF(C761="","",IF(C761&lt;=5,"Night (00-05)",IF(C761&lt;=11,"Morning (06-11)",IF(C761&lt;=16,"Afternoon (12-16)",IF(C761&lt;=20,"Evening (17-20)","Late (21-23)")))))</f>
        <v>Night (00-05)</v>
      </c>
    </row>
    <row r="762" customFormat="false" ht="15" hidden="false" customHeight="false" outlineLevel="0" collapsed="false">
      <c r="A762" s="37" t="s">
        <v>867</v>
      </c>
      <c r="B762" s="38" t="n">
        <v>46318</v>
      </c>
      <c r="C762" s="37" t="n">
        <v>18</v>
      </c>
      <c r="D762" s="37" t="s">
        <v>38</v>
      </c>
      <c r="E762" s="37" t="s">
        <v>48</v>
      </c>
      <c r="F762" s="37" t="s">
        <v>23</v>
      </c>
      <c r="G762" s="39" t="b">
        <f aca="false">TRUE()</f>
        <v>1</v>
      </c>
      <c r="H762" s="37" t="n">
        <v>1391.18</v>
      </c>
      <c r="I762" s="37" t="n">
        <v>5</v>
      </c>
      <c r="J762" s="37" t="n">
        <v>38</v>
      </c>
      <c r="K762" s="37" t="n">
        <v>0</v>
      </c>
      <c r="L762" s="37" t="str">
        <f aca="false">IF(C762="","",IF(C762&lt;=5,"Night (00-05)",IF(C762&lt;=11,"Morning (06-11)",IF(C762&lt;=16,"Afternoon (12-16)",IF(C762&lt;=20,"Evening (17-20)","Late (21-23)")))))</f>
        <v>Evening (17-20)</v>
      </c>
    </row>
    <row r="763" customFormat="false" ht="15" hidden="false" customHeight="false" outlineLevel="0" collapsed="false">
      <c r="A763" s="37" t="s">
        <v>868</v>
      </c>
      <c r="B763" s="38" t="n">
        <v>46318</v>
      </c>
      <c r="C763" s="37" t="n">
        <v>1</v>
      </c>
      <c r="D763" s="37" t="s">
        <v>37</v>
      </c>
      <c r="E763" s="37" t="s">
        <v>47</v>
      </c>
      <c r="F763" s="37" t="s">
        <v>23</v>
      </c>
      <c r="G763" s="39" t="b">
        <f aca="false">TRUE()</f>
        <v>1</v>
      </c>
      <c r="H763" s="37" t="n">
        <v>473.98</v>
      </c>
      <c r="I763" s="37" t="n">
        <v>4</v>
      </c>
      <c r="J763" s="37" t="n">
        <v>39</v>
      </c>
      <c r="K763" s="37" t="n">
        <v>0</v>
      </c>
      <c r="L763" s="37" t="str">
        <f aca="false">IF(C763="","",IF(C763&lt;=5,"Night (00-05)",IF(C763&lt;=11,"Morning (06-11)",IF(C763&lt;=16,"Afternoon (12-16)",IF(C763&lt;=20,"Evening (17-20)","Late (21-23)")))))</f>
        <v>Night (00-05)</v>
      </c>
    </row>
    <row r="764" customFormat="false" ht="15" hidden="false" customHeight="false" outlineLevel="0" collapsed="false">
      <c r="A764" s="37" t="s">
        <v>869</v>
      </c>
      <c r="B764" s="38" t="n">
        <v>46320</v>
      </c>
      <c r="C764" s="37" t="n">
        <v>6</v>
      </c>
      <c r="D764" s="37" t="s">
        <v>38</v>
      </c>
      <c r="E764" s="37" t="s">
        <v>48</v>
      </c>
      <c r="F764" s="37" t="s">
        <v>23</v>
      </c>
      <c r="G764" s="39" t="b">
        <f aca="false">TRUE()</f>
        <v>1</v>
      </c>
      <c r="H764" s="37" t="n">
        <v>910.55</v>
      </c>
      <c r="I764" s="37" t="n">
        <v>5</v>
      </c>
      <c r="J764" s="37" t="n">
        <v>36</v>
      </c>
      <c r="K764" s="37" t="n">
        <v>0</v>
      </c>
      <c r="L764" s="37" t="str">
        <f aca="false">IF(C764="","",IF(C764&lt;=5,"Night (00-05)",IF(C764&lt;=11,"Morning (06-11)",IF(C764&lt;=16,"Afternoon (12-16)",IF(C764&lt;=20,"Evening (17-20)","Late (21-23)")))))</f>
        <v>Morning (06-11)</v>
      </c>
    </row>
    <row r="765" customFormat="false" ht="15" hidden="false" customHeight="false" outlineLevel="0" collapsed="false">
      <c r="A765" s="37" t="s">
        <v>870</v>
      </c>
      <c r="B765" s="38" t="n">
        <v>46318</v>
      </c>
      <c r="C765" s="37" t="n">
        <v>0</v>
      </c>
      <c r="D765" s="37" t="s">
        <v>38</v>
      </c>
      <c r="E765" s="37" t="s">
        <v>49</v>
      </c>
      <c r="F765" s="37" t="s">
        <v>23</v>
      </c>
      <c r="G765" s="39" t="b">
        <f aca="false">TRUE()</f>
        <v>1</v>
      </c>
      <c r="H765" s="37" t="n">
        <v>1346.56</v>
      </c>
      <c r="I765" s="37" t="n">
        <v>4</v>
      </c>
      <c r="J765" s="37" t="n">
        <v>25</v>
      </c>
      <c r="K765" s="37" t="n">
        <v>0</v>
      </c>
      <c r="L765" s="37" t="str">
        <f aca="false">IF(C765="","",IF(C765&lt;=5,"Night (00-05)",IF(C765&lt;=11,"Morning (06-11)",IF(C765&lt;=16,"Afternoon (12-16)",IF(C765&lt;=20,"Evening (17-20)","Late (21-23)")))))</f>
        <v>Night (00-05)</v>
      </c>
    </row>
    <row r="766" customFormat="false" ht="15" hidden="false" customHeight="false" outlineLevel="0" collapsed="false">
      <c r="A766" s="37" t="s">
        <v>871</v>
      </c>
      <c r="B766" s="38" t="n">
        <v>46318</v>
      </c>
      <c r="C766" s="37" t="n">
        <v>3</v>
      </c>
      <c r="D766" s="37" t="s">
        <v>40</v>
      </c>
      <c r="E766" s="37" t="s">
        <v>47</v>
      </c>
      <c r="F766" s="37" t="s">
        <v>23</v>
      </c>
      <c r="G766" s="39" t="b">
        <f aca="false">TRUE()</f>
        <v>1</v>
      </c>
      <c r="H766" s="37" t="n">
        <v>816.52</v>
      </c>
      <c r="I766" s="37" t="n">
        <v>4</v>
      </c>
      <c r="J766" s="37" t="n">
        <v>28</v>
      </c>
      <c r="K766" s="37" t="n">
        <v>0</v>
      </c>
      <c r="L766" s="37" t="str">
        <f aca="false">IF(C766="","",IF(C766&lt;=5,"Night (00-05)",IF(C766&lt;=11,"Morning (06-11)",IF(C766&lt;=16,"Afternoon (12-16)",IF(C766&lt;=20,"Evening (17-20)","Late (21-23)")))))</f>
        <v>Night (00-05)</v>
      </c>
    </row>
    <row r="767" customFormat="false" ht="15" hidden="false" customHeight="false" outlineLevel="0" collapsed="false">
      <c r="A767" s="37" t="s">
        <v>872</v>
      </c>
      <c r="B767" s="38" t="n">
        <v>46320</v>
      </c>
      <c r="C767" s="37" t="n">
        <v>1</v>
      </c>
      <c r="D767" s="37" t="s">
        <v>40</v>
      </c>
      <c r="E767" s="37" t="s">
        <v>49</v>
      </c>
      <c r="F767" s="37" t="s">
        <v>23</v>
      </c>
      <c r="G767" s="39" t="b">
        <f aca="false">TRUE()</f>
        <v>1</v>
      </c>
      <c r="H767" s="37" t="n">
        <v>1206.65</v>
      </c>
      <c r="I767" s="37" t="n">
        <v>5</v>
      </c>
      <c r="J767" s="37" t="n">
        <v>27</v>
      </c>
      <c r="K767" s="37" t="n">
        <v>0</v>
      </c>
      <c r="L767" s="37" t="str">
        <f aca="false">IF(C767="","",IF(C767&lt;=5,"Night (00-05)",IF(C767&lt;=11,"Morning (06-11)",IF(C767&lt;=16,"Afternoon (12-16)",IF(C767&lt;=20,"Evening (17-20)","Late (21-23)")))))</f>
        <v>Night (00-05)</v>
      </c>
    </row>
    <row r="768" customFormat="false" ht="15" hidden="false" customHeight="false" outlineLevel="0" collapsed="false">
      <c r="A768" s="37" t="s">
        <v>873</v>
      </c>
      <c r="B768" s="38" t="n">
        <v>46317</v>
      </c>
      <c r="C768" s="37" t="n">
        <v>18</v>
      </c>
      <c r="D768" s="37" t="s">
        <v>39</v>
      </c>
      <c r="E768" s="37" t="s">
        <v>48</v>
      </c>
      <c r="F768" s="37" t="s">
        <v>23</v>
      </c>
      <c r="G768" s="39" t="b">
        <f aca="false">TRUE()</f>
        <v>1</v>
      </c>
      <c r="H768" s="37" t="n">
        <v>673.2</v>
      </c>
      <c r="I768" s="37" t="n">
        <v>4</v>
      </c>
      <c r="J768" s="37" t="n">
        <v>26</v>
      </c>
      <c r="K768" s="37" t="n">
        <v>0</v>
      </c>
      <c r="L768" s="37" t="str">
        <f aca="false">IF(C768="","",IF(C768&lt;=5,"Night (00-05)",IF(C768&lt;=11,"Morning (06-11)",IF(C768&lt;=16,"Afternoon (12-16)",IF(C768&lt;=20,"Evening (17-20)","Late (21-23)")))))</f>
        <v>Evening (17-20)</v>
      </c>
    </row>
    <row r="769" customFormat="false" ht="15" hidden="false" customHeight="false" outlineLevel="0" collapsed="false">
      <c r="A769" s="37" t="s">
        <v>874</v>
      </c>
      <c r="B769" s="38" t="n">
        <v>46317</v>
      </c>
      <c r="C769" s="37" t="n">
        <v>20</v>
      </c>
      <c r="D769" s="37" t="s">
        <v>38</v>
      </c>
      <c r="E769" s="37" t="s">
        <v>49</v>
      </c>
      <c r="F769" s="37" t="s">
        <v>23</v>
      </c>
      <c r="G769" s="39" t="b">
        <f aca="false">TRUE()</f>
        <v>1</v>
      </c>
      <c r="H769" s="37" t="n">
        <v>1172.43</v>
      </c>
      <c r="I769" s="37" t="n">
        <v>4</v>
      </c>
      <c r="J769" s="37" t="n">
        <v>27</v>
      </c>
      <c r="K769" s="37" t="n">
        <v>0</v>
      </c>
      <c r="L769" s="37" t="str">
        <f aca="false">IF(C769="","",IF(C769&lt;=5,"Night (00-05)",IF(C769&lt;=11,"Morning (06-11)",IF(C769&lt;=16,"Afternoon (12-16)",IF(C769&lt;=20,"Evening (17-20)","Late (21-23)")))))</f>
        <v>Evening (17-20)</v>
      </c>
    </row>
    <row r="770" customFormat="false" ht="15" hidden="false" customHeight="false" outlineLevel="0" collapsed="false">
      <c r="A770" s="37" t="s">
        <v>875</v>
      </c>
      <c r="B770" s="38" t="n">
        <v>46318</v>
      </c>
      <c r="C770" s="37" t="n">
        <v>21</v>
      </c>
      <c r="D770" s="37" t="s">
        <v>37</v>
      </c>
      <c r="E770" s="37" t="s">
        <v>46</v>
      </c>
      <c r="F770" s="37" t="s">
        <v>23</v>
      </c>
      <c r="G770" s="39" t="b">
        <f aca="false">TRUE()</f>
        <v>1</v>
      </c>
      <c r="H770" s="37" t="n">
        <v>636.61</v>
      </c>
      <c r="I770" s="37" t="n">
        <v>2</v>
      </c>
      <c r="J770" s="37" t="n">
        <v>39</v>
      </c>
      <c r="K770" s="37" t="n">
        <v>0</v>
      </c>
      <c r="L770" s="37" t="str">
        <f aca="false">IF(C770="","",IF(C770&lt;=5,"Night (00-05)",IF(C770&lt;=11,"Morning (06-11)",IF(C770&lt;=16,"Afternoon (12-16)",IF(C770&lt;=20,"Evening (17-20)","Late (21-23)")))))</f>
        <v>Late (21-23)</v>
      </c>
    </row>
    <row r="771" customFormat="false" ht="15" hidden="false" customHeight="false" outlineLevel="0" collapsed="false">
      <c r="A771" s="37" t="s">
        <v>876</v>
      </c>
      <c r="B771" s="38" t="n">
        <v>46319</v>
      </c>
      <c r="C771" s="37" t="n">
        <v>12</v>
      </c>
      <c r="D771" s="37" t="s">
        <v>38</v>
      </c>
      <c r="E771" s="37" t="s">
        <v>48</v>
      </c>
      <c r="F771" s="37" t="s">
        <v>23</v>
      </c>
      <c r="G771" s="39" t="b">
        <f aca="false">TRUE()</f>
        <v>1</v>
      </c>
      <c r="H771" s="37" t="n">
        <v>976.09</v>
      </c>
      <c r="I771" s="37" t="n">
        <v>5</v>
      </c>
      <c r="J771" s="37" t="n">
        <v>43</v>
      </c>
      <c r="K771" s="37" t="n">
        <v>0</v>
      </c>
      <c r="L771" s="37" t="str">
        <f aca="false">IF(C771="","",IF(C771&lt;=5,"Night (00-05)",IF(C771&lt;=11,"Morning (06-11)",IF(C771&lt;=16,"Afternoon (12-16)",IF(C771&lt;=20,"Evening (17-20)","Late (21-23)")))))</f>
        <v>Afternoon (12-16)</v>
      </c>
    </row>
    <row r="772" customFormat="false" ht="15" hidden="false" customHeight="false" outlineLevel="0" collapsed="false">
      <c r="A772" s="37" t="s">
        <v>877</v>
      </c>
      <c r="B772" s="38" t="n">
        <v>46320</v>
      </c>
      <c r="C772" s="37" t="n">
        <v>15</v>
      </c>
      <c r="D772" s="37" t="s">
        <v>39</v>
      </c>
      <c r="E772" s="37" t="s">
        <v>49</v>
      </c>
      <c r="F772" s="37" t="s">
        <v>129</v>
      </c>
      <c r="G772" s="39" t="b">
        <f aca="false">FALSE()</f>
        <v>0</v>
      </c>
      <c r="H772" s="37" t="n">
        <v>302.15</v>
      </c>
      <c r="K772" s="37" t="n">
        <v>0</v>
      </c>
      <c r="L772" s="37" t="str">
        <f aca="false">IF(C772="","",IF(C772&lt;=5,"Night (00-05)",IF(C772&lt;=11,"Morning (06-11)",IF(C772&lt;=16,"Afternoon (12-16)",IF(C772&lt;=20,"Evening (17-20)","Late (21-23)")))))</f>
        <v>Afternoon (12-16)</v>
      </c>
    </row>
    <row r="773" customFormat="false" ht="15" hidden="false" customHeight="false" outlineLevel="0" collapsed="false">
      <c r="A773" s="37" t="s">
        <v>878</v>
      </c>
      <c r="B773" s="38" t="n">
        <v>46317</v>
      </c>
      <c r="C773" s="37" t="n">
        <v>18</v>
      </c>
      <c r="D773" s="37" t="s">
        <v>37</v>
      </c>
      <c r="E773" s="37" t="s">
        <v>46</v>
      </c>
      <c r="F773" s="37" t="s">
        <v>113</v>
      </c>
      <c r="G773" s="39" t="b">
        <f aca="false">TRUE()</f>
        <v>1</v>
      </c>
      <c r="H773" s="37" t="n">
        <v>504.19</v>
      </c>
      <c r="K773" s="37" t="n">
        <v>0</v>
      </c>
      <c r="L773" s="37" t="str">
        <f aca="false">IF(C773="","",IF(C773&lt;=5,"Night (00-05)",IF(C773&lt;=11,"Morning (06-11)",IF(C773&lt;=16,"Afternoon (12-16)",IF(C773&lt;=20,"Evening (17-20)","Late (21-23)")))))</f>
        <v>Evening (17-20)</v>
      </c>
    </row>
    <row r="774" customFormat="false" ht="15" hidden="false" customHeight="false" outlineLevel="0" collapsed="false">
      <c r="A774" s="37" t="s">
        <v>879</v>
      </c>
      <c r="B774" s="38" t="n">
        <v>46319</v>
      </c>
      <c r="C774" s="37" t="n">
        <v>0</v>
      </c>
      <c r="D774" s="37" t="s">
        <v>39</v>
      </c>
      <c r="E774" s="37" t="s">
        <v>47</v>
      </c>
      <c r="F774" s="37" t="s">
        <v>23</v>
      </c>
      <c r="G774" s="39" t="b">
        <f aca="false">TRUE()</f>
        <v>1</v>
      </c>
      <c r="H774" s="37" t="n">
        <v>408.61</v>
      </c>
      <c r="I774" s="37" t="n">
        <v>4</v>
      </c>
      <c r="J774" s="37" t="n">
        <v>51</v>
      </c>
      <c r="K774" s="37" t="n">
        <v>0</v>
      </c>
      <c r="L774" s="37" t="str">
        <f aca="false">IF(C774="","",IF(C774&lt;=5,"Night (00-05)",IF(C774&lt;=11,"Morning (06-11)",IF(C774&lt;=16,"Afternoon (12-16)",IF(C774&lt;=20,"Evening (17-20)","Late (21-23)")))))</f>
        <v>Night (00-05)</v>
      </c>
    </row>
    <row r="775" customFormat="false" ht="15" hidden="false" customHeight="false" outlineLevel="0" collapsed="false">
      <c r="A775" s="37" t="s">
        <v>880</v>
      </c>
      <c r="B775" s="38" t="n">
        <v>46319</v>
      </c>
      <c r="C775" s="37" t="n">
        <v>4</v>
      </c>
      <c r="D775" s="37" t="s">
        <v>39</v>
      </c>
      <c r="E775" s="37" t="s">
        <v>47</v>
      </c>
      <c r="F775" s="37" t="s">
        <v>23</v>
      </c>
      <c r="G775" s="39" t="b">
        <f aca="false">TRUE()</f>
        <v>1</v>
      </c>
      <c r="H775" s="37" t="n">
        <v>628.76</v>
      </c>
      <c r="I775" s="37" t="n">
        <v>3</v>
      </c>
      <c r="J775" s="37" t="n">
        <v>52</v>
      </c>
      <c r="K775" s="37" t="n">
        <v>0</v>
      </c>
      <c r="L775" s="37" t="str">
        <f aca="false">IF(C775="","",IF(C775&lt;=5,"Night (00-05)",IF(C775&lt;=11,"Morning (06-11)",IF(C775&lt;=16,"Afternoon (12-16)",IF(C775&lt;=20,"Evening (17-20)","Late (21-23)")))))</f>
        <v>Night (00-05)</v>
      </c>
    </row>
    <row r="776" customFormat="false" ht="15" hidden="false" customHeight="false" outlineLevel="0" collapsed="false">
      <c r="A776" s="37" t="s">
        <v>881</v>
      </c>
      <c r="B776" s="38" t="n">
        <v>46319</v>
      </c>
      <c r="C776" s="37" t="n">
        <v>0</v>
      </c>
      <c r="D776" s="37" t="s">
        <v>40</v>
      </c>
      <c r="E776" s="37" t="s">
        <v>49</v>
      </c>
      <c r="F776" s="37" t="s">
        <v>23</v>
      </c>
      <c r="G776" s="39" t="b">
        <f aca="false">TRUE()</f>
        <v>1</v>
      </c>
      <c r="H776" s="37" t="n">
        <v>1055.17</v>
      </c>
      <c r="I776" s="37" t="n">
        <v>5</v>
      </c>
      <c r="J776" s="37" t="n">
        <v>31</v>
      </c>
      <c r="K776" s="37" t="n">
        <v>0</v>
      </c>
      <c r="L776" s="37" t="str">
        <f aca="false">IF(C776="","",IF(C776&lt;=5,"Night (00-05)",IF(C776&lt;=11,"Morning (06-11)",IF(C776&lt;=16,"Afternoon (12-16)",IF(C776&lt;=20,"Evening (17-20)","Late (21-23)")))))</f>
        <v>Night (00-05)</v>
      </c>
    </row>
    <row r="777" customFormat="false" ht="15" hidden="false" customHeight="false" outlineLevel="0" collapsed="false">
      <c r="A777" s="37" t="s">
        <v>882</v>
      </c>
      <c r="B777" s="38" t="n">
        <v>46322</v>
      </c>
      <c r="C777" s="37" t="n">
        <v>0</v>
      </c>
      <c r="D777" s="37" t="s">
        <v>37</v>
      </c>
      <c r="E777" s="37" t="s">
        <v>46</v>
      </c>
      <c r="F777" s="37" t="s">
        <v>23</v>
      </c>
      <c r="G777" s="39" t="b">
        <f aca="false">TRUE()</f>
        <v>1</v>
      </c>
      <c r="H777" s="37" t="n">
        <v>555.86</v>
      </c>
      <c r="I777" s="37" t="n">
        <v>4</v>
      </c>
      <c r="J777" s="37" t="n">
        <v>30</v>
      </c>
      <c r="K777" s="37" t="n">
        <v>0</v>
      </c>
      <c r="L777" s="37" t="str">
        <f aca="false">IF(C777="","",IF(C777&lt;=5,"Night (00-05)",IF(C777&lt;=11,"Morning (06-11)",IF(C777&lt;=16,"Afternoon (12-16)",IF(C777&lt;=20,"Evening (17-20)","Late (21-23)")))))</f>
        <v>Night (00-05)</v>
      </c>
    </row>
    <row r="778" customFormat="false" ht="15" hidden="false" customHeight="false" outlineLevel="0" collapsed="false">
      <c r="A778" s="37" t="s">
        <v>883</v>
      </c>
      <c r="B778" s="38" t="n">
        <v>46321</v>
      </c>
      <c r="C778" s="37" t="n">
        <v>5</v>
      </c>
      <c r="D778" s="37" t="s">
        <v>37</v>
      </c>
      <c r="E778" s="37" t="s">
        <v>49</v>
      </c>
      <c r="F778" s="37" t="s">
        <v>23</v>
      </c>
      <c r="G778" s="39" t="b">
        <f aca="false">TRUE()</f>
        <v>1</v>
      </c>
      <c r="H778" s="37" t="n">
        <v>795.32</v>
      </c>
      <c r="I778" s="37" t="n">
        <v>5</v>
      </c>
      <c r="J778" s="37" t="n">
        <v>50</v>
      </c>
      <c r="K778" s="37" t="n">
        <v>0</v>
      </c>
      <c r="L778" s="37" t="str">
        <f aca="false">IF(C778="","",IF(C778&lt;=5,"Night (00-05)",IF(C778&lt;=11,"Morning (06-11)",IF(C778&lt;=16,"Afternoon (12-16)",IF(C778&lt;=20,"Evening (17-20)","Late (21-23)")))))</f>
        <v>Night (00-05)</v>
      </c>
    </row>
    <row r="779" customFormat="false" ht="15" hidden="false" customHeight="false" outlineLevel="0" collapsed="false">
      <c r="A779" s="37" t="s">
        <v>884</v>
      </c>
      <c r="B779" s="38" t="n">
        <v>46316</v>
      </c>
      <c r="C779" s="37" t="n">
        <v>17</v>
      </c>
      <c r="D779" s="37" t="s">
        <v>40</v>
      </c>
      <c r="E779" s="37" t="s">
        <v>46</v>
      </c>
      <c r="F779" s="37" t="s">
        <v>23</v>
      </c>
      <c r="G779" s="39" t="b">
        <f aca="false">TRUE()</f>
        <v>1</v>
      </c>
      <c r="H779" s="37" t="n">
        <v>657.93</v>
      </c>
      <c r="I779" s="37" t="n">
        <v>4</v>
      </c>
      <c r="J779" s="37" t="n">
        <v>31</v>
      </c>
      <c r="K779" s="37" t="n">
        <v>0</v>
      </c>
      <c r="L779" s="37" t="str">
        <f aca="false">IF(C779="","",IF(C779&lt;=5,"Night (00-05)",IF(C779&lt;=11,"Morning (06-11)",IF(C779&lt;=16,"Afternoon (12-16)",IF(C779&lt;=20,"Evening (17-20)","Late (21-23)")))))</f>
        <v>Evening (17-20)</v>
      </c>
    </row>
    <row r="780" customFormat="false" ht="15" hidden="false" customHeight="false" outlineLevel="0" collapsed="false">
      <c r="A780" s="37" t="s">
        <v>885</v>
      </c>
      <c r="B780" s="38" t="n">
        <v>46319</v>
      </c>
      <c r="C780" s="37" t="n">
        <v>4</v>
      </c>
      <c r="D780" s="37" t="s">
        <v>37</v>
      </c>
      <c r="E780" s="37" t="s">
        <v>47</v>
      </c>
      <c r="F780" s="37" t="s">
        <v>113</v>
      </c>
      <c r="G780" s="39" t="b">
        <f aca="false">TRUE()</f>
        <v>1</v>
      </c>
      <c r="H780" s="37" t="n">
        <v>873.05</v>
      </c>
      <c r="K780" s="37" t="n">
        <v>0</v>
      </c>
      <c r="L780" s="37" t="str">
        <f aca="false">IF(C780="","",IF(C780&lt;=5,"Night (00-05)",IF(C780&lt;=11,"Morning (06-11)",IF(C780&lt;=16,"Afternoon (12-16)",IF(C780&lt;=20,"Evening (17-20)","Late (21-23)")))))</f>
        <v>Night (00-05)</v>
      </c>
    </row>
    <row r="781" customFormat="false" ht="15" hidden="false" customHeight="false" outlineLevel="0" collapsed="false">
      <c r="A781" s="37" t="s">
        <v>886</v>
      </c>
      <c r="B781" s="38" t="n">
        <v>46321</v>
      </c>
      <c r="C781" s="37" t="n">
        <v>0</v>
      </c>
      <c r="D781" s="37" t="s">
        <v>38</v>
      </c>
      <c r="E781" s="37" t="s">
        <v>49</v>
      </c>
      <c r="F781" s="37" t="s">
        <v>23</v>
      </c>
      <c r="G781" s="39" t="b">
        <f aca="false">TRUE()</f>
        <v>1</v>
      </c>
      <c r="H781" s="37" t="n">
        <v>937.79</v>
      </c>
      <c r="I781" s="37" t="n">
        <v>2</v>
      </c>
      <c r="J781" s="37" t="n">
        <v>30</v>
      </c>
      <c r="K781" s="37" t="n">
        <v>0</v>
      </c>
      <c r="L781" s="37" t="str">
        <f aca="false">IF(C781="","",IF(C781&lt;=5,"Night (00-05)",IF(C781&lt;=11,"Morning (06-11)",IF(C781&lt;=16,"Afternoon (12-16)",IF(C781&lt;=20,"Evening (17-20)","Late (21-23)")))))</f>
        <v>Night (00-05)</v>
      </c>
    </row>
    <row r="782" customFormat="false" ht="15" hidden="false" customHeight="false" outlineLevel="0" collapsed="false">
      <c r="A782" s="37" t="s">
        <v>887</v>
      </c>
      <c r="B782" s="38" t="n">
        <v>46319</v>
      </c>
      <c r="C782" s="37" t="n">
        <v>20</v>
      </c>
      <c r="D782" s="37" t="s">
        <v>38</v>
      </c>
      <c r="E782" s="37" t="s">
        <v>46</v>
      </c>
      <c r="F782" s="37" t="s">
        <v>23</v>
      </c>
      <c r="G782" s="39" t="b">
        <f aca="false">TRUE()</f>
        <v>1</v>
      </c>
      <c r="H782" s="37" t="n">
        <v>918.09</v>
      </c>
      <c r="I782" s="37" t="n">
        <v>5</v>
      </c>
      <c r="J782" s="37" t="n">
        <v>20</v>
      </c>
      <c r="K782" s="37" t="n">
        <v>0</v>
      </c>
      <c r="L782" s="37" t="str">
        <f aca="false">IF(C782="","",IF(C782&lt;=5,"Night (00-05)",IF(C782&lt;=11,"Morning (06-11)",IF(C782&lt;=16,"Afternoon (12-16)",IF(C782&lt;=20,"Evening (17-20)","Late (21-23)")))))</f>
        <v>Evening (17-20)</v>
      </c>
    </row>
    <row r="783" customFormat="false" ht="15" hidden="false" customHeight="false" outlineLevel="0" collapsed="false">
      <c r="A783" s="37" t="s">
        <v>888</v>
      </c>
      <c r="B783" s="38" t="n">
        <v>46319</v>
      </c>
      <c r="C783" s="37" t="n">
        <v>2</v>
      </c>
      <c r="D783" s="37" t="s">
        <v>39</v>
      </c>
      <c r="E783" s="37" t="s">
        <v>47</v>
      </c>
      <c r="F783" s="37" t="s">
        <v>23</v>
      </c>
      <c r="G783" s="39" t="b">
        <f aca="false">TRUE()</f>
        <v>1</v>
      </c>
      <c r="H783" s="37" t="n">
        <v>388.79</v>
      </c>
      <c r="I783" s="37" t="n">
        <v>4</v>
      </c>
      <c r="J783" s="37" t="n">
        <v>37</v>
      </c>
      <c r="K783" s="37" t="n">
        <v>0</v>
      </c>
      <c r="L783" s="37" t="str">
        <f aca="false">IF(C783="","",IF(C783&lt;=5,"Night (00-05)",IF(C783&lt;=11,"Morning (06-11)",IF(C783&lt;=16,"Afternoon (12-16)",IF(C783&lt;=20,"Evening (17-20)","Late (21-23)")))))</f>
        <v>Night (00-05)</v>
      </c>
    </row>
    <row r="784" customFormat="false" ht="15" hidden="false" customHeight="false" outlineLevel="0" collapsed="false">
      <c r="A784" s="37" t="s">
        <v>889</v>
      </c>
      <c r="B784" s="38" t="n">
        <v>46318</v>
      </c>
      <c r="C784" s="37" t="n">
        <v>19</v>
      </c>
      <c r="D784" s="37" t="s">
        <v>37</v>
      </c>
      <c r="E784" s="37" t="s">
        <v>48</v>
      </c>
      <c r="F784" s="37" t="s">
        <v>23</v>
      </c>
      <c r="G784" s="39" t="b">
        <f aca="false">TRUE()</f>
        <v>1</v>
      </c>
      <c r="H784" s="37" t="n">
        <v>896.6</v>
      </c>
      <c r="I784" s="37" t="n">
        <v>4</v>
      </c>
      <c r="J784" s="37" t="n">
        <v>32</v>
      </c>
      <c r="K784" s="37" t="n">
        <v>0</v>
      </c>
      <c r="L784" s="37" t="str">
        <f aca="false">IF(C784="","",IF(C784&lt;=5,"Night (00-05)",IF(C784&lt;=11,"Morning (06-11)",IF(C784&lt;=16,"Afternoon (12-16)",IF(C784&lt;=20,"Evening (17-20)","Late (21-23)")))))</f>
        <v>Evening (17-20)</v>
      </c>
    </row>
    <row r="785" customFormat="false" ht="15" hidden="false" customHeight="false" outlineLevel="0" collapsed="false">
      <c r="A785" s="37" t="s">
        <v>890</v>
      </c>
      <c r="B785" s="38" t="n">
        <v>46319</v>
      </c>
      <c r="C785" s="37" t="n">
        <v>2</v>
      </c>
      <c r="D785" s="37" t="s">
        <v>40</v>
      </c>
      <c r="E785" s="37" t="s">
        <v>48</v>
      </c>
      <c r="F785" s="37" t="s">
        <v>113</v>
      </c>
      <c r="G785" s="39" t="b">
        <f aca="false">TRUE()</f>
        <v>1</v>
      </c>
      <c r="H785" s="37" t="n">
        <v>993.14</v>
      </c>
      <c r="K785" s="37" t="n">
        <v>0</v>
      </c>
      <c r="L785" s="37" t="str">
        <f aca="false">IF(C785="","",IF(C785&lt;=5,"Night (00-05)",IF(C785&lt;=11,"Morning (06-11)",IF(C785&lt;=16,"Afternoon (12-16)",IF(C785&lt;=20,"Evening (17-20)","Late (21-23)")))))</f>
        <v>Night (00-05)</v>
      </c>
    </row>
    <row r="786" customFormat="false" ht="15" hidden="false" customHeight="false" outlineLevel="0" collapsed="false">
      <c r="A786" s="37" t="s">
        <v>891</v>
      </c>
      <c r="B786" s="38" t="n">
        <v>46317</v>
      </c>
      <c r="C786" s="37" t="n">
        <v>23</v>
      </c>
      <c r="D786" s="37" t="s">
        <v>38</v>
      </c>
      <c r="E786" s="37" t="s">
        <v>47</v>
      </c>
      <c r="F786" s="37" t="s">
        <v>23</v>
      </c>
      <c r="G786" s="39" t="b">
        <f aca="false">TRUE()</f>
        <v>1</v>
      </c>
      <c r="H786" s="37" t="n">
        <v>1127.22</v>
      </c>
      <c r="I786" s="37" t="n">
        <v>5</v>
      </c>
      <c r="J786" s="37" t="n">
        <v>45</v>
      </c>
      <c r="K786" s="37" t="n">
        <v>0</v>
      </c>
      <c r="L786" s="37" t="str">
        <f aca="false">IF(C786="","",IF(C786&lt;=5,"Night (00-05)",IF(C786&lt;=11,"Morning (06-11)",IF(C786&lt;=16,"Afternoon (12-16)",IF(C786&lt;=20,"Evening (17-20)","Late (21-23)")))))</f>
        <v>Late (21-23)</v>
      </c>
    </row>
    <row r="787" customFormat="false" ht="15" hidden="false" customHeight="false" outlineLevel="0" collapsed="false">
      <c r="A787" s="37" t="s">
        <v>892</v>
      </c>
      <c r="B787" s="38" t="n">
        <v>46320</v>
      </c>
      <c r="C787" s="37" t="n">
        <v>19</v>
      </c>
      <c r="D787" s="37" t="s">
        <v>40</v>
      </c>
      <c r="E787" s="37" t="s">
        <v>47</v>
      </c>
      <c r="F787" s="37" t="s">
        <v>23</v>
      </c>
      <c r="G787" s="39" t="b">
        <f aca="false">TRUE()</f>
        <v>1</v>
      </c>
      <c r="H787" s="37" t="n">
        <v>575.22</v>
      </c>
      <c r="I787" s="37" t="n">
        <v>5</v>
      </c>
      <c r="J787" s="37" t="n">
        <v>41</v>
      </c>
      <c r="K787" s="37" t="n">
        <v>0</v>
      </c>
      <c r="L787" s="37" t="str">
        <f aca="false">IF(C787="","",IF(C787&lt;=5,"Night (00-05)",IF(C787&lt;=11,"Morning (06-11)",IF(C787&lt;=16,"Afternoon (12-16)",IF(C787&lt;=20,"Evening (17-20)","Late (21-23)")))))</f>
        <v>Evening (17-20)</v>
      </c>
    </row>
    <row r="788" customFormat="false" ht="15" hidden="false" customHeight="false" outlineLevel="0" collapsed="false">
      <c r="A788" s="37" t="s">
        <v>893</v>
      </c>
      <c r="B788" s="38" t="n">
        <v>46319</v>
      </c>
      <c r="C788" s="37" t="n">
        <v>3</v>
      </c>
      <c r="D788" s="37" t="s">
        <v>38</v>
      </c>
      <c r="E788" s="37" t="s">
        <v>47</v>
      </c>
      <c r="F788" s="37" t="s">
        <v>23</v>
      </c>
      <c r="G788" s="39" t="b">
        <f aca="false">TRUE()</f>
        <v>1</v>
      </c>
      <c r="H788" s="37" t="n">
        <v>976.56</v>
      </c>
      <c r="I788" s="37" t="n">
        <v>5</v>
      </c>
      <c r="J788" s="37" t="n">
        <v>39</v>
      </c>
      <c r="K788" s="37" t="n">
        <v>0</v>
      </c>
      <c r="L788" s="37" t="str">
        <f aca="false">IF(C788="","",IF(C788&lt;=5,"Night (00-05)",IF(C788&lt;=11,"Morning (06-11)",IF(C788&lt;=16,"Afternoon (12-16)",IF(C788&lt;=20,"Evening (17-20)","Late (21-23)")))))</f>
        <v>Night (00-05)</v>
      </c>
    </row>
    <row r="789" customFormat="false" ht="15" hidden="false" customHeight="false" outlineLevel="0" collapsed="false">
      <c r="A789" s="37" t="s">
        <v>894</v>
      </c>
      <c r="B789" s="38" t="n">
        <v>46320</v>
      </c>
      <c r="C789" s="37" t="n">
        <v>19</v>
      </c>
      <c r="D789" s="37" t="s">
        <v>38</v>
      </c>
      <c r="E789" s="37" t="s">
        <v>48</v>
      </c>
      <c r="F789" s="37" t="s">
        <v>23</v>
      </c>
      <c r="G789" s="39" t="b">
        <f aca="false">TRUE()</f>
        <v>1</v>
      </c>
      <c r="H789" s="37" t="n">
        <v>981.2</v>
      </c>
      <c r="I789" s="37" t="n">
        <v>5</v>
      </c>
      <c r="J789" s="37" t="n">
        <v>41</v>
      </c>
      <c r="K789" s="37" t="n">
        <v>0</v>
      </c>
      <c r="L789" s="37" t="str">
        <f aca="false">IF(C789="","",IF(C789&lt;=5,"Night (00-05)",IF(C789&lt;=11,"Morning (06-11)",IF(C789&lt;=16,"Afternoon (12-16)",IF(C789&lt;=20,"Evening (17-20)","Late (21-23)")))))</f>
        <v>Evening (17-20)</v>
      </c>
    </row>
    <row r="790" customFormat="false" ht="15" hidden="false" customHeight="false" outlineLevel="0" collapsed="false">
      <c r="A790" s="37" t="s">
        <v>895</v>
      </c>
      <c r="B790" s="38" t="n">
        <v>46316</v>
      </c>
      <c r="C790" s="37" t="n">
        <v>15</v>
      </c>
      <c r="D790" s="37" t="s">
        <v>39</v>
      </c>
      <c r="E790" s="37" t="s">
        <v>48</v>
      </c>
      <c r="F790" s="37" t="s">
        <v>23</v>
      </c>
      <c r="G790" s="39" t="b">
        <f aca="false">TRUE()</f>
        <v>1</v>
      </c>
      <c r="H790" s="37" t="n">
        <v>403.16</v>
      </c>
      <c r="I790" s="37" t="n">
        <v>4</v>
      </c>
      <c r="J790" s="37" t="n">
        <v>28</v>
      </c>
      <c r="K790" s="37" t="n">
        <v>0</v>
      </c>
      <c r="L790" s="37" t="str">
        <f aca="false">IF(C790="","",IF(C790&lt;=5,"Night (00-05)",IF(C790&lt;=11,"Morning (06-11)",IF(C790&lt;=16,"Afternoon (12-16)",IF(C790&lt;=20,"Evening (17-20)","Late (21-23)")))))</f>
        <v>Afternoon (12-16)</v>
      </c>
    </row>
    <row r="791" customFormat="false" ht="15" hidden="false" customHeight="false" outlineLevel="0" collapsed="false">
      <c r="A791" s="37" t="s">
        <v>896</v>
      </c>
      <c r="B791" s="38" t="n">
        <v>46321</v>
      </c>
      <c r="C791" s="37" t="n">
        <v>18</v>
      </c>
      <c r="D791" s="37" t="s">
        <v>39</v>
      </c>
      <c r="E791" s="37" t="s">
        <v>46</v>
      </c>
      <c r="F791" s="37" t="s">
        <v>23</v>
      </c>
      <c r="G791" s="39" t="b">
        <f aca="false">TRUE()</f>
        <v>1</v>
      </c>
      <c r="H791" s="37" t="n">
        <v>660.12</v>
      </c>
      <c r="I791" s="37" t="n">
        <v>4</v>
      </c>
      <c r="J791" s="37" t="n">
        <v>36</v>
      </c>
      <c r="K791" s="37" t="n">
        <v>0</v>
      </c>
      <c r="L791" s="37" t="str">
        <f aca="false">IF(C791="","",IF(C791&lt;=5,"Night (00-05)",IF(C791&lt;=11,"Morning (06-11)",IF(C791&lt;=16,"Afternoon (12-16)",IF(C791&lt;=20,"Evening (17-20)","Late (21-23)")))))</f>
        <v>Evening (17-20)</v>
      </c>
    </row>
    <row r="792" customFormat="false" ht="15" hidden="false" customHeight="false" outlineLevel="0" collapsed="false">
      <c r="A792" s="37" t="s">
        <v>897</v>
      </c>
      <c r="B792" s="38" t="n">
        <v>46319</v>
      </c>
      <c r="C792" s="37" t="n">
        <v>3</v>
      </c>
      <c r="D792" s="37" t="s">
        <v>39</v>
      </c>
      <c r="E792" s="37" t="s">
        <v>48</v>
      </c>
      <c r="F792" s="37" t="s">
        <v>113</v>
      </c>
      <c r="G792" s="39" t="b">
        <f aca="false">TRUE()</f>
        <v>1</v>
      </c>
      <c r="H792" s="37" t="n">
        <v>521.27</v>
      </c>
      <c r="K792" s="37" t="n">
        <v>0</v>
      </c>
      <c r="L792" s="37" t="str">
        <f aca="false">IF(C792="","",IF(C792&lt;=5,"Night (00-05)",IF(C792&lt;=11,"Morning (06-11)",IF(C792&lt;=16,"Afternoon (12-16)",IF(C792&lt;=20,"Evening (17-20)","Late (21-23)")))))</f>
        <v>Night (00-05)</v>
      </c>
    </row>
    <row r="793" customFormat="false" ht="15" hidden="false" customHeight="false" outlineLevel="0" collapsed="false">
      <c r="A793" s="37" t="s">
        <v>898</v>
      </c>
      <c r="B793" s="38" t="n">
        <v>46321</v>
      </c>
      <c r="C793" s="37" t="n">
        <v>2</v>
      </c>
      <c r="D793" s="37" t="s">
        <v>37</v>
      </c>
      <c r="E793" s="37" t="s">
        <v>47</v>
      </c>
      <c r="F793" s="37" t="s">
        <v>23</v>
      </c>
      <c r="G793" s="39" t="b">
        <f aca="false">TRUE()</f>
        <v>1</v>
      </c>
      <c r="H793" s="37" t="n">
        <v>513.93</v>
      </c>
      <c r="I793" s="37" t="n">
        <v>4</v>
      </c>
      <c r="J793" s="37" t="n">
        <v>36</v>
      </c>
      <c r="K793" s="37" t="n">
        <v>0</v>
      </c>
      <c r="L793" s="37" t="str">
        <f aca="false">IF(C793="","",IF(C793&lt;=5,"Night (00-05)",IF(C793&lt;=11,"Morning (06-11)",IF(C793&lt;=16,"Afternoon (12-16)",IF(C793&lt;=20,"Evening (17-20)","Late (21-23)")))))</f>
        <v>Night (00-05)</v>
      </c>
    </row>
    <row r="794" customFormat="false" ht="15" hidden="false" customHeight="false" outlineLevel="0" collapsed="false">
      <c r="A794" s="37" t="s">
        <v>899</v>
      </c>
      <c r="B794" s="38" t="n">
        <v>46318</v>
      </c>
      <c r="C794" s="37" t="n">
        <v>20</v>
      </c>
      <c r="D794" s="37" t="s">
        <v>39</v>
      </c>
      <c r="E794" s="37" t="s">
        <v>47</v>
      </c>
      <c r="F794" s="37" t="s">
        <v>129</v>
      </c>
      <c r="G794" s="39" t="b">
        <f aca="false">FALSE()</f>
        <v>0</v>
      </c>
      <c r="H794" s="37" t="n">
        <v>475.61</v>
      </c>
      <c r="K794" s="37" t="n">
        <v>0</v>
      </c>
      <c r="L794" s="37" t="str">
        <f aca="false">IF(C794="","",IF(C794&lt;=5,"Night (00-05)",IF(C794&lt;=11,"Morning (06-11)",IF(C794&lt;=16,"Afternoon (12-16)",IF(C794&lt;=20,"Evening (17-20)","Late (21-23)")))))</f>
        <v>Evening (17-20)</v>
      </c>
    </row>
    <row r="795" customFormat="false" ht="15" hidden="false" customHeight="false" outlineLevel="0" collapsed="false">
      <c r="A795" s="37" t="s">
        <v>900</v>
      </c>
      <c r="B795" s="38" t="n">
        <v>46319</v>
      </c>
      <c r="C795" s="37" t="n">
        <v>21</v>
      </c>
      <c r="D795" s="37" t="s">
        <v>37</v>
      </c>
      <c r="E795" s="37" t="s">
        <v>47</v>
      </c>
      <c r="F795" s="37" t="s">
        <v>23</v>
      </c>
      <c r="G795" s="39" t="b">
        <f aca="false">TRUE()</f>
        <v>1</v>
      </c>
      <c r="H795" s="37" t="n">
        <v>573.8</v>
      </c>
      <c r="I795" s="37" t="n">
        <v>4</v>
      </c>
      <c r="J795" s="37" t="n">
        <v>38</v>
      </c>
      <c r="K795" s="37" t="n">
        <v>0</v>
      </c>
      <c r="L795" s="37" t="str">
        <f aca="false">IF(C795="","",IF(C795&lt;=5,"Night (00-05)",IF(C795&lt;=11,"Morning (06-11)",IF(C795&lt;=16,"Afternoon (12-16)",IF(C795&lt;=20,"Evening (17-20)","Late (21-23)")))))</f>
        <v>Late (21-23)</v>
      </c>
    </row>
    <row r="796" customFormat="false" ht="15" hidden="false" customHeight="false" outlineLevel="0" collapsed="false">
      <c r="A796" s="37" t="s">
        <v>901</v>
      </c>
      <c r="B796" s="38" t="n">
        <v>46317</v>
      </c>
      <c r="C796" s="37" t="n">
        <v>1</v>
      </c>
      <c r="D796" s="37" t="s">
        <v>37</v>
      </c>
      <c r="E796" s="37" t="s">
        <v>47</v>
      </c>
      <c r="F796" s="37" t="s">
        <v>23</v>
      </c>
      <c r="G796" s="39" t="b">
        <f aca="false">TRUE()</f>
        <v>1</v>
      </c>
      <c r="H796" s="37" t="n">
        <v>662.01</v>
      </c>
      <c r="I796" s="37" t="n">
        <v>5</v>
      </c>
      <c r="J796" s="37" t="n">
        <v>46</v>
      </c>
      <c r="K796" s="37" t="n">
        <v>0</v>
      </c>
      <c r="L796" s="37" t="str">
        <f aca="false">IF(C796="","",IF(C796&lt;=5,"Night (00-05)",IF(C796&lt;=11,"Morning (06-11)",IF(C796&lt;=16,"Afternoon (12-16)",IF(C796&lt;=20,"Evening (17-20)","Late (21-23)")))))</f>
        <v>Night (00-05)</v>
      </c>
    </row>
    <row r="797" customFormat="false" ht="15" hidden="false" customHeight="false" outlineLevel="0" collapsed="false">
      <c r="A797" s="37" t="s">
        <v>902</v>
      </c>
      <c r="B797" s="38" t="n">
        <v>46317</v>
      </c>
      <c r="C797" s="37" t="n">
        <v>2</v>
      </c>
      <c r="D797" s="37" t="s">
        <v>40</v>
      </c>
      <c r="E797" s="37" t="s">
        <v>47</v>
      </c>
      <c r="F797" s="37" t="s">
        <v>129</v>
      </c>
      <c r="G797" s="39" t="b">
        <f aca="false">FALSE()</f>
        <v>0</v>
      </c>
      <c r="H797" s="37" t="n">
        <v>726.43</v>
      </c>
      <c r="K797" s="37" t="n">
        <v>0</v>
      </c>
      <c r="L797" s="37" t="str">
        <f aca="false">IF(C797="","",IF(C797&lt;=5,"Night (00-05)",IF(C797&lt;=11,"Morning (06-11)",IF(C797&lt;=16,"Afternoon (12-16)",IF(C797&lt;=20,"Evening (17-20)","Late (21-23)")))))</f>
        <v>Night (00-05)</v>
      </c>
    </row>
    <row r="798" customFormat="false" ht="15" hidden="false" customHeight="false" outlineLevel="0" collapsed="false">
      <c r="A798" s="37" t="s">
        <v>903</v>
      </c>
      <c r="B798" s="38" t="n">
        <v>46315</v>
      </c>
      <c r="C798" s="37" t="n">
        <v>19</v>
      </c>
      <c r="D798" s="37" t="s">
        <v>38</v>
      </c>
      <c r="E798" s="37" t="s">
        <v>46</v>
      </c>
      <c r="F798" s="37" t="s">
        <v>23</v>
      </c>
      <c r="G798" s="39" t="b">
        <f aca="false">TRUE()</f>
        <v>1</v>
      </c>
      <c r="H798" s="37" t="n">
        <v>906.64</v>
      </c>
      <c r="I798" s="37" t="n">
        <v>4</v>
      </c>
      <c r="J798" s="37" t="n">
        <v>50</v>
      </c>
      <c r="K798" s="37" t="n">
        <v>0</v>
      </c>
      <c r="L798" s="37" t="str">
        <f aca="false">IF(C798="","",IF(C798&lt;=5,"Night (00-05)",IF(C798&lt;=11,"Morning (06-11)",IF(C798&lt;=16,"Afternoon (12-16)",IF(C798&lt;=20,"Evening (17-20)","Late (21-23)")))))</f>
        <v>Evening (17-20)</v>
      </c>
    </row>
    <row r="799" customFormat="false" ht="15" hidden="false" customHeight="false" outlineLevel="0" collapsed="false">
      <c r="A799" s="37" t="s">
        <v>904</v>
      </c>
      <c r="B799" s="38" t="n">
        <v>46317</v>
      </c>
      <c r="C799" s="37" t="n">
        <v>23</v>
      </c>
      <c r="D799" s="37" t="s">
        <v>38</v>
      </c>
      <c r="E799" s="37" t="s">
        <v>49</v>
      </c>
      <c r="F799" s="37" t="s">
        <v>23</v>
      </c>
      <c r="G799" s="39" t="b">
        <f aca="false">TRUE()</f>
        <v>1</v>
      </c>
      <c r="H799" s="37" t="n">
        <v>1026.44</v>
      </c>
      <c r="I799" s="37" t="n">
        <v>4</v>
      </c>
      <c r="J799" s="37" t="n">
        <v>28</v>
      </c>
      <c r="K799" s="37" t="n">
        <v>0</v>
      </c>
      <c r="L799" s="37" t="str">
        <f aca="false">IF(C799="","",IF(C799&lt;=5,"Night (00-05)",IF(C799&lt;=11,"Morning (06-11)",IF(C799&lt;=16,"Afternoon (12-16)",IF(C799&lt;=20,"Evening (17-20)","Late (21-23)")))))</f>
        <v>Late (21-23)</v>
      </c>
    </row>
    <row r="800" customFormat="false" ht="15" hidden="false" customHeight="false" outlineLevel="0" collapsed="false">
      <c r="A800" s="37" t="s">
        <v>905</v>
      </c>
      <c r="B800" s="38" t="n">
        <v>46316</v>
      </c>
      <c r="C800" s="37" t="n">
        <v>2</v>
      </c>
      <c r="D800" s="37" t="s">
        <v>38</v>
      </c>
      <c r="E800" s="37" t="s">
        <v>47</v>
      </c>
      <c r="F800" s="37" t="s">
        <v>23</v>
      </c>
      <c r="G800" s="39" t="b">
        <f aca="false">TRUE()</f>
        <v>1</v>
      </c>
      <c r="H800" s="37" t="n">
        <v>1182.01</v>
      </c>
      <c r="I800" s="37" t="n">
        <v>4</v>
      </c>
      <c r="J800" s="37" t="n">
        <v>25</v>
      </c>
      <c r="K800" s="37" t="n">
        <v>0</v>
      </c>
      <c r="L800" s="37" t="str">
        <f aca="false">IF(C800="","",IF(C800&lt;=5,"Night (00-05)",IF(C800&lt;=11,"Morning (06-11)",IF(C800&lt;=16,"Afternoon (12-16)",IF(C800&lt;=20,"Evening (17-20)","Late (21-23)")))))</f>
        <v>Night (00-05)</v>
      </c>
    </row>
    <row r="801" customFormat="false" ht="15" hidden="false" customHeight="false" outlineLevel="0" collapsed="false">
      <c r="A801" s="37" t="s">
        <v>906</v>
      </c>
      <c r="B801" s="38" t="n">
        <v>46316</v>
      </c>
      <c r="C801" s="37" t="n">
        <v>17</v>
      </c>
      <c r="D801" s="37" t="s">
        <v>39</v>
      </c>
      <c r="E801" s="37" t="s">
        <v>47</v>
      </c>
      <c r="F801" s="37" t="s">
        <v>23</v>
      </c>
      <c r="G801" s="39" t="b">
        <f aca="false">TRUE()</f>
        <v>1</v>
      </c>
      <c r="H801" s="37" t="n">
        <v>307.2</v>
      </c>
      <c r="I801" s="37" t="n">
        <v>5</v>
      </c>
      <c r="J801" s="37" t="n">
        <v>44</v>
      </c>
      <c r="K801" s="37" t="n">
        <v>0</v>
      </c>
      <c r="L801" s="37" t="str">
        <f aca="false">IF(C801="","",IF(C801&lt;=5,"Night (00-05)",IF(C801&lt;=11,"Morning (06-11)",IF(C801&lt;=16,"Afternoon (12-16)",IF(C801&lt;=20,"Evening (17-20)","Late (21-23)")))))</f>
        <v>Evening (17-20)</v>
      </c>
    </row>
    <row r="802" customFormat="false" ht="15" hidden="false" customHeight="false" outlineLevel="0" collapsed="false">
      <c r="A802" s="37" t="s">
        <v>907</v>
      </c>
      <c r="B802" s="38" t="n">
        <v>46318</v>
      </c>
      <c r="C802" s="37" t="n">
        <v>0</v>
      </c>
      <c r="D802" s="37" t="s">
        <v>38</v>
      </c>
      <c r="E802" s="37" t="s">
        <v>46</v>
      </c>
      <c r="F802" s="37" t="s">
        <v>23</v>
      </c>
      <c r="G802" s="39" t="b">
        <f aca="false">TRUE()</f>
        <v>1</v>
      </c>
      <c r="H802" s="37" t="n">
        <v>1142.59</v>
      </c>
      <c r="I802" s="37" t="n">
        <v>5</v>
      </c>
      <c r="J802" s="37" t="n">
        <v>39</v>
      </c>
      <c r="K802" s="37" t="n">
        <v>0</v>
      </c>
      <c r="L802" s="37" t="str">
        <f aca="false">IF(C802="","",IF(C802&lt;=5,"Night (00-05)",IF(C802&lt;=11,"Morning (06-11)",IF(C802&lt;=16,"Afternoon (12-16)",IF(C802&lt;=20,"Evening (17-20)","Late (21-23)")))))</f>
        <v>Night (00-05)</v>
      </c>
    </row>
    <row r="803" customFormat="false" ht="15" hidden="false" customHeight="false" outlineLevel="0" collapsed="false">
      <c r="A803" s="37" t="s">
        <v>908</v>
      </c>
      <c r="B803" s="38" t="n">
        <v>46319</v>
      </c>
      <c r="C803" s="37" t="n">
        <v>16</v>
      </c>
      <c r="D803" s="37" t="s">
        <v>40</v>
      </c>
      <c r="E803" s="37" t="s">
        <v>48</v>
      </c>
      <c r="F803" s="37" t="s">
        <v>113</v>
      </c>
      <c r="G803" s="39" t="b">
        <f aca="false">TRUE()</f>
        <v>1</v>
      </c>
      <c r="H803" s="37" t="n">
        <v>890.7</v>
      </c>
      <c r="K803" s="37" t="n">
        <v>0</v>
      </c>
      <c r="L803" s="37" t="str">
        <f aca="false">IF(C803="","",IF(C803&lt;=5,"Night (00-05)",IF(C803&lt;=11,"Morning (06-11)",IF(C803&lt;=16,"Afternoon (12-16)",IF(C803&lt;=20,"Evening (17-20)","Late (21-23)")))))</f>
        <v>Afternoon (12-16)</v>
      </c>
    </row>
    <row r="804" customFormat="false" ht="15" hidden="false" customHeight="false" outlineLevel="0" collapsed="false">
      <c r="A804" s="37" t="s">
        <v>909</v>
      </c>
      <c r="B804" s="38" t="n">
        <v>46318</v>
      </c>
      <c r="C804" s="37" t="n">
        <v>17</v>
      </c>
      <c r="D804" s="37" t="s">
        <v>38</v>
      </c>
      <c r="E804" s="37" t="s">
        <v>49</v>
      </c>
      <c r="F804" s="37" t="s">
        <v>23</v>
      </c>
      <c r="G804" s="39" t="b">
        <f aca="false">TRUE()</f>
        <v>1</v>
      </c>
      <c r="H804" s="37" t="n">
        <v>1366.7</v>
      </c>
      <c r="I804" s="37" t="n">
        <v>5</v>
      </c>
      <c r="J804" s="37" t="n">
        <v>47</v>
      </c>
      <c r="K804" s="37" t="n">
        <v>0</v>
      </c>
      <c r="L804" s="37" t="str">
        <f aca="false">IF(C804="","",IF(C804&lt;=5,"Night (00-05)",IF(C804&lt;=11,"Morning (06-11)",IF(C804&lt;=16,"Afternoon (12-16)",IF(C804&lt;=20,"Evening (17-20)","Late (21-23)")))))</f>
        <v>Evening (17-20)</v>
      </c>
    </row>
    <row r="805" customFormat="false" ht="15" hidden="false" customHeight="false" outlineLevel="0" collapsed="false">
      <c r="A805" s="37" t="s">
        <v>910</v>
      </c>
      <c r="B805" s="38" t="n">
        <v>46315</v>
      </c>
      <c r="C805" s="37" t="n">
        <v>12</v>
      </c>
      <c r="D805" s="37" t="s">
        <v>37</v>
      </c>
      <c r="E805" s="37" t="s">
        <v>48</v>
      </c>
      <c r="F805" s="37" t="s">
        <v>23</v>
      </c>
      <c r="G805" s="39" t="b">
        <f aca="false">TRUE()</f>
        <v>1</v>
      </c>
      <c r="H805" s="37" t="n">
        <v>864.33</v>
      </c>
      <c r="I805" s="37" t="n">
        <v>3</v>
      </c>
      <c r="J805" s="37" t="n">
        <v>53</v>
      </c>
      <c r="K805" s="37" t="n">
        <v>0</v>
      </c>
      <c r="L805" s="37" t="str">
        <f aca="false">IF(C805="","",IF(C805&lt;=5,"Night (00-05)",IF(C805&lt;=11,"Morning (06-11)",IF(C805&lt;=16,"Afternoon (12-16)",IF(C805&lt;=20,"Evening (17-20)","Late (21-23)")))))</f>
        <v>Afternoon (12-16)</v>
      </c>
    </row>
    <row r="806" customFormat="false" ht="15" hidden="false" customHeight="false" outlineLevel="0" collapsed="false">
      <c r="A806" s="37" t="s">
        <v>911</v>
      </c>
      <c r="B806" s="38" t="n">
        <v>46318</v>
      </c>
      <c r="C806" s="37" t="n">
        <v>20</v>
      </c>
      <c r="D806" s="37" t="s">
        <v>39</v>
      </c>
      <c r="E806" s="37" t="s">
        <v>46</v>
      </c>
      <c r="F806" s="37" t="s">
        <v>23</v>
      </c>
      <c r="G806" s="39" t="b">
        <f aca="false">TRUE()</f>
        <v>1</v>
      </c>
      <c r="H806" s="37" t="n">
        <v>358.44</v>
      </c>
      <c r="I806" s="37" t="n">
        <v>5</v>
      </c>
      <c r="J806" s="37" t="n">
        <v>39</v>
      </c>
      <c r="K806" s="37" t="n">
        <v>0</v>
      </c>
      <c r="L806" s="37" t="str">
        <f aca="false">IF(C806="","",IF(C806&lt;=5,"Night (00-05)",IF(C806&lt;=11,"Morning (06-11)",IF(C806&lt;=16,"Afternoon (12-16)",IF(C806&lt;=20,"Evening (17-20)","Late (21-23)")))))</f>
        <v>Evening (17-20)</v>
      </c>
    </row>
    <row r="807" customFormat="false" ht="15" hidden="false" customHeight="false" outlineLevel="0" collapsed="false">
      <c r="A807" s="37" t="s">
        <v>912</v>
      </c>
      <c r="B807" s="38" t="n">
        <v>46319</v>
      </c>
      <c r="C807" s="37" t="n">
        <v>20</v>
      </c>
      <c r="D807" s="37" t="s">
        <v>38</v>
      </c>
      <c r="E807" s="37" t="s">
        <v>47</v>
      </c>
      <c r="F807" s="37" t="s">
        <v>23</v>
      </c>
      <c r="G807" s="39" t="b">
        <f aca="false">TRUE()</f>
        <v>1</v>
      </c>
      <c r="H807" s="37" t="n">
        <v>1158.39</v>
      </c>
      <c r="I807" s="37" t="n">
        <v>3</v>
      </c>
      <c r="J807" s="37" t="n">
        <v>46</v>
      </c>
      <c r="K807" s="37" t="n">
        <v>0</v>
      </c>
      <c r="L807" s="37" t="str">
        <f aca="false">IF(C807="","",IF(C807&lt;=5,"Night (00-05)",IF(C807&lt;=11,"Morning (06-11)",IF(C807&lt;=16,"Afternoon (12-16)",IF(C807&lt;=20,"Evening (17-20)","Late (21-23)")))))</f>
        <v>Evening (17-20)</v>
      </c>
    </row>
    <row r="808" customFormat="false" ht="15" hidden="false" customHeight="false" outlineLevel="0" collapsed="false">
      <c r="A808" s="37" t="s">
        <v>913</v>
      </c>
      <c r="B808" s="38" t="n">
        <v>46321</v>
      </c>
      <c r="C808" s="37" t="n">
        <v>1</v>
      </c>
      <c r="D808" s="37" t="s">
        <v>40</v>
      </c>
      <c r="E808" s="37" t="s">
        <v>46</v>
      </c>
      <c r="F808" s="37" t="s">
        <v>23</v>
      </c>
      <c r="G808" s="39" t="b">
        <f aca="false">TRUE()</f>
        <v>1</v>
      </c>
      <c r="H808" s="37" t="n">
        <v>967.45</v>
      </c>
      <c r="I808" s="37" t="n">
        <v>3</v>
      </c>
      <c r="J808" s="37" t="n">
        <v>21</v>
      </c>
      <c r="K808" s="37" t="n">
        <v>0</v>
      </c>
      <c r="L808" s="37" t="str">
        <f aca="false">IF(C808="","",IF(C808&lt;=5,"Night (00-05)",IF(C808&lt;=11,"Morning (06-11)",IF(C808&lt;=16,"Afternoon (12-16)",IF(C808&lt;=20,"Evening (17-20)","Late (21-23)")))))</f>
        <v>Night (00-05)</v>
      </c>
    </row>
    <row r="809" customFormat="false" ht="15" hidden="false" customHeight="false" outlineLevel="0" collapsed="false">
      <c r="A809" s="37" t="s">
        <v>914</v>
      </c>
      <c r="B809" s="38" t="n">
        <v>46320</v>
      </c>
      <c r="C809" s="37" t="n">
        <v>21</v>
      </c>
      <c r="D809" s="37" t="s">
        <v>39</v>
      </c>
      <c r="E809" s="37" t="s">
        <v>47</v>
      </c>
      <c r="F809" s="37" t="s">
        <v>23</v>
      </c>
      <c r="G809" s="39" t="b">
        <f aca="false">TRUE()</f>
        <v>1</v>
      </c>
      <c r="H809" s="37" t="n">
        <v>332.32</v>
      </c>
      <c r="I809" s="37" t="n">
        <v>4</v>
      </c>
      <c r="J809" s="37" t="n">
        <v>39</v>
      </c>
      <c r="K809" s="37" t="n">
        <v>0</v>
      </c>
      <c r="L809" s="37" t="str">
        <f aca="false">IF(C809="","",IF(C809&lt;=5,"Night (00-05)",IF(C809&lt;=11,"Morning (06-11)",IF(C809&lt;=16,"Afternoon (12-16)",IF(C809&lt;=20,"Evening (17-20)","Late (21-23)")))))</f>
        <v>Late (21-23)</v>
      </c>
    </row>
    <row r="810" customFormat="false" ht="15" hidden="false" customHeight="false" outlineLevel="0" collapsed="false">
      <c r="A810" s="37" t="s">
        <v>915</v>
      </c>
      <c r="B810" s="38" t="n">
        <v>46320</v>
      </c>
      <c r="C810" s="37" t="n">
        <v>21</v>
      </c>
      <c r="D810" s="37" t="s">
        <v>40</v>
      </c>
      <c r="E810" s="37" t="s">
        <v>46</v>
      </c>
      <c r="F810" s="37" t="s">
        <v>23</v>
      </c>
      <c r="G810" s="39" t="b">
        <f aca="false">TRUE()</f>
        <v>1</v>
      </c>
      <c r="H810" s="37" t="n">
        <v>1272.38</v>
      </c>
      <c r="I810" s="37" t="n">
        <v>4</v>
      </c>
      <c r="J810" s="37" t="n">
        <v>31</v>
      </c>
      <c r="K810" s="37" t="n">
        <v>0</v>
      </c>
      <c r="L810" s="37" t="str">
        <f aca="false">IF(C810="","",IF(C810&lt;=5,"Night (00-05)",IF(C810&lt;=11,"Morning (06-11)",IF(C810&lt;=16,"Afternoon (12-16)",IF(C810&lt;=20,"Evening (17-20)","Late (21-23)")))))</f>
        <v>Late (21-23)</v>
      </c>
    </row>
    <row r="811" customFormat="false" ht="15" hidden="false" customHeight="false" outlineLevel="0" collapsed="false">
      <c r="A811" s="37" t="s">
        <v>916</v>
      </c>
      <c r="B811" s="38" t="n">
        <v>46316</v>
      </c>
      <c r="C811" s="37" t="n">
        <v>1</v>
      </c>
      <c r="D811" s="37" t="s">
        <v>38</v>
      </c>
      <c r="E811" s="37" t="s">
        <v>49</v>
      </c>
      <c r="F811" s="37" t="s">
        <v>23</v>
      </c>
      <c r="G811" s="39" t="b">
        <f aca="false">TRUE()</f>
        <v>1</v>
      </c>
      <c r="H811" s="37" t="n">
        <v>1173.06</v>
      </c>
      <c r="I811" s="37" t="n">
        <v>1</v>
      </c>
      <c r="J811" s="37" t="n">
        <v>27</v>
      </c>
      <c r="K811" s="37" t="n">
        <v>0</v>
      </c>
      <c r="L811" s="37" t="str">
        <f aca="false">IF(C811="","",IF(C811&lt;=5,"Night (00-05)",IF(C811&lt;=11,"Morning (06-11)",IF(C811&lt;=16,"Afternoon (12-16)",IF(C811&lt;=20,"Evening (17-20)","Late (21-23)")))))</f>
        <v>Night (00-05)</v>
      </c>
    </row>
    <row r="812" customFormat="false" ht="15" hidden="false" customHeight="false" outlineLevel="0" collapsed="false">
      <c r="A812" s="37" t="s">
        <v>917</v>
      </c>
      <c r="B812" s="38" t="n">
        <v>46320</v>
      </c>
      <c r="C812" s="37" t="n">
        <v>21</v>
      </c>
      <c r="D812" s="37" t="s">
        <v>39</v>
      </c>
      <c r="E812" s="37" t="s">
        <v>46</v>
      </c>
      <c r="F812" s="37" t="s">
        <v>129</v>
      </c>
      <c r="G812" s="39" t="b">
        <f aca="false">FALSE()</f>
        <v>0</v>
      </c>
      <c r="H812" s="37" t="n">
        <v>546.4</v>
      </c>
      <c r="K812" s="37" t="n">
        <v>0</v>
      </c>
      <c r="L812" s="37" t="str">
        <f aca="false">IF(C812="","",IF(C812&lt;=5,"Night (00-05)",IF(C812&lt;=11,"Morning (06-11)",IF(C812&lt;=16,"Afternoon (12-16)",IF(C812&lt;=20,"Evening (17-20)","Late (21-23)")))))</f>
        <v>Late (21-23)</v>
      </c>
    </row>
    <row r="813" customFormat="false" ht="15" hidden="false" customHeight="false" outlineLevel="0" collapsed="false">
      <c r="A813" s="37" t="s">
        <v>918</v>
      </c>
      <c r="B813" s="38" t="n">
        <v>46318</v>
      </c>
      <c r="C813" s="37" t="n">
        <v>1</v>
      </c>
      <c r="D813" s="37" t="s">
        <v>39</v>
      </c>
      <c r="E813" s="37" t="s">
        <v>46</v>
      </c>
      <c r="F813" s="37" t="s">
        <v>23</v>
      </c>
      <c r="G813" s="39" t="b">
        <f aca="false">TRUE()</f>
        <v>1</v>
      </c>
      <c r="H813" s="37" t="n">
        <v>334.05</v>
      </c>
      <c r="I813" s="37" t="n">
        <v>3</v>
      </c>
      <c r="J813" s="37" t="n">
        <v>32</v>
      </c>
      <c r="K813" s="37" t="n">
        <v>0</v>
      </c>
      <c r="L813" s="37" t="str">
        <f aca="false">IF(C813="","",IF(C813&lt;=5,"Night (00-05)",IF(C813&lt;=11,"Morning (06-11)",IF(C813&lt;=16,"Afternoon (12-16)",IF(C813&lt;=20,"Evening (17-20)","Late (21-23)")))))</f>
        <v>Night (00-05)</v>
      </c>
    </row>
    <row r="814" customFormat="false" ht="15" hidden="false" customHeight="false" outlineLevel="0" collapsed="false">
      <c r="A814" s="37" t="s">
        <v>919</v>
      </c>
      <c r="B814" s="38" t="n">
        <v>46316</v>
      </c>
      <c r="C814" s="37" t="n">
        <v>1</v>
      </c>
      <c r="D814" s="37" t="s">
        <v>38</v>
      </c>
      <c r="E814" s="37" t="s">
        <v>48</v>
      </c>
      <c r="F814" s="37" t="s">
        <v>23</v>
      </c>
      <c r="G814" s="39" t="b">
        <f aca="false">TRUE()</f>
        <v>1</v>
      </c>
      <c r="H814" s="37" t="n">
        <v>1135.78</v>
      </c>
      <c r="I814" s="37" t="n">
        <v>4</v>
      </c>
      <c r="J814" s="37" t="n">
        <v>35</v>
      </c>
      <c r="K814" s="37" t="n">
        <v>0</v>
      </c>
      <c r="L814" s="37" t="str">
        <f aca="false">IF(C814="","",IF(C814&lt;=5,"Night (00-05)",IF(C814&lt;=11,"Morning (06-11)",IF(C814&lt;=16,"Afternoon (12-16)",IF(C814&lt;=20,"Evening (17-20)","Late (21-23)")))))</f>
        <v>Night (00-05)</v>
      </c>
    </row>
    <row r="815" customFormat="false" ht="15" hidden="false" customHeight="false" outlineLevel="0" collapsed="false">
      <c r="A815" s="37" t="s">
        <v>920</v>
      </c>
      <c r="B815" s="38" t="n">
        <v>46321</v>
      </c>
      <c r="C815" s="37" t="n">
        <v>3</v>
      </c>
      <c r="D815" s="37" t="s">
        <v>38</v>
      </c>
      <c r="E815" s="37" t="s">
        <v>46</v>
      </c>
      <c r="F815" s="37" t="s">
        <v>23</v>
      </c>
      <c r="G815" s="39" t="b">
        <f aca="false">FALSE()</f>
        <v>0</v>
      </c>
      <c r="H815" s="37" t="n">
        <v>1337.8</v>
      </c>
      <c r="I815" s="37" t="n">
        <v>3</v>
      </c>
      <c r="J815" s="37" t="n">
        <v>46</v>
      </c>
      <c r="K815" s="37" t="n">
        <v>0</v>
      </c>
      <c r="L815" s="37" t="str">
        <f aca="false">IF(C815="","",IF(C815&lt;=5,"Night (00-05)",IF(C815&lt;=11,"Morning (06-11)",IF(C815&lt;=16,"Afternoon (12-16)",IF(C815&lt;=20,"Evening (17-20)","Late (21-23)")))))</f>
        <v>Night (00-05)</v>
      </c>
    </row>
    <row r="816" customFormat="false" ht="15" hidden="false" customHeight="false" outlineLevel="0" collapsed="false">
      <c r="A816" s="37" t="s">
        <v>921</v>
      </c>
      <c r="B816" s="38" t="n">
        <v>46317</v>
      </c>
      <c r="C816" s="37" t="n">
        <v>1</v>
      </c>
      <c r="D816" s="37" t="s">
        <v>39</v>
      </c>
      <c r="E816" s="37" t="s">
        <v>47</v>
      </c>
      <c r="F816" s="37" t="s">
        <v>23</v>
      </c>
      <c r="G816" s="39" t="b">
        <f aca="false">TRUE()</f>
        <v>1</v>
      </c>
      <c r="H816" s="37" t="n">
        <v>642.92</v>
      </c>
      <c r="I816" s="37" t="n">
        <v>4</v>
      </c>
      <c r="J816" s="37" t="n">
        <v>32</v>
      </c>
      <c r="K816" s="37" t="n">
        <v>0</v>
      </c>
      <c r="L816" s="37" t="str">
        <f aca="false">IF(C816="","",IF(C816&lt;=5,"Night (00-05)",IF(C816&lt;=11,"Morning (06-11)",IF(C816&lt;=16,"Afternoon (12-16)",IF(C816&lt;=20,"Evening (17-20)","Late (21-23)")))))</f>
        <v>Night (00-05)</v>
      </c>
    </row>
    <row r="817" customFormat="false" ht="15" hidden="false" customHeight="false" outlineLevel="0" collapsed="false">
      <c r="A817" s="37" t="s">
        <v>922</v>
      </c>
      <c r="B817" s="38" t="n">
        <v>46322</v>
      </c>
      <c r="C817" s="37" t="n">
        <v>2</v>
      </c>
      <c r="D817" s="37" t="s">
        <v>38</v>
      </c>
      <c r="E817" s="37" t="s">
        <v>47</v>
      </c>
      <c r="F817" s="37" t="s">
        <v>23</v>
      </c>
      <c r="G817" s="39" t="b">
        <f aca="false">TRUE()</f>
        <v>1</v>
      </c>
      <c r="H817" s="37" t="n">
        <v>1240.29</v>
      </c>
      <c r="I817" s="37" t="n">
        <v>5</v>
      </c>
      <c r="J817" s="37" t="n">
        <v>46</v>
      </c>
      <c r="K817" s="37" t="n">
        <v>0</v>
      </c>
      <c r="L817" s="37" t="str">
        <f aca="false">IF(C817="","",IF(C817&lt;=5,"Night (00-05)",IF(C817&lt;=11,"Morning (06-11)",IF(C817&lt;=16,"Afternoon (12-16)",IF(C817&lt;=20,"Evening (17-20)","Late (21-23)")))))</f>
        <v>Night (00-05)</v>
      </c>
    </row>
    <row r="818" customFormat="false" ht="15" hidden="false" customHeight="false" outlineLevel="0" collapsed="false">
      <c r="A818" s="37" t="s">
        <v>923</v>
      </c>
      <c r="B818" s="38" t="n">
        <v>46320</v>
      </c>
      <c r="C818" s="37" t="n">
        <v>23</v>
      </c>
      <c r="D818" s="37" t="s">
        <v>40</v>
      </c>
      <c r="E818" s="37" t="s">
        <v>47</v>
      </c>
      <c r="F818" s="37" t="s">
        <v>23</v>
      </c>
      <c r="G818" s="39" t="b">
        <f aca="false">TRUE()</f>
        <v>1</v>
      </c>
      <c r="H818" s="37" t="n">
        <v>889</v>
      </c>
      <c r="I818" s="37" t="n">
        <v>4</v>
      </c>
      <c r="J818" s="37" t="n">
        <v>51</v>
      </c>
      <c r="K818" s="37" t="n">
        <v>0</v>
      </c>
      <c r="L818" s="37" t="str">
        <f aca="false">IF(C818="","",IF(C818&lt;=5,"Night (00-05)",IF(C818&lt;=11,"Morning (06-11)",IF(C818&lt;=16,"Afternoon (12-16)",IF(C818&lt;=20,"Evening (17-20)","Late (21-23)")))))</f>
        <v>Late (21-23)</v>
      </c>
    </row>
    <row r="819" customFormat="false" ht="15" hidden="false" customHeight="false" outlineLevel="0" collapsed="false">
      <c r="A819" s="37" t="s">
        <v>924</v>
      </c>
      <c r="B819" s="38" t="n">
        <v>46315</v>
      </c>
      <c r="C819" s="37" t="n">
        <v>22</v>
      </c>
      <c r="D819" s="37" t="s">
        <v>40</v>
      </c>
      <c r="E819" s="37" t="s">
        <v>47</v>
      </c>
      <c r="F819" s="37" t="s">
        <v>23</v>
      </c>
      <c r="G819" s="39" t="b">
        <f aca="false">TRUE()</f>
        <v>1</v>
      </c>
      <c r="H819" s="37" t="n">
        <v>713.28</v>
      </c>
      <c r="I819" s="37" t="n">
        <v>3</v>
      </c>
      <c r="J819" s="37" t="n">
        <v>50</v>
      </c>
      <c r="K819" s="37" t="n">
        <v>0</v>
      </c>
      <c r="L819" s="37" t="str">
        <f aca="false">IF(C819="","",IF(C819&lt;=5,"Night (00-05)",IF(C819&lt;=11,"Morning (06-11)",IF(C819&lt;=16,"Afternoon (12-16)",IF(C819&lt;=20,"Evening (17-20)","Late (21-23)")))))</f>
        <v>Late (21-23)</v>
      </c>
    </row>
    <row r="820" customFormat="false" ht="15" hidden="false" customHeight="false" outlineLevel="0" collapsed="false">
      <c r="A820" s="37" t="s">
        <v>925</v>
      </c>
      <c r="B820" s="38" t="n">
        <v>46320</v>
      </c>
      <c r="C820" s="37" t="n">
        <v>4</v>
      </c>
      <c r="D820" s="37" t="s">
        <v>39</v>
      </c>
      <c r="E820" s="37" t="s">
        <v>47</v>
      </c>
      <c r="F820" s="37" t="s">
        <v>23</v>
      </c>
      <c r="G820" s="39" t="b">
        <f aca="false">TRUE()</f>
        <v>1</v>
      </c>
      <c r="H820" s="37" t="n">
        <v>363.53</v>
      </c>
      <c r="I820" s="37" t="n">
        <v>4</v>
      </c>
      <c r="J820" s="37" t="n">
        <v>50</v>
      </c>
      <c r="K820" s="37" t="n">
        <v>0</v>
      </c>
      <c r="L820" s="37" t="str">
        <f aca="false">IF(C820="","",IF(C820&lt;=5,"Night (00-05)",IF(C820&lt;=11,"Morning (06-11)",IF(C820&lt;=16,"Afternoon (12-16)",IF(C820&lt;=20,"Evening (17-20)","Late (21-23)")))))</f>
        <v>Night (00-05)</v>
      </c>
    </row>
    <row r="821" customFormat="false" ht="15" hidden="false" customHeight="false" outlineLevel="0" collapsed="false">
      <c r="A821" s="37" t="s">
        <v>926</v>
      </c>
      <c r="B821" s="38" t="n">
        <v>46316</v>
      </c>
      <c r="C821" s="37" t="n">
        <v>22</v>
      </c>
      <c r="D821" s="37" t="s">
        <v>40</v>
      </c>
      <c r="E821" s="37" t="s">
        <v>49</v>
      </c>
      <c r="F821" s="37" t="s">
        <v>23</v>
      </c>
      <c r="G821" s="39" t="b">
        <f aca="false">TRUE()</f>
        <v>1</v>
      </c>
      <c r="H821" s="37" t="n">
        <v>603.93</v>
      </c>
      <c r="I821" s="37" t="n">
        <v>5</v>
      </c>
      <c r="J821" s="37" t="n">
        <v>44</v>
      </c>
      <c r="K821" s="37" t="n">
        <v>0</v>
      </c>
      <c r="L821" s="37" t="str">
        <f aca="false">IF(C821="","",IF(C821&lt;=5,"Night (00-05)",IF(C821&lt;=11,"Morning (06-11)",IF(C821&lt;=16,"Afternoon (12-16)",IF(C821&lt;=20,"Evening (17-20)","Late (21-23)")))))</f>
        <v>Late (21-23)</v>
      </c>
    </row>
    <row r="822" customFormat="false" ht="15" hidden="false" customHeight="false" outlineLevel="0" collapsed="false">
      <c r="A822" s="37" t="s">
        <v>927</v>
      </c>
      <c r="B822" s="38" t="n">
        <v>46322</v>
      </c>
      <c r="C822" s="37" t="n">
        <v>4</v>
      </c>
      <c r="D822" s="37" t="s">
        <v>40</v>
      </c>
      <c r="E822" s="37" t="s">
        <v>49</v>
      </c>
      <c r="F822" s="37" t="s">
        <v>23</v>
      </c>
      <c r="G822" s="39" t="b">
        <f aca="false">TRUE()</f>
        <v>1</v>
      </c>
      <c r="H822" s="37" t="n">
        <v>1138.8</v>
      </c>
      <c r="I822" s="37" t="n">
        <v>4</v>
      </c>
      <c r="J822" s="37" t="n">
        <v>33</v>
      </c>
      <c r="K822" s="37" t="n">
        <v>0</v>
      </c>
      <c r="L822" s="37" t="str">
        <f aca="false">IF(C822="","",IF(C822&lt;=5,"Night (00-05)",IF(C822&lt;=11,"Morning (06-11)",IF(C822&lt;=16,"Afternoon (12-16)",IF(C822&lt;=20,"Evening (17-20)","Late (21-23)")))))</f>
        <v>Night (00-05)</v>
      </c>
    </row>
    <row r="823" customFormat="false" ht="15" hidden="false" customHeight="false" outlineLevel="0" collapsed="false">
      <c r="A823" s="37" t="s">
        <v>928</v>
      </c>
      <c r="B823" s="38" t="n">
        <v>46320</v>
      </c>
      <c r="C823" s="37" t="n">
        <v>14</v>
      </c>
      <c r="D823" s="37" t="s">
        <v>37</v>
      </c>
      <c r="E823" s="37" t="s">
        <v>48</v>
      </c>
      <c r="F823" s="37" t="s">
        <v>23</v>
      </c>
      <c r="G823" s="39" t="b">
        <f aca="false">TRUE()</f>
        <v>1</v>
      </c>
      <c r="H823" s="37" t="n">
        <v>477.16</v>
      </c>
      <c r="I823" s="37" t="n">
        <v>5</v>
      </c>
      <c r="J823" s="37" t="n">
        <v>46</v>
      </c>
      <c r="K823" s="37" t="n">
        <v>0</v>
      </c>
      <c r="L823" s="37" t="str">
        <f aca="false">IF(C823="","",IF(C823&lt;=5,"Night (00-05)",IF(C823&lt;=11,"Morning (06-11)",IF(C823&lt;=16,"Afternoon (12-16)",IF(C823&lt;=20,"Evening (17-20)","Late (21-23)")))))</f>
        <v>Afternoon (12-16)</v>
      </c>
    </row>
    <row r="824" customFormat="false" ht="15" hidden="false" customHeight="false" outlineLevel="0" collapsed="false">
      <c r="A824" s="37" t="s">
        <v>929</v>
      </c>
      <c r="B824" s="38" t="n">
        <v>46318</v>
      </c>
      <c r="C824" s="37" t="n">
        <v>18</v>
      </c>
      <c r="D824" s="37" t="s">
        <v>38</v>
      </c>
      <c r="E824" s="37" t="s">
        <v>47</v>
      </c>
      <c r="F824" s="37" t="s">
        <v>23</v>
      </c>
      <c r="G824" s="39" t="b">
        <f aca="false">TRUE()</f>
        <v>1</v>
      </c>
      <c r="H824" s="37" t="n">
        <v>1050.15</v>
      </c>
      <c r="I824" s="37" t="n">
        <v>4</v>
      </c>
      <c r="J824" s="37" t="n">
        <v>30</v>
      </c>
      <c r="K824" s="37" t="n">
        <v>0</v>
      </c>
      <c r="L824" s="37" t="str">
        <f aca="false">IF(C824="","",IF(C824&lt;=5,"Night (00-05)",IF(C824&lt;=11,"Morning (06-11)",IF(C824&lt;=16,"Afternoon (12-16)",IF(C824&lt;=20,"Evening (17-20)","Late (21-23)")))))</f>
        <v>Evening (17-20)</v>
      </c>
    </row>
    <row r="825" customFormat="false" ht="15" hidden="false" customHeight="false" outlineLevel="0" collapsed="false">
      <c r="A825" s="37" t="s">
        <v>930</v>
      </c>
      <c r="B825" s="38" t="n">
        <v>46322</v>
      </c>
      <c r="C825" s="37" t="n">
        <v>3</v>
      </c>
      <c r="D825" s="37" t="s">
        <v>38</v>
      </c>
      <c r="E825" s="37" t="s">
        <v>46</v>
      </c>
      <c r="F825" s="37" t="s">
        <v>113</v>
      </c>
      <c r="G825" s="39" t="b">
        <f aca="false">TRUE()</f>
        <v>1</v>
      </c>
      <c r="H825" s="37" t="n">
        <v>1100.43</v>
      </c>
      <c r="K825" s="37" t="n">
        <v>0</v>
      </c>
      <c r="L825" s="37" t="str">
        <f aca="false">IF(C825="","",IF(C825&lt;=5,"Night (00-05)",IF(C825&lt;=11,"Morning (06-11)",IF(C825&lt;=16,"Afternoon (12-16)",IF(C825&lt;=20,"Evening (17-20)","Late (21-23)")))))</f>
        <v>Night (00-05)</v>
      </c>
    </row>
    <row r="826" customFormat="false" ht="15" hidden="false" customHeight="false" outlineLevel="0" collapsed="false">
      <c r="A826" s="37" t="s">
        <v>931</v>
      </c>
      <c r="B826" s="38" t="n">
        <v>46319</v>
      </c>
      <c r="C826" s="37" t="n">
        <v>17</v>
      </c>
      <c r="D826" s="37" t="s">
        <v>40</v>
      </c>
      <c r="E826" s="37" t="s">
        <v>47</v>
      </c>
      <c r="F826" s="37" t="s">
        <v>23</v>
      </c>
      <c r="G826" s="39" t="b">
        <f aca="false">TRUE()</f>
        <v>1</v>
      </c>
      <c r="H826" s="37" t="n">
        <v>1115.08</v>
      </c>
      <c r="I826" s="37" t="n">
        <v>5</v>
      </c>
      <c r="J826" s="37" t="n">
        <v>29</v>
      </c>
      <c r="K826" s="37" t="n">
        <v>0</v>
      </c>
      <c r="L826" s="37" t="str">
        <f aca="false">IF(C826="","",IF(C826&lt;=5,"Night (00-05)",IF(C826&lt;=11,"Morning (06-11)",IF(C826&lt;=16,"Afternoon (12-16)",IF(C826&lt;=20,"Evening (17-20)","Late (21-23)")))))</f>
        <v>Evening (17-20)</v>
      </c>
    </row>
    <row r="827" customFormat="false" ht="15" hidden="false" customHeight="false" outlineLevel="0" collapsed="false">
      <c r="A827" s="37" t="s">
        <v>932</v>
      </c>
      <c r="B827" s="38" t="n">
        <v>46321</v>
      </c>
      <c r="C827" s="37" t="n">
        <v>22</v>
      </c>
      <c r="D827" s="37" t="s">
        <v>38</v>
      </c>
      <c r="E827" s="37" t="s">
        <v>49</v>
      </c>
      <c r="F827" s="37" t="s">
        <v>129</v>
      </c>
      <c r="G827" s="39" t="b">
        <f aca="false">FALSE()</f>
        <v>0</v>
      </c>
      <c r="H827" s="37" t="n">
        <v>1358.29</v>
      </c>
      <c r="K827" s="37" t="n">
        <v>0</v>
      </c>
      <c r="L827" s="37" t="str">
        <f aca="false">IF(C827="","",IF(C827&lt;=5,"Night (00-05)",IF(C827&lt;=11,"Morning (06-11)",IF(C827&lt;=16,"Afternoon (12-16)",IF(C827&lt;=20,"Evening (17-20)","Late (21-23)")))))</f>
        <v>Late (21-23)</v>
      </c>
    </row>
    <row r="828" customFormat="false" ht="15" hidden="false" customHeight="false" outlineLevel="0" collapsed="false">
      <c r="A828" s="37" t="s">
        <v>933</v>
      </c>
      <c r="B828" s="38" t="n">
        <v>46321</v>
      </c>
      <c r="C828" s="37" t="n">
        <v>15</v>
      </c>
      <c r="D828" s="37" t="s">
        <v>38</v>
      </c>
      <c r="E828" s="37" t="s">
        <v>47</v>
      </c>
      <c r="F828" s="37" t="s">
        <v>23</v>
      </c>
      <c r="G828" s="39" t="b">
        <f aca="false">TRUE()</f>
        <v>1</v>
      </c>
      <c r="H828" s="37" t="n">
        <v>1154.11</v>
      </c>
      <c r="I828" s="37" t="n">
        <v>5</v>
      </c>
      <c r="J828" s="37" t="n">
        <v>27</v>
      </c>
      <c r="K828" s="37" t="n">
        <v>0</v>
      </c>
      <c r="L828" s="37" t="str">
        <f aca="false">IF(C828="","",IF(C828&lt;=5,"Night (00-05)",IF(C828&lt;=11,"Morning (06-11)",IF(C828&lt;=16,"Afternoon (12-16)",IF(C828&lt;=20,"Evening (17-20)","Late (21-23)")))))</f>
        <v>Afternoon (12-16)</v>
      </c>
    </row>
    <row r="829" customFormat="false" ht="15" hidden="false" customHeight="false" outlineLevel="0" collapsed="false">
      <c r="A829" s="37" t="s">
        <v>934</v>
      </c>
      <c r="B829" s="38" t="n">
        <v>46317</v>
      </c>
      <c r="C829" s="37" t="n">
        <v>16</v>
      </c>
      <c r="D829" s="37" t="s">
        <v>39</v>
      </c>
      <c r="E829" s="37" t="s">
        <v>49</v>
      </c>
      <c r="F829" s="37" t="s">
        <v>23</v>
      </c>
      <c r="G829" s="39" t="b">
        <f aca="false">TRUE()</f>
        <v>1</v>
      </c>
      <c r="H829" s="37" t="n">
        <v>592.02</v>
      </c>
      <c r="I829" s="37" t="n">
        <v>4</v>
      </c>
      <c r="J829" s="37" t="n">
        <v>43</v>
      </c>
      <c r="K829" s="37" t="n">
        <v>0</v>
      </c>
      <c r="L829" s="37" t="str">
        <f aca="false">IF(C829="","",IF(C829&lt;=5,"Night (00-05)",IF(C829&lt;=11,"Morning (06-11)",IF(C829&lt;=16,"Afternoon (12-16)",IF(C829&lt;=20,"Evening (17-20)","Late (21-23)")))))</f>
        <v>Afternoon (12-16)</v>
      </c>
    </row>
    <row r="830" customFormat="false" ht="15" hidden="false" customHeight="false" outlineLevel="0" collapsed="false">
      <c r="A830" s="37" t="s">
        <v>935</v>
      </c>
      <c r="B830" s="38" t="n">
        <v>46316</v>
      </c>
      <c r="C830" s="37" t="n">
        <v>15</v>
      </c>
      <c r="D830" s="37" t="s">
        <v>39</v>
      </c>
      <c r="E830" s="37" t="s">
        <v>47</v>
      </c>
      <c r="F830" s="37" t="s">
        <v>23</v>
      </c>
      <c r="G830" s="39" t="b">
        <f aca="false">TRUE()</f>
        <v>1</v>
      </c>
      <c r="H830" s="37" t="n">
        <v>397.13</v>
      </c>
      <c r="I830" s="37" t="n">
        <v>4</v>
      </c>
      <c r="J830" s="37" t="n">
        <v>41</v>
      </c>
      <c r="K830" s="37" t="n">
        <v>0</v>
      </c>
      <c r="L830" s="37" t="str">
        <f aca="false">IF(C830="","",IF(C830&lt;=5,"Night (00-05)",IF(C830&lt;=11,"Morning (06-11)",IF(C830&lt;=16,"Afternoon (12-16)",IF(C830&lt;=20,"Evening (17-20)","Late (21-23)")))))</f>
        <v>Afternoon (12-16)</v>
      </c>
    </row>
    <row r="831" customFormat="false" ht="15" hidden="false" customHeight="false" outlineLevel="0" collapsed="false">
      <c r="A831" s="37" t="s">
        <v>936</v>
      </c>
      <c r="B831" s="38" t="n">
        <v>46316</v>
      </c>
      <c r="C831" s="37" t="n">
        <v>14</v>
      </c>
      <c r="D831" s="37" t="s">
        <v>39</v>
      </c>
      <c r="E831" s="37" t="s">
        <v>46</v>
      </c>
      <c r="F831" s="37" t="s">
        <v>23</v>
      </c>
      <c r="G831" s="39" t="b">
        <f aca="false">TRUE()</f>
        <v>1</v>
      </c>
      <c r="H831" s="37" t="n">
        <v>550.78</v>
      </c>
      <c r="I831" s="37" t="n">
        <v>4</v>
      </c>
      <c r="J831" s="37" t="n">
        <v>53</v>
      </c>
      <c r="K831" s="37" t="n">
        <v>0</v>
      </c>
      <c r="L831" s="37" t="str">
        <f aca="false">IF(C831="","",IF(C831&lt;=5,"Night (00-05)",IF(C831&lt;=11,"Morning (06-11)",IF(C831&lt;=16,"Afternoon (12-16)",IF(C831&lt;=20,"Evening (17-20)","Late (21-23)")))))</f>
        <v>Afternoon (12-16)</v>
      </c>
    </row>
    <row r="832" customFormat="false" ht="15" hidden="false" customHeight="false" outlineLevel="0" collapsed="false">
      <c r="A832" s="37" t="s">
        <v>937</v>
      </c>
      <c r="B832" s="38" t="n">
        <v>46316</v>
      </c>
      <c r="C832" s="37" t="n">
        <v>16</v>
      </c>
      <c r="D832" s="37" t="s">
        <v>39</v>
      </c>
      <c r="E832" s="37" t="s">
        <v>49</v>
      </c>
      <c r="F832" s="37" t="s">
        <v>23</v>
      </c>
      <c r="G832" s="39" t="b">
        <f aca="false">TRUE()</f>
        <v>1</v>
      </c>
      <c r="H832" s="37" t="n">
        <v>679.74</v>
      </c>
      <c r="I832" s="37" t="n">
        <v>5</v>
      </c>
      <c r="J832" s="37" t="n">
        <v>43</v>
      </c>
      <c r="K832" s="37" t="n">
        <v>0</v>
      </c>
      <c r="L832" s="37" t="str">
        <f aca="false">IF(C832="","",IF(C832&lt;=5,"Night (00-05)",IF(C832&lt;=11,"Morning (06-11)",IF(C832&lt;=16,"Afternoon (12-16)",IF(C832&lt;=20,"Evening (17-20)","Late (21-23)")))))</f>
        <v>Afternoon (12-16)</v>
      </c>
    </row>
    <row r="833" customFormat="false" ht="15" hidden="false" customHeight="false" outlineLevel="0" collapsed="false">
      <c r="A833" s="37" t="s">
        <v>938</v>
      </c>
      <c r="B833" s="38" t="n">
        <v>46318</v>
      </c>
      <c r="C833" s="37" t="n">
        <v>16</v>
      </c>
      <c r="D833" s="37" t="s">
        <v>38</v>
      </c>
      <c r="E833" s="37" t="s">
        <v>47</v>
      </c>
      <c r="F833" s="37" t="s">
        <v>23</v>
      </c>
      <c r="G833" s="39" t="b">
        <f aca="false">TRUE()</f>
        <v>1</v>
      </c>
      <c r="H833" s="37" t="n">
        <v>1035.81</v>
      </c>
      <c r="I833" s="37" t="n">
        <v>4</v>
      </c>
      <c r="J833" s="37" t="n">
        <v>30</v>
      </c>
      <c r="K833" s="37" t="n">
        <v>0</v>
      </c>
      <c r="L833" s="37" t="str">
        <f aca="false">IF(C833="","",IF(C833&lt;=5,"Night (00-05)",IF(C833&lt;=11,"Morning (06-11)",IF(C833&lt;=16,"Afternoon (12-16)",IF(C833&lt;=20,"Evening (17-20)","Late (21-23)")))))</f>
        <v>Afternoon (12-16)</v>
      </c>
    </row>
    <row r="834" customFormat="false" ht="15" hidden="false" customHeight="false" outlineLevel="0" collapsed="false">
      <c r="A834" s="37" t="s">
        <v>939</v>
      </c>
      <c r="B834" s="38" t="n">
        <v>46319</v>
      </c>
      <c r="C834" s="37" t="n">
        <v>1</v>
      </c>
      <c r="D834" s="37" t="s">
        <v>37</v>
      </c>
      <c r="E834" s="37" t="s">
        <v>47</v>
      </c>
      <c r="F834" s="37" t="s">
        <v>129</v>
      </c>
      <c r="G834" s="39" t="b">
        <f aca="false">FALSE()</f>
        <v>0</v>
      </c>
      <c r="H834" s="37" t="n">
        <v>887.87</v>
      </c>
      <c r="K834" s="37" t="n">
        <v>0</v>
      </c>
      <c r="L834" s="37" t="str">
        <f aca="false">IF(C834="","",IF(C834&lt;=5,"Night (00-05)",IF(C834&lt;=11,"Morning (06-11)",IF(C834&lt;=16,"Afternoon (12-16)",IF(C834&lt;=20,"Evening (17-20)","Late (21-23)")))))</f>
        <v>Night (00-05)</v>
      </c>
    </row>
    <row r="835" customFormat="false" ht="15" hidden="false" customHeight="false" outlineLevel="0" collapsed="false">
      <c r="A835" s="37" t="s">
        <v>940</v>
      </c>
      <c r="B835" s="38" t="n">
        <v>46322</v>
      </c>
      <c r="C835" s="37" t="n">
        <v>0</v>
      </c>
      <c r="D835" s="37" t="s">
        <v>39</v>
      </c>
      <c r="E835" s="37" t="s">
        <v>49</v>
      </c>
      <c r="F835" s="37" t="s">
        <v>23</v>
      </c>
      <c r="G835" s="39" t="b">
        <f aca="false">TRUE()</f>
        <v>1</v>
      </c>
      <c r="H835" s="37" t="n">
        <v>653.31</v>
      </c>
      <c r="I835" s="37" t="n">
        <v>5</v>
      </c>
      <c r="J835" s="37" t="n">
        <v>39</v>
      </c>
      <c r="K835" s="37" t="n">
        <v>0</v>
      </c>
      <c r="L835" s="37" t="str">
        <f aca="false">IF(C835="","",IF(C835&lt;=5,"Night (00-05)",IF(C835&lt;=11,"Morning (06-11)",IF(C835&lt;=16,"Afternoon (12-16)",IF(C835&lt;=20,"Evening (17-20)","Late (21-23)")))))</f>
        <v>Night (00-05)</v>
      </c>
    </row>
    <row r="836" customFormat="false" ht="15" hidden="false" customHeight="false" outlineLevel="0" collapsed="false">
      <c r="A836" s="37" t="s">
        <v>941</v>
      </c>
      <c r="B836" s="38" t="n">
        <v>46318</v>
      </c>
      <c r="C836" s="37" t="n">
        <v>3</v>
      </c>
      <c r="D836" s="37" t="s">
        <v>40</v>
      </c>
      <c r="E836" s="37" t="s">
        <v>48</v>
      </c>
      <c r="F836" s="37" t="s">
        <v>23</v>
      </c>
      <c r="G836" s="39" t="b">
        <f aca="false">TRUE()</f>
        <v>1</v>
      </c>
      <c r="H836" s="37" t="n">
        <v>1059.24</v>
      </c>
      <c r="I836" s="37" t="n">
        <v>5</v>
      </c>
      <c r="J836" s="37" t="n">
        <v>33</v>
      </c>
      <c r="K836" s="37" t="n">
        <v>0</v>
      </c>
      <c r="L836" s="37" t="str">
        <f aca="false">IF(C836="","",IF(C836&lt;=5,"Night (00-05)",IF(C836&lt;=11,"Morning (06-11)",IF(C836&lt;=16,"Afternoon (12-16)",IF(C836&lt;=20,"Evening (17-20)","Late (21-23)")))))</f>
        <v>Night (00-05)</v>
      </c>
    </row>
    <row r="837" customFormat="false" ht="15" hidden="false" customHeight="false" outlineLevel="0" collapsed="false">
      <c r="A837" s="37" t="s">
        <v>942</v>
      </c>
      <c r="B837" s="38" t="n">
        <v>46320</v>
      </c>
      <c r="C837" s="37" t="n">
        <v>2</v>
      </c>
      <c r="D837" s="37" t="s">
        <v>40</v>
      </c>
      <c r="E837" s="37" t="s">
        <v>49</v>
      </c>
      <c r="F837" s="37" t="s">
        <v>113</v>
      </c>
      <c r="G837" s="39" t="b">
        <f aca="false">TRUE()</f>
        <v>1</v>
      </c>
      <c r="H837" s="37" t="n">
        <v>1119.32</v>
      </c>
      <c r="K837" s="37" t="n">
        <v>0</v>
      </c>
      <c r="L837" s="37" t="str">
        <f aca="false">IF(C837="","",IF(C837&lt;=5,"Night (00-05)",IF(C837&lt;=11,"Morning (06-11)",IF(C837&lt;=16,"Afternoon (12-16)",IF(C837&lt;=20,"Evening (17-20)","Late (21-23)")))))</f>
        <v>Night (00-05)</v>
      </c>
    </row>
    <row r="838" customFormat="false" ht="15" hidden="false" customHeight="false" outlineLevel="0" collapsed="false">
      <c r="A838" s="37" t="s">
        <v>943</v>
      </c>
      <c r="B838" s="38" t="n">
        <v>46315</v>
      </c>
      <c r="C838" s="37" t="n">
        <v>12</v>
      </c>
      <c r="D838" s="37" t="s">
        <v>37</v>
      </c>
      <c r="E838" s="37" t="s">
        <v>46</v>
      </c>
      <c r="F838" s="37" t="s">
        <v>23</v>
      </c>
      <c r="G838" s="39" t="b">
        <f aca="false">TRUE()</f>
        <v>1</v>
      </c>
      <c r="H838" s="37" t="n">
        <v>505.87</v>
      </c>
      <c r="I838" s="37" t="n">
        <v>4</v>
      </c>
      <c r="J838" s="37" t="n">
        <v>39</v>
      </c>
      <c r="K838" s="37" t="n">
        <v>0</v>
      </c>
      <c r="L838" s="37" t="str">
        <f aca="false">IF(C838="","",IF(C838&lt;=5,"Night (00-05)",IF(C838&lt;=11,"Morning (06-11)",IF(C838&lt;=16,"Afternoon (12-16)",IF(C838&lt;=20,"Evening (17-20)","Late (21-23)")))))</f>
        <v>Afternoon (12-16)</v>
      </c>
    </row>
    <row r="839" customFormat="false" ht="15" hidden="false" customHeight="false" outlineLevel="0" collapsed="false">
      <c r="A839" s="37" t="s">
        <v>944</v>
      </c>
      <c r="B839" s="38" t="n">
        <v>46322</v>
      </c>
      <c r="C839" s="37" t="n">
        <v>0</v>
      </c>
      <c r="D839" s="37" t="s">
        <v>40</v>
      </c>
      <c r="E839" s="37" t="s">
        <v>48</v>
      </c>
      <c r="F839" s="37" t="s">
        <v>23</v>
      </c>
      <c r="G839" s="39" t="b">
        <f aca="false">TRUE()</f>
        <v>1</v>
      </c>
      <c r="H839" s="37" t="n">
        <v>1164.78</v>
      </c>
      <c r="I839" s="37" t="n">
        <v>5</v>
      </c>
      <c r="J839" s="37" t="n">
        <v>47</v>
      </c>
      <c r="K839" s="37" t="n">
        <v>0</v>
      </c>
      <c r="L839" s="37" t="str">
        <f aca="false">IF(C839="","",IF(C839&lt;=5,"Night (00-05)",IF(C839&lt;=11,"Morning (06-11)",IF(C839&lt;=16,"Afternoon (12-16)",IF(C839&lt;=20,"Evening (17-20)","Late (21-23)")))))</f>
        <v>Night (00-05)</v>
      </c>
    </row>
    <row r="840" customFormat="false" ht="15" hidden="false" customHeight="false" outlineLevel="0" collapsed="false">
      <c r="A840" s="37" t="s">
        <v>945</v>
      </c>
      <c r="B840" s="38" t="n">
        <v>46316</v>
      </c>
      <c r="C840" s="37" t="n">
        <v>1</v>
      </c>
      <c r="D840" s="37" t="s">
        <v>40</v>
      </c>
      <c r="E840" s="37" t="s">
        <v>46</v>
      </c>
      <c r="F840" s="37" t="s">
        <v>23</v>
      </c>
      <c r="G840" s="39" t="b">
        <f aca="false">TRUE()</f>
        <v>1</v>
      </c>
      <c r="H840" s="37" t="n">
        <v>598.05</v>
      </c>
      <c r="I840" s="37" t="n">
        <v>4</v>
      </c>
      <c r="J840" s="37" t="n">
        <v>27</v>
      </c>
      <c r="K840" s="37" t="n">
        <v>0</v>
      </c>
      <c r="L840" s="37" t="str">
        <f aca="false">IF(C840="","",IF(C840&lt;=5,"Night (00-05)",IF(C840&lt;=11,"Morning (06-11)",IF(C840&lt;=16,"Afternoon (12-16)",IF(C840&lt;=20,"Evening (17-20)","Late (21-23)")))))</f>
        <v>Night (00-05)</v>
      </c>
    </row>
    <row r="841" customFormat="false" ht="15" hidden="false" customHeight="false" outlineLevel="0" collapsed="false">
      <c r="A841" s="37" t="s">
        <v>946</v>
      </c>
      <c r="B841" s="38" t="n">
        <v>46320</v>
      </c>
      <c r="C841" s="37" t="n">
        <v>1</v>
      </c>
      <c r="D841" s="37" t="s">
        <v>37</v>
      </c>
      <c r="E841" s="37" t="s">
        <v>48</v>
      </c>
      <c r="F841" s="37" t="s">
        <v>23</v>
      </c>
      <c r="G841" s="39" t="b">
        <f aca="false">TRUE()</f>
        <v>1</v>
      </c>
      <c r="H841" s="37" t="n">
        <v>574.17</v>
      </c>
      <c r="I841" s="37" t="n">
        <v>5</v>
      </c>
      <c r="J841" s="37" t="n">
        <v>28</v>
      </c>
      <c r="K841" s="37" t="n">
        <v>0</v>
      </c>
      <c r="L841" s="37" t="str">
        <f aca="false">IF(C841="","",IF(C841&lt;=5,"Night (00-05)",IF(C841&lt;=11,"Morning (06-11)",IF(C841&lt;=16,"Afternoon (12-16)",IF(C841&lt;=20,"Evening (17-20)","Late (21-23)")))))</f>
        <v>Night (00-05)</v>
      </c>
    </row>
    <row r="842" customFormat="false" ht="15" hidden="false" customHeight="false" outlineLevel="0" collapsed="false">
      <c r="A842" s="37" t="s">
        <v>947</v>
      </c>
      <c r="B842" s="38" t="n">
        <v>46320</v>
      </c>
      <c r="C842" s="37" t="n">
        <v>1</v>
      </c>
      <c r="D842" s="37" t="s">
        <v>37</v>
      </c>
      <c r="E842" s="37" t="s">
        <v>46</v>
      </c>
      <c r="F842" s="37" t="s">
        <v>23</v>
      </c>
      <c r="G842" s="39" t="b">
        <f aca="false">TRUE()</f>
        <v>1</v>
      </c>
      <c r="H842" s="37" t="n">
        <v>626.15</v>
      </c>
      <c r="I842" s="37" t="n">
        <v>5</v>
      </c>
      <c r="J842" s="37" t="n">
        <v>47</v>
      </c>
      <c r="K842" s="37" t="n">
        <v>0</v>
      </c>
      <c r="L842" s="37" t="str">
        <f aca="false">IF(C842="","",IF(C842&lt;=5,"Night (00-05)",IF(C842&lt;=11,"Morning (06-11)",IF(C842&lt;=16,"Afternoon (12-16)",IF(C842&lt;=20,"Evening (17-20)","Late (21-23)")))))</f>
        <v>Night (00-05)</v>
      </c>
    </row>
    <row r="843" customFormat="false" ht="15" hidden="false" customHeight="false" outlineLevel="0" collapsed="false">
      <c r="A843" s="37" t="s">
        <v>948</v>
      </c>
      <c r="B843" s="38" t="n">
        <v>46315</v>
      </c>
      <c r="C843" s="37" t="n">
        <v>15</v>
      </c>
      <c r="D843" s="37" t="s">
        <v>37</v>
      </c>
      <c r="E843" s="37" t="s">
        <v>49</v>
      </c>
      <c r="F843" s="37" t="s">
        <v>23</v>
      </c>
      <c r="G843" s="39" t="b">
        <f aca="false">TRUE()</f>
        <v>1</v>
      </c>
      <c r="H843" s="37" t="n">
        <v>506.39</v>
      </c>
      <c r="I843" s="37" t="n">
        <v>4</v>
      </c>
      <c r="J843" s="37" t="n">
        <v>53</v>
      </c>
      <c r="K843" s="37" t="n">
        <v>0</v>
      </c>
      <c r="L843" s="37" t="str">
        <f aca="false">IF(C843="","",IF(C843&lt;=5,"Night (00-05)",IF(C843&lt;=11,"Morning (06-11)",IF(C843&lt;=16,"Afternoon (12-16)",IF(C843&lt;=20,"Evening (17-20)","Late (21-23)")))))</f>
        <v>Afternoon (12-16)</v>
      </c>
    </row>
    <row r="844" customFormat="false" ht="15" hidden="false" customHeight="false" outlineLevel="0" collapsed="false">
      <c r="A844" s="37" t="s">
        <v>949</v>
      </c>
      <c r="B844" s="38" t="n">
        <v>46319</v>
      </c>
      <c r="C844" s="37" t="n">
        <v>22</v>
      </c>
      <c r="D844" s="37" t="s">
        <v>40</v>
      </c>
      <c r="E844" s="37" t="s">
        <v>49</v>
      </c>
      <c r="F844" s="37" t="s">
        <v>129</v>
      </c>
      <c r="G844" s="39" t="b">
        <f aca="false">FALSE()</f>
        <v>0</v>
      </c>
      <c r="H844" s="37" t="n">
        <v>1008.17</v>
      </c>
      <c r="K844" s="37" t="n">
        <v>0</v>
      </c>
      <c r="L844" s="37" t="str">
        <f aca="false">IF(C844="","",IF(C844&lt;=5,"Night (00-05)",IF(C844&lt;=11,"Morning (06-11)",IF(C844&lt;=16,"Afternoon (12-16)",IF(C844&lt;=20,"Evening (17-20)","Late (21-23)")))))</f>
        <v>Late (21-23)</v>
      </c>
    </row>
    <row r="845" customFormat="false" ht="15" hidden="false" customHeight="false" outlineLevel="0" collapsed="false">
      <c r="A845" s="37" t="s">
        <v>950</v>
      </c>
      <c r="B845" s="38" t="n">
        <v>46321</v>
      </c>
      <c r="C845" s="37" t="n">
        <v>4</v>
      </c>
      <c r="D845" s="37" t="s">
        <v>39</v>
      </c>
      <c r="E845" s="37" t="s">
        <v>48</v>
      </c>
      <c r="F845" s="37" t="s">
        <v>23</v>
      </c>
      <c r="G845" s="39" t="b">
        <f aca="false">TRUE()</f>
        <v>1</v>
      </c>
      <c r="H845" s="37" t="n">
        <v>356.74</v>
      </c>
      <c r="I845" s="37" t="n">
        <v>3</v>
      </c>
      <c r="J845" s="37" t="n">
        <v>49</v>
      </c>
      <c r="K845" s="37" t="n">
        <v>0</v>
      </c>
      <c r="L845" s="37" t="str">
        <f aca="false">IF(C845="","",IF(C845&lt;=5,"Night (00-05)",IF(C845&lt;=11,"Morning (06-11)",IF(C845&lt;=16,"Afternoon (12-16)",IF(C845&lt;=20,"Evening (17-20)","Late (21-23)")))))</f>
        <v>Night (00-05)</v>
      </c>
    </row>
    <row r="846" customFormat="false" ht="15" hidden="false" customHeight="false" outlineLevel="0" collapsed="false">
      <c r="A846" s="37" t="s">
        <v>951</v>
      </c>
      <c r="B846" s="38" t="n">
        <v>46320</v>
      </c>
      <c r="C846" s="37" t="n">
        <v>22</v>
      </c>
      <c r="D846" s="37" t="s">
        <v>37</v>
      </c>
      <c r="E846" s="37" t="s">
        <v>49</v>
      </c>
      <c r="F846" s="37" t="s">
        <v>23</v>
      </c>
      <c r="G846" s="39" t="b">
        <f aca="false">TRUE()</f>
        <v>1</v>
      </c>
      <c r="H846" s="37" t="n">
        <v>635.68</v>
      </c>
      <c r="I846" s="37" t="n">
        <v>4</v>
      </c>
      <c r="J846" s="37" t="n">
        <v>55</v>
      </c>
      <c r="K846" s="37" t="n">
        <v>0</v>
      </c>
      <c r="L846" s="37" t="str">
        <f aca="false">IF(C846="","",IF(C846&lt;=5,"Night (00-05)",IF(C846&lt;=11,"Morning (06-11)",IF(C846&lt;=16,"Afternoon (12-16)",IF(C846&lt;=20,"Evening (17-20)","Late (21-23)")))))</f>
        <v>Late (21-23)</v>
      </c>
    </row>
    <row r="847" customFormat="false" ht="15" hidden="false" customHeight="false" outlineLevel="0" collapsed="false">
      <c r="A847" s="37" t="s">
        <v>952</v>
      </c>
      <c r="B847" s="38" t="n">
        <v>46316</v>
      </c>
      <c r="C847" s="37" t="n">
        <v>0</v>
      </c>
      <c r="D847" s="37" t="s">
        <v>38</v>
      </c>
      <c r="E847" s="37" t="s">
        <v>46</v>
      </c>
      <c r="F847" s="37" t="s">
        <v>23</v>
      </c>
      <c r="G847" s="39" t="b">
        <f aca="false">TRUE()</f>
        <v>1</v>
      </c>
      <c r="H847" s="37" t="n">
        <v>1199.24</v>
      </c>
      <c r="I847" s="37" t="n">
        <v>3</v>
      </c>
      <c r="J847" s="37" t="n">
        <v>29</v>
      </c>
      <c r="K847" s="37" t="n">
        <v>0</v>
      </c>
      <c r="L847" s="37" t="str">
        <f aca="false">IF(C847="","",IF(C847&lt;=5,"Night (00-05)",IF(C847&lt;=11,"Morning (06-11)",IF(C847&lt;=16,"Afternoon (12-16)",IF(C847&lt;=20,"Evening (17-20)","Late (21-23)")))))</f>
        <v>Night (00-05)</v>
      </c>
    </row>
    <row r="848" customFormat="false" ht="15" hidden="false" customHeight="false" outlineLevel="0" collapsed="false">
      <c r="A848" s="37" t="s">
        <v>953</v>
      </c>
      <c r="B848" s="38" t="n">
        <v>46318</v>
      </c>
      <c r="C848" s="37" t="n">
        <v>6</v>
      </c>
      <c r="D848" s="37" t="s">
        <v>39</v>
      </c>
      <c r="E848" s="37" t="s">
        <v>47</v>
      </c>
      <c r="F848" s="37" t="s">
        <v>23</v>
      </c>
      <c r="G848" s="39" t="b">
        <f aca="false">TRUE()</f>
        <v>1</v>
      </c>
      <c r="H848" s="37" t="n">
        <v>615.48</v>
      </c>
      <c r="I848" s="37" t="n">
        <v>2</v>
      </c>
      <c r="J848" s="37" t="n">
        <v>46</v>
      </c>
      <c r="K848" s="37" t="n">
        <v>0</v>
      </c>
      <c r="L848" s="37" t="str">
        <f aca="false">IF(C848="","",IF(C848&lt;=5,"Night (00-05)",IF(C848&lt;=11,"Morning (06-11)",IF(C848&lt;=16,"Afternoon (12-16)",IF(C848&lt;=20,"Evening (17-20)","Late (21-23)")))))</f>
        <v>Morning (06-11)</v>
      </c>
    </row>
    <row r="849" customFormat="false" ht="15" hidden="false" customHeight="false" outlineLevel="0" collapsed="false">
      <c r="A849" s="37" t="s">
        <v>954</v>
      </c>
      <c r="B849" s="38" t="n">
        <v>46318</v>
      </c>
      <c r="C849" s="37" t="n">
        <v>3</v>
      </c>
      <c r="D849" s="37" t="s">
        <v>39</v>
      </c>
      <c r="E849" s="37" t="s">
        <v>47</v>
      </c>
      <c r="F849" s="37" t="s">
        <v>23</v>
      </c>
      <c r="G849" s="39" t="b">
        <f aca="false">TRUE()</f>
        <v>1</v>
      </c>
      <c r="H849" s="37" t="n">
        <v>347.93</v>
      </c>
      <c r="I849" s="37" t="n">
        <v>4</v>
      </c>
      <c r="J849" s="37" t="n">
        <v>22</v>
      </c>
      <c r="K849" s="37" t="n">
        <v>0</v>
      </c>
      <c r="L849" s="37" t="str">
        <f aca="false">IF(C849="","",IF(C849&lt;=5,"Night (00-05)",IF(C849&lt;=11,"Morning (06-11)",IF(C849&lt;=16,"Afternoon (12-16)",IF(C849&lt;=20,"Evening (17-20)","Late (21-23)")))))</f>
        <v>Night (00-05)</v>
      </c>
    </row>
    <row r="850" customFormat="false" ht="15" hidden="false" customHeight="false" outlineLevel="0" collapsed="false">
      <c r="A850" s="37" t="s">
        <v>955</v>
      </c>
      <c r="B850" s="38" t="n">
        <v>46319</v>
      </c>
      <c r="C850" s="37" t="n">
        <v>18</v>
      </c>
      <c r="D850" s="37" t="s">
        <v>40</v>
      </c>
      <c r="E850" s="37" t="s">
        <v>49</v>
      </c>
      <c r="F850" s="37" t="s">
        <v>23</v>
      </c>
      <c r="G850" s="39" t="b">
        <f aca="false">TRUE()</f>
        <v>1</v>
      </c>
      <c r="H850" s="37" t="n">
        <v>879.18</v>
      </c>
      <c r="I850" s="37" t="n">
        <v>5</v>
      </c>
      <c r="J850" s="37" t="n">
        <v>28</v>
      </c>
      <c r="K850" s="37" t="n">
        <v>0</v>
      </c>
      <c r="L850" s="37" t="str">
        <f aca="false">IF(C850="","",IF(C850&lt;=5,"Night (00-05)",IF(C850&lt;=11,"Morning (06-11)",IF(C850&lt;=16,"Afternoon (12-16)",IF(C850&lt;=20,"Evening (17-20)","Late (21-23)")))))</f>
        <v>Evening (17-20)</v>
      </c>
    </row>
    <row r="851" customFormat="false" ht="15" hidden="false" customHeight="false" outlineLevel="0" collapsed="false">
      <c r="A851" s="37" t="s">
        <v>956</v>
      </c>
      <c r="B851" s="38" t="n">
        <v>46320</v>
      </c>
      <c r="C851" s="37" t="n">
        <v>0</v>
      </c>
      <c r="D851" s="37" t="s">
        <v>39</v>
      </c>
      <c r="E851" s="37" t="s">
        <v>48</v>
      </c>
      <c r="F851" s="37" t="s">
        <v>23</v>
      </c>
      <c r="G851" s="39" t="b">
        <f aca="false">TRUE()</f>
        <v>1</v>
      </c>
      <c r="H851" s="37" t="n">
        <v>645.54</v>
      </c>
      <c r="I851" s="37" t="n">
        <v>4</v>
      </c>
      <c r="J851" s="37" t="n">
        <v>46</v>
      </c>
      <c r="K851" s="37" t="n">
        <v>0</v>
      </c>
      <c r="L851" s="37" t="str">
        <f aca="false">IF(C851="","",IF(C851&lt;=5,"Night (00-05)",IF(C851&lt;=11,"Morning (06-11)",IF(C851&lt;=16,"Afternoon (12-16)",IF(C851&lt;=20,"Evening (17-20)","Late (21-23)")))))</f>
        <v>Night (00-05)</v>
      </c>
    </row>
    <row r="852" customFormat="false" ht="15" hidden="false" customHeight="false" outlineLevel="0" collapsed="false">
      <c r="A852" s="37" t="s">
        <v>957</v>
      </c>
      <c r="B852" s="38" t="n">
        <v>46318</v>
      </c>
      <c r="C852" s="37" t="n">
        <v>18</v>
      </c>
      <c r="D852" s="37" t="s">
        <v>39</v>
      </c>
      <c r="E852" s="37" t="s">
        <v>46</v>
      </c>
      <c r="F852" s="37" t="s">
        <v>23</v>
      </c>
      <c r="G852" s="39" t="b">
        <f aca="false">TRUE()</f>
        <v>1</v>
      </c>
      <c r="H852" s="37" t="n">
        <v>557.37</v>
      </c>
      <c r="I852" s="37" t="n">
        <v>5</v>
      </c>
      <c r="J852" s="37" t="n">
        <v>21</v>
      </c>
      <c r="K852" s="37" t="n">
        <v>0</v>
      </c>
      <c r="L852" s="37" t="str">
        <f aca="false">IF(C852="","",IF(C852&lt;=5,"Night (00-05)",IF(C852&lt;=11,"Morning (06-11)",IF(C852&lt;=16,"Afternoon (12-16)",IF(C852&lt;=20,"Evening (17-20)","Late (21-23)")))))</f>
        <v>Evening (17-20)</v>
      </c>
    </row>
    <row r="853" customFormat="false" ht="15" hidden="false" customHeight="false" outlineLevel="0" collapsed="false">
      <c r="A853" s="37" t="s">
        <v>958</v>
      </c>
      <c r="B853" s="38" t="n">
        <v>46322</v>
      </c>
      <c r="C853" s="37" t="n">
        <v>2</v>
      </c>
      <c r="D853" s="37" t="s">
        <v>38</v>
      </c>
      <c r="E853" s="37" t="s">
        <v>47</v>
      </c>
      <c r="F853" s="37" t="s">
        <v>23</v>
      </c>
      <c r="G853" s="39" t="b">
        <f aca="false">TRUE()</f>
        <v>1</v>
      </c>
      <c r="H853" s="37" t="n">
        <v>933.7</v>
      </c>
      <c r="I853" s="37" t="n">
        <v>5</v>
      </c>
      <c r="J853" s="37" t="n">
        <v>23</v>
      </c>
      <c r="K853" s="37" t="n">
        <v>0</v>
      </c>
      <c r="L853" s="37" t="str">
        <f aca="false">IF(C853="","",IF(C853&lt;=5,"Night (00-05)",IF(C853&lt;=11,"Morning (06-11)",IF(C853&lt;=16,"Afternoon (12-16)",IF(C853&lt;=20,"Evening (17-20)","Late (21-23)")))))</f>
        <v>Night (00-05)</v>
      </c>
    </row>
    <row r="854" customFormat="false" ht="15" hidden="false" customHeight="false" outlineLevel="0" collapsed="false">
      <c r="A854" s="37" t="s">
        <v>959</v>
      </c>
      <c r="B854" s="38" t="n">
        <v>46319</v>
      </c>
      <c r="C854" s="37" t="n">
        <v>16</v>
      </c>
      <c r="D854" s="37" t="s">
        <v>38</v>
      </c>
      <c r="E854" s="37" t="s">
        <v>47</v>
      </c>
      <c r="F854" s="37" t="s">
        <v>23</v>
      </c>
      <c r="G854" s="39" t="b">
        <f aca="false">TRUE()</f>
        <v>1</v>
      </c>
      <c r="H854" s="37" t="n">
        <v>1259.78</v>
      </c>
      <c r="I854" s="37" t="n">
        <v>4</v>
      </c>
      <c r="J854" s="37" t="n">
        <v>21</v>
      </c>
      <c r="K854" s="37" t="n">
        <v>0</v>
      </c>
      <c r="L854" s="37" t="str">
        <f aca="false">IF(C854="","",IF(C854&lt;=5,"Night (00-05)",IF(C854&lt;=11,"Morning (06-11)",IF(C854&lt;=16,"Afternoon (12-16)",IF(C854&lt;=20,"Evening (17-20)","Late (21-23)")))))</f>
        <v>Afternoon (12-16)</v>
      </c>
    </row>
    <row r="855" customFormat="false" ht="15" hidden="false" customHeight="false" outlineLevel="0" collapsed="false">
      <c r="A855" s="37" t="s">
        <v>960</v>
      </c>
      <c r="B855" s="38" t="n">
        <v>46316</v>
      </c>
      <c r="C855" s="37" t="n">
        <v>17</v>
      </c>
      <c r="D855" s="37" t="s">
        <v>39</v>
      </c>
      <c r="E855" s="37" t="s">
        <v>47</v>
      </c>
      <c r="F855" s="37" t="s">
        <v>23</v>
      </c>
      <c r="G855" s="39" t="b">
        <f aca="false">TRUE()</f>
        <v>1</v>
      </c>
      <c r="H855" s="37" t="n">
        <v>621.77</v>
      </c>
      <c r="I855" s="37" t="n">
        <v>5</v>
      </c>
      <c r="J855" s="37" t="n">
        <v>45</v>
      </c>
      <c r="K855" s="37" t="n">
        <v>0</v>
      </c>
      <c r="L855" s="37" t="str">
        <f aca="false">IF(C855="","",IF(C855&lt;=5,"Night (00-05)",IF(C855&lt;=11,"Morning (06-11)",IF(C855&lt;=16,"Afternoon (12-16)",IF(C855&lt;=20,"Evening (17-20)","Late (21-23)")))))</f>
        <v>Evening (17-20)</v>
      </c>
    </row>
    <row r="856" customFormat="false" ht="15" hidden="false" customHeight="false" outlineLevel="0" collapsed="false">
      <c r="A856" s="37" t="s">
        <v>961</v>
      </c>
      <c r="B856" s="38" t="n">
        <v>46319</v>
      </c>
      <c r="C856" s="37" t="n">
        <v>3</v>
      </c>
      <c r="D856" s="37" t="s">
        <v>39</v>
      </c>
      <c r="E856" s="37" t="s">
        <v>48</v>
      </c>
      <c r="F856" s="37" t="s">
        <v>23</v>
      </c>
      <c r="G856" s="39" t="b">
        <f aca="false">TRUE()</f>
        <v>1</v>
      </c>
      <c r="H856" s="37" t="n">
        <v>464.97</v>
      </c>
      <c r="I856" s="37" t="n">
        <v>4</v>
      </c>
      <c r="J856" s="37" t="n">
        <v>40</v>
      </c>
      <c r="K856" s="37" t="n">
        <v>0</v>
      </c>
      <c r="L856" s="37" t="str">
        <f aca="false">IF(C856="","",IF(C856&lt;=5,"Night (00-05)",IF(C856&lt;=11,"Morning (06-11)",IF(C856&lt;=16,"Afternoon (12-16)",IF(C856&lt;=20,"Evening (17-20)","Late (21-23)")))))</f>
        <v>Night (00-05)</v>
      </c>
    </row>
    <row r="857" customFormat="false" ht="15" hidden="false" customHeight="false" outlineLevel="0" collapsed="false">
      <c r="A857" s="37" t="s">
        <v>962</v>
      </c>
      <c r="B857" s="38" t="n">
        <v>46315</v>
      </c>
      <c r="C857" s="37" t="n">
        <v>15</v>
      </c>
      <c r="D857" s="37" t="s">
        <v>37</v>
      </c>
      <c r="E857" s="37" t="s">
        <v>46</v>
      </c>
      <c r="F857" s="37" t="s">
        <v>23</v>
      </c>
      <c r="G857" s="39" t="b">
        <f aca="false">TRUE()</f>
        <v>1</v>
      </c>
      <c r="H857" s="37" t="n">
        <v>471.02</v>
      </c>
      <c r="I857" s="37" t="n">
        <v>4</v>
      </c>
      <c r="J857" s="37" t="n">
        <v>25</v>
      </c>
      <c r="K857" s="37" t="n">
        <v>0</v>
      </c>
      <c r="L857" s="37" t="str">
        <f aca="false">IF(C857="","",IF(C857&lt;=5,"Night (00-05)",IF(C857&lt;=11,"Morning (06-11)",IF(C857&lt;=16,"Afternoon (12-16)",IF(C857&lt;=20,"Evening (17-20)","Late (21-23)")))))</f>
        <v>Afternoon (12-16)</v>
      </c>
    </row>
    <row r="858" customFormat="false" ht="15" hidden="false" customHeight="false" outlineLevel="0" collapsed="false">
      <c r="A858" s="37" t="s">
        <v>963</v>
      </c>
      <c r="B858" s="38" t="n">
        <v>46319</v>
      </c>
      <c r="C858" s="37" t="n">
        <v>1</v>
      </c>
      <c r="D858" s="37" t="s">
        <v>40</v>
      </c>
      <c r="E858" s="37" t="s">
        <v>48</v>
      </c>
      <c r="F858" s="37" t="s">
        <v>23</v>
      </c>
      <c r="G858" s="39" t="b">
        <f aca="false">TRUE()</f>
        <v>1</v>
      </c>
      <c r="H858" s="37" t="n">
        <v>520.74</v>
      </c>
      <c r="I858" s="37" t="n">
        <v>3</v>
      </c>
      <c r="J858" s="37" t="n">
        <v>44</v>
      </c>
      <c r="K858" s="37" t="n">
        <v>0</v>
      </c>
      <c r="L858" s="37" t="str">
        <f aca="false">IF(C858="","",IF(C858&lt;=5,"Night (00-05)",IF(C858&lt;=11,"Morning (06-11)",IF(C858&lt;=16,"Afternoon (12-16)",IF(C858&lt;=20,"Evening (17-20)","Late (21-23)")))))</f>
        <v>Night (00-05)</v>
      </c>
    </row>
    <row r="859" customFormat="false" ht="15" hidden="false" customHeight="false" outlineLevel="0" collapsed="false">
      <c r="A859" s="37" t="s">
        <v>964</v>
      </c>
      <c r="B859" s="38" t="n">
        <v>46316</v>
      </c>
      <c r="C859" s="37" t="n">
        <v>20</v>
      </c>
      <c r="D859" s="37" t="s">
        <v>39</v>
      </c>
      <c r="E859" s="37" t="s">
        <v>47</v>
      </c>
      <c r="F859" s="37" t="s">
        <v>23</v>
      </c>
      <c r="G859" s="39" t="b">
        <f aca="false">TRUE()</f>
        <v>1</v>
      </c>
      <c r="H859" s="37" t="n">
        <v>319.75</v>
      </c>
      <c r="I859" s="37" t="n">
        <v>4</v>
      </c>
      <c r="J859" s="37" t="n">
        <v>35</v>
      </c>
      <c r="K859" s="37" t="n">
        <v>0</v>
      </c>
      <c r="L859" s="37" t="str">
        <f aca="false">IF(C859="","",IF(C859&lt;=5,"Night (00-05)",IF(C859&lt;=11,"Morning (06-11)",IF(C859&lt;=16,"Afternoon (12-16)",IF(C859&lt;=20,"Evening (17-20)","Late (21-23)")))))</f>
        <v>Evening (17-20)</v>
      </c>
    </row>
    <row r="860" customFormat="false" ht="15" hidden="false" customHeight="false" outlineLevel="0" collapsed="false">
      <c r="A860" s="37" t="s">
        <v>965</v>
      </c>
      <c r="B860" s="38" t="n">
        <v>46321</v>
      </c>
      <c r="C860" s="37" t="n">
        <v>22</v>
      </c>
      <c r="D860" s="37" t="s">
        <v>38</v>
      </c>
      <c r="E860" s="37" t="s">
        <v>46</v>
      </c>
      <c r="F860" s="37" t="s">
        <v>23</v>
      </c>
      <c r="G860" s="39" t="b">
        <f aca="false">TRUE()</f>
        <v>1</v>
      </c>
      <c r="H860" s="37" t="n">
        <v>1124.38</v>
      </c>
      <c r="I860" s="37" t="n">
        <v>2</v>
      </c>
      <c r="J860" s="37" t="n">
        <v>50</v>
      </c>
      <c r="K860" s="37" t="n">
        <v>0</v>
      </c>
      <c r="L860" s="37" t="str">
        <f aca="false">IF(C860="","",IF(C860&lt;=5,"Night (00-05)",IF(C860&lt;=11,"Morning (06-11)",IF(C860&lt;=16,"Afternoon (12-16)",IF(C860&lt;=20,"Evening (17-20)","Late (21-23)")))))</f>
        <v>Late (21-23)</v>
      </c>
    </row>
    <row r="861" customFormat="false" ht="15" hidden="false" customHeight="false" outlineLevel="0" collapsed="false">
      <c r="A861" s="37" t="s">
        <v>966</v>
      </c>
      <c r="B861" s="38" t="n">
        <v>46320</v>
      </c>
      <c r="C861" s="37" t="n">
        <v>17</v>
      </c>
      <c r="D861" s="37" t="s">
        <v>40</v>
      </c>
      <c r="E861" s="37" t="s">
        <v>47</v>
      </c>
      <c r="F861" s="37" t="s">
        <v>23</v>
      </c>
      <c r="G861" s="39" t="b">
        <f aca="false">TRUE()</f>
        <v>1</v>
      </c>
      <c r="H861" s="37" t="n">
        <v>696.05</v>
      </c>
      <c r="I861" s="37" t="n">
        <v>4</v>
      </c>
      <c r="J861" s="37" t="n">
        <v>28</v>
      </c>
      <c r="K861" s="37" t="n">
        <v>0</v>
      </c>
      <c r="L861" s="37" t="str">
        <f aca="false">IF(C861="","",IF(C861&lt;=5,"Night (00-05)",IF(C861&lt;=11,"Morning (06-11)",IF(C861&lt;=16,"Afternoon (12-16)",IF(C861&lt;=20,"Evening (17-20)","Late (21-23)")))))</f>
        <v>Evening (17-20)</v>
      </c>
    </row>
    <row r="862" customFormat="false" ht="15" hidden="false" customHeight="false" outlineLevel="0" collapsed="false">
      <c r="A862" s="37" t="s">
        <v>967</v>
      </c>
      <c r="B862" s="38" t="n">
        <v>46318</v>
      </c>
      <c r="C862" s="37" t="n">
        <v>21</v>
      </c>
      <c r="D862" s="37" t="s">
        <v>37</v>
      </c>
      <c r="E862" s="37" t="s">
        <v>48</v>
      </c>
      <c r="F862" s="37" t="s">
        <v>129</v>
      </c>
      <c r="G862" s="39" t="b">
        <f aca="false">FALSE()</f>
        <v>0</v>
      </c>
      <c r="H862" s="37" t="n">
        <v>585.65</v>
      </c>
      <c r="K862" s="37" t="n">
        <v>0</v>
      </c>
      <c r="L862" s="37" t="str">
        <f aca="false">IF(C862="","",IF(C862&lt;=5,"Night (00-05)",IF(C862&lt;=11,"Morning (06-11)",IF(C862&lt;=16,"Afternoon (12-16)",IF(C862&lt;=20,"Evening (17-20)","Late (21-23)")))))</f>
        <v>Late (21-23)</v>
      </c>
    </row>
    <row r="863" customFormat="false" ht="15" hidden="false" customHeight="false" outlineLevel="0" collapsed="false">
      <c r="A863" s="37" t="s">
        <v>968</v>
      </c>
      <c r="B863" s="38" t="n">
        <v>46321</v>
      </c>
      <c r="C863" s="37" t="n">
        <v>17</v>
      </c>
      <c r="D863" s="37" t="s">
        <v>39</v>
      </c>
      <c r="E863" s="37" t="s">
        <v>47</v>
      </c>
      <c r="F863" s="37" t="s">
        <v>23</v>
      </c>
      <c r="G863" s="39" t="b">
        <f aca="false">TRUE()</f>
        <v>1</v>
      </c>
      <c r="H863" s="37" t="n">
        <v>299.4</v>
      </c>
      <c r="I863" s="37" t="n">
        <v>5</v>
      </c>
      <c r="J863" s="37" t="n">
        <v>38</v>
      </c>
      <c r="K863" s="37" t="n">
        <v>0</v>
      </c>
      <c r="L863" s="37" t="str">
        <f aca="false">IF(C863="","",IF(C863&lt;=5,"Night (00-05)",IF(C863&lt;=11,"Morning (06-11)",IF(C863&lt;=16,"Afternoon (12-16)",IF(C863&lt;=20,"Evening (17-20)","Late (21-23)")))))</f>
        <v>Evening (17-20)</v>
      </c>
    </row>
    <row r="864" customFormat="false" ht="15" hidden="false" customHeight="false" outlineLevel="0" collapsed="false">
      <c r="A864" s="37" t="s">
        <v>969</v>
      </c>
      <c r="B864" s="38" t="n">
        <v>46316</v>
      </c>
      <c r="C864" s="37" t="n">
        <v>8</v>
      </c>
      <c r="D864" s="37" t="s">
        <v>39</v>
      </c>
      <c r="E864" s="37" t="s">
        <v>46</v>
      </c>
      <c r="F864" s="37" t="s">
        <v>23</v>
      </c>
      <c r="G864" s="39" t="b">
        <f aca="false">TRUE()</f>
        <v>1</v>
      </c>
      <c r="H864" s="37" t="n">
        <v>538.15</v>
      </c>
      <c r="I864" s="37" t="n">
        <v>5</v>
      </c>
      <c r="J864" s="37" t="n">
        <v>44</v>
      </c>
      <c r="K864" s="37" t="n">
        <v>0</v>
      </c>
      <c r="L864" s="37" t="str">
        <f aca="false">IF(C864="","",IF(C864&lt;=5,"Night (00-05)",IF(C864&lt;=11,"Morning (06-11)",IF(C864&lt;=16,"Afternoon (12-16)",IF(C864&lt;=20,"Evening (17-20)","Late (21-23)")))))</f>
        <v>Morning (06-11)</v>
      </c>
    </row>
    <row r="865" customFormat="false" ht="15" hidden="false" customHeight="false" outlineLevel="0" collapsed="false">
      <c r="A865" s="37" t="s">
        <v>970</v>
      </c>
      <c r="B865" s="38" t="n">
        <v>46322</v>
      </c>
      <c r="C865" s="37" t="n">
        <v>0</v>
      </c>
      <c r="D865" s="37" t="s">
        <v>40</v>
      </c>
      <c r="E865" s="37" t="s">
        <v>47</v>
      </c>
      <c r="F865" s="37" t="s">
        <v>23</v>
      </c>
      <c r="G865" s="39" t="b">
        <f aca="false">TRUE()</f>
        <v>1</v>
      </c>
      <c r="H865" s="37" t="n">
        <v>628.13</v>
      </c>
      <c r="I865" s="37" t="n">
        <v>4</v>
      </c>
      <c r="J865" s="37" t="n">
        <v>24</v>
      </c>
      <c r="K865" s="37" t="n">
        <v>0</v>
      </c>
      <c r="L865" s="37" t="str">
        <f aca="false">IF(C865="","",IF(C865&lt;=5,"Night (00-05)",IF(C865&lt;=11,"Morning (06-11)",IF(C865&lt;=16,"Afternoon (12-16)",IF(C865&lt;=20,"Evening (17-20)","Late (21-23)")))))</f>
        <v>Night (00-05)</v>
      </c>
    </row>
    <row r="866" customFormat="false" ht="15" hidden="false" customHeight="false" outlineLevel="0" collapsed="false">
      <c r="A866" s="37" t="s">
        <v>971</v>
      </c>
      <c r="B866" s="38" t="n">
        <v>46319</v>
      </c>
      <c r="C866" s="37" t="n">
        <v>1</v>
      </c>
      <c r="D866" s="37" t="s">
        <v>40</v>
      </c>
      <c r="E866" s="37" t="s">
        <v>49</v>
      </c>
      <c r="F866" s="37" t="s">
        <v>23</v>
      </c>
      <c r="G866" s="39" t="b">
        <f aca="false">TRUE()</f>
        <v>1</v>
      </c>
      <c r="H866" s="37" t="n">
        <v>667.68</v>
      </c>
      <c r="I866" s="37" t="n">
        <v>5</v>
      </c>
      <c r="J866" s="37" t="n">
        <v>40</v>
      </c>
      <c r="K866" s="37" t="n">
        <v>0</v>
      </c>
      <c r="L866" s="37" t="str">
        <f aca="false">IF(C866="","",IF(C866&lt;=5,"Night (00-05)",IF(C866&lt;=11,"Morning (06-11)",IF(C866&lt;=16,"Afternoon (12-16)",IF(C866&lt;=20,"Evening (17-20)","Late (21-23)")))))</f>
        <v>Night (00-05)</v>
      </c>
    </row>
    <row r="867" customFormat="false" ht="15" hidden="false" customHeight="false" outlineLevel="0" collapsed="false">
      <c r="A867" s="37" t="s">
        <v>972</v>
      </c>
      <c r="B867" s="38" t="n">
        <v>46318</v>
      </c>
      <c r="C867" s="37" t="n">
        <v>0</v>
      </c>
      <c r="D867" s="37" t="s">
        <v>39</v>
      </c>
      <c r="E867" s="37" t="s">
        <v>46</v>
      </c>
      <c r="F867" s="37" t="s">
        <v>129</v>
      </c>
      <c r="G867" s="39" t="b">
        <f aca="false">FALSE()</f>
        <v>0</v>
      </c>
      <c r="H867" s="37" t="n">
        <v>397.37</v>
      </c>
      <c r="K867" s="37" t="n">
        <v>0</v>
      </c>
      <c r="L867" s="37" t="str">
        <f aca="false">IF(C867="","",IF(C867&lt;=5,"Night (00-05)",IF(C867&lt;=11,"Morning (06-11)",IF(C867&lt;=16,"Afternoon (12-16)",IF(C867&lt;=20,"Evening (17-20)","Late (21-23)")))))</f>
        <v>Night (00-05)</v>
      </c>
    </row>
    <row r="868" customFormat="false" ht="15" hidden="false" customHeight="false" outlineLevel="0" collapsed="false">
      <c r="A868" s="37" t="s">
        <v>973</v>
      </c>
      <c r="B868" s="38" t="n">
        <v>46317</v>
      </c>
      <c r="C868" s="37" t="n">
        <v>17</v>
      </c>
      <c r="D868" s="37" t="s">
        <v>38</v>
      </c>
      <c r="E868" s="37" t="s">
        <v>48</v>
      </c>
      <c r="F868" s="37" t="s">
        <v>23</v>
      </c>
      <c r="G868" s="39" t="b">
        <f aca="false">TRUE()</f>
        <v>1</v>
      </c>
      <c r="H868" s="37" t="n">
        <v>1251.51</v>
      </c>
      <c r="I868" s="37" t="n">
        <v>1</v>
      </c>
      <c r="J868" s="37" t="n">
        <v>50</v>
      </c>
      <c r="K868" s="37" t="n">
        <v>0</v>
      </c>
      <c r="L868" s="37" t="str">
        <f aca="false">IF(C868="","",IF(C868&lt;=5,"Night (00-05)",IF(C868&lt;=11,"Morning (06-11)",IF(C868&lt;=16,"Afternoon (12-16)",IF(C868&lt;=20,"Evening (17-20)","Late (21-23)")))))</f>
        <v>Evening (17-20)</v>
      </c>
    </row>
    <row r="869" customFormat="false" ht="15" hidden="false" customHeight="false" outlineLevel="0" collapsed="false">
      <c r="A869" s="37" t="s">
        <v>974</v>
      </c>
      <c r="B869" s="38" t="n">
        <v>46316</v>
      </c>
      <c r="C869" s="37" t="n">
        <v>0</v>
      </c>
      <c r="D869" s="37" t="s">
        <v>39</v>
      </c>
      <c r="E869" s="37" t="s">
        <v>49</v>
      </c>
      <c r="F869" s="37" t="s">
        <v>23</v>
      </c>
      <c r="G869" s="39" t="b">
        <f aca="false">TRUE()</f>
        <v>1</v>
      </c>
      <c r="H869" s="37" t="n">
        <v>514.25</v>
      </c>
      <c r="I869" s="37" t="n">
        <v>4</v>
      </c>
      <c r="J869" s="37" t="n">
        <v>24</v>
      </c>
      <c r="K869" s="37" t="n">
        <v>0</v>
      </c>
      <c r="L869" s="37" t="str">
        <f aca="false">IF(C869="","",IF(C869&lt;=5,"Night (00-05)",IF(C869&lt;=11,"Morning (06-11)",IF(C869&lt;=16,"Afternoon (12-16)",IF(C869&lt;=20,"Evening (17-20)","Late (21-23)")))))</f>
        <v>Night (00-05)</v>
      </c>
    </row>
    <row r="870" customFormat="false" ht="15" hidden="false" customHeight="false" outlineLevel="0" collapsed="false">
      <c r="A870" s="37" t="s">
        <v>975</v>
      </c>
      <c r="B870" s="38" t="n">
        <v>46322</v>
      </c>
      <c r="C870" s="37" t="n">
        <v>2</v>
      </c>
      <c r="D870" s="37" t="s">
        <v>38</v>
      </c>
      <c r="E870" s="37" t="s">
        <v>46</v>
      </c>
      <c r="F870" s="37" t="s">
        <v>23</v>
      </c>
      <c r="G870" s="39" t="b">
        <f aca="false">FALSE()</f>
        <v>0</v>
      </c>
      <c r="H870" s="37" t="n">
        <v>1479.43</v>
      </c>
      <c r="I870" s="37" t="n">
        <v>1</v>
      </c>
      <c r="J870" s="37" t="n">
        <v>69</v>
      </c>
      <c r="K870" s="37" t="n">
        <v>1</v>
      </c>
      <c r="L870" s="37" t="str">
        <f aca="false">IF(C870="","",IF(C870&lt;=5,"Night (00-05)",IF(C870&lt;=11,"Morning (06-11)",IF(C870&lt;=16,"Afternoon (12-16)",IF(C870&lt;=20,"Evening (17-20)","Late (21-23)")))))</f>
        <v>Night (00-05)</v>
      </c>
    </row>
    <row r="871" customFormat="false" ht="15" hidden="false" customHeight="false" outlineLevel="0" collapsed="false">
      <c r="A871" s="37" t="s">
        <v>976</v>
      </c>
      <c r="B871" s="38" t="n">
        <v>46322</v>
      </c>
      <c r="C871" s="37" t="n">
        <v>2</v>
      </c>
      <c r="D871" s="37" t="s">
        <v>39</v>
      </c>
      <c r="E871" s="37" t="s">
        <v>46</v>
      </c>
      <c r="F871" s="37" t="s">
        <v>23</v>
      </c>
      <c r="G871" s="39" t="b">
        <f aca="false">TRUE()</f>
        <v>1</v>
      </c>
      <c r="H871" s="37" t="n">
        <v>673.5</v>
      </c>
      <c r="I871" s="37" t="n">
        <v>1</v>
      </c>
      <c r="J871" s="37" t="n">
        <v>92</v>
      </c>
      <c r="K871" s="37" t="n">
        <v>1</v>
      </c>
      <c r="L871" s="37" t="str">
        <f aca="false">IF(C871="","",IF(C871&lt;=5,"Night (00-05)",IF(C871&lt;=11,"Morning (06-11)",IF(C871&lt;=16,"Afternoon (12-16)",IF(C871&lt;=20,"Evening (17-20)","Late (21-23)")))))</f>
        <v>Night (00-05)</v>
      </c>
    </row>
    <row r="872" customFormat="false" ht="15" hidden="false" customHeight="false" outlineLevel="0" collapsed="false">
      <c r="A872" s="37" t="s">
        <v>977</v>
      </c>
      <c r="B872" s="38" t="n">
        <v>46318</v>
      </c>
      <c r="C872" s="37" t="n">
        <v>1</v>
      </c>
      <c r="D872" s="37" t="s">
        <v>37</v>
      </c>
      <c r="E872" s="37" t="s">
        <v>47</v>
      </c>
      <c r="F872" s="37" t="s">
        <v>23</v>
      </c>
      <c r="G872" s="39" t="b">
        <f aca="false">TRUE()</f>
        <v>1</v>
      </c>
      <c r="H872" s="37" t="n">
        <v>807.14</v>
      </c>
      <c r="I872" s="37" t="n">
        <v>4</v>
      </c>
      <c r="J872" s="37" t="n">
        <v>34</v>
      </c>
      <c r="K872" s="37" t="n">
        <v>0</v>
      </c>
      <c r="L872" s="37" t="str">
        <f aca="false">IF(C872="","",IF(C872&lt;=5,"Night (00-05)",IF(C872&lt;=11,"Morning (06-11)",IF(C872&lt;=16,"Afternoon (12-16)",IF(C872&lt;=20,"Evening (17-20)","Late (21-23)")))))</f>
        <v>Night (00-05)</v>
      </c>
    </row>
    <row r="873" customFormat="false" ht="15" hidden="false" customHeight="false" outlineLevel="0" collapsed="false">
      <c r="A873" s="37" t="s">
        <v>978</v>
      </c>
      <c r="B873" s="38" t="n">
        <v>46319</v>
      </c>
      <c r="C873" s="37" t="n">
        <v>5</v>
      </c>
      <c r="D873" s="37" t="s">
        <v>39</v>
      </c>
      <c r="E873" s="37" t="s">
        <v>48</v>
      </c>
      <c r="F873" s="37" t="s">
        <v>129</v>
      </c>
      <c r="G873" s="39" t="b">
        <f aca="false">FALSE()</f>
        <v>0</v>
      </c>
      <c r="H873" s="37" t="n">
        <v>301.85</v>
      </c>
      <c r="K873" s="37" t="n">
        <v>0</v>
      </c>
      <c r="L873" s="37" t="str">
        <f aca="false">IF(C873="","",IF(C873&lt;=5,"Night (00-05)",IF(C873&lt;=11,"Morning (06-11)",IF(C873&lt;=16,"Afternoon (12-16)",IF(C873&lt;=20,"Evening (17-20)","Late (21-23)")))))</f>
        <v>Night (00-05)</v>
      </c>
    </row>
    <row r="874" customFormat="false" ht="15" hidden="false" customHeight="false" outlineLevel="0" collapsed="false">
      <c r="A874" s="37" t="s">
        <v>979</v>
      </c>
      <c r="B874" s="38" t="n">
        <v>46320</v>
      </c>
      <c r="C874" s="37" t="n">
        <v>19</v>
      </c>
      <c r="D874" s="37" t="s">
        <v>39</v>
      </c>
      <c r="E874" s="37" t="s">
        <v>48</v>
      </c>
      <c r="F874" s="37" t="s">
        <v>23</v>
      </c>
      <c r="G874" s="39" t="b">
        <f aca="false">TRUE()</f>
        <v>1</v>
      </c>
      <c r="H874" s="37" t="n">
        <v>519.71</v>
      </c>
      <c r="I874" s="37" t="n">
        <v>3</v>
      </c>
      <c r="J874" s="37" t="n">
        <v>31</v>
      </c>
      <c r="K874" s="37" t="n">
        <v>0</v>
      </c>
      <c r="L874" s="37" t="str">
        <f aca="false">IF(C874="","",IF(C874&lt;=5,"Night (00-05)",IF(C874&lt;=11,"Morning (06-11)",IF(C874&lt;=16,"Afternoon (12-16)",IF(C874&lt;=20,"Evening (17-20)","Late (21-23)")))))</f>
        <v>Evening (17-20)</v>
      </c>
    </row>
    <row r="875" customFormat="false" ht="15" hidden="false" customHeight="false" outlineLevel="0" collapsed="false">
      <c r="A875" s="37" t="s">
        <v>980</v>
      </c>
      <c r="B875" s="38" t="n">
        <v>46317</v>
      </c>
      <c r="C875" s="37" t="n">
        <v>1</v>
      </c>
      <c r="D875" s="37" t="s">
        <v>37</v>
      </c>
      <c r="E875" s="37" t="s">
        <v>46</v>
      </c>
      <c r="F875" s="37" t="s">
        <v>23</v>
      </c>
      <c r="G875" s="39" t="b">
        <f aca="false">TRUE()</f>
        <v>1</v>
      </c>
      <c r="H875" s="37" t="n">
        <v>494.93</v>
      </c>
      <c r="I875" s="37" t="n">
        <v>5</v>
      </c>
      <c r="J875" s="37" t="n">
        <v>54</v>
      </c>
      <c r="K875" s="37" t="n">
        <v>0</v>
      </c>
      <c r="L875" s="37" t="str">
        <f aca="false">IF(C875="","",IF(C875&lt;=5,"Night (00-05)",IF(C875&lt;=11,"Morning (06-11)",IF(C875&lt;=16,"Afternoon (12-16)",IF(C875&lt;=20,"Evening (17-20)","Late (21-23)")))))</f>
        <v>Night (00-05)</v>
      </c>
    </row>
    <row r="876" customFormat="false" ht="15" hidden="false" customHeight="false" outlineLevel="0" collapsed="false">
      <c r="A876" s="37" t="s">
        <v>981</v>
      </c>
      <c r="B876" s="38" t="n">
        <v>46320</v>
      </c>
      <c r="C876" s="37" t="n">
        <v>23</v>
      </c>
      <c r="D876" s="37" t="s">
        <v>39</v>
      </c>
      <c r="E876" s="37" t="s">
        <v>47</v>
      </c>
      <c r="F876" s="37" t="s">
        <v>23</v>
      </c>
      <c r="G876" s="39" t="b">
        <f aca="false">TRUE()</f>
        <v>1</v>
      </c>
      <c r="H876" s="37" t="n">
        <v>640.54</v>
      </c>
      <c r="I876" s="37" t="n">
        <v>4</v>
      </c>
      <c r="J876" s="37" t="n">
        <v>46</v>
      </c>
      <c r="K876" s="37" t="n">
        <v>0</v>
      </c>
      <c r="L876" s="37" t="str">
        <f aca="false">IF(C876="","",IF(C876&lt;=5,"Night (00-05)",IF(C876&lt;=11,"Morning (06-11)",IF(C876&lt;=16,"Afternoon (12-16)",IF(C876&lt;=20,"Evening (17-20)","Late (21-23)")))))</f>
        <v>Late (21-23)</v>
      </c>
    </row>
    <row r="877" customFormat="false" ht="15" hidden="false" customHeight="false" outlineLevel="0" collapsed="false">
      <c r="A877" s="37" t="s">
        <v>982</v>
      </c>
      <c r="B877" s="38" t="n">
        <v>46320</v>
      </c>
      <c r="C877" s="37" t="n">
        <v>22</v>
      </c>
      <c r="D877" s="37" t="s">
        <v>38</v>
      </c>
      <c r="E877" s="37" t="s">
        <v>48</v>
      </c>
      <c r="F877" s="37" t="s">
        <v>113</v>
      </c>
      <c r="G877" s="39" t="b">
        <f aca="false">TRUE()</f>
        <v>1</v>
      </c>
      <c r="H877" s="37" t="n">
        <v>831.88</v>
      </c>
      <c r="K877" s="37" t="n">
        <v>0</v>
      </c>
      <c r="L877" s="37" t="str">
        <f aca="false">IF(C877="","",IF(C877&lt;=5,"Night (00-05)",IF(C877&lt;=11,"Morning (06-11)",IF(C877&lt;=16,"Afternoon (12-16)",IF(C877&lt;=20,"Evening (17-20)","Late (21-23)")))))</f>
        <v>Late (21-23)</v>
      </c>
    </row>
    <row r="878" customFormat="false" ht="15" hidden="false" customHeight="false" outlineLevel="0" collapsed="false">
      <c r="A878" s="37" t="s">
        <v>983</v>
      </c>
      <c r="B878" s="38" t="n">
        <v>46319</v>
      </c>
      <c r="C878" s="37" t="n">
        <v>21</v>
      </c>
      <c r="D878" s="37" t="s">
        <v>37</v>
      </c>
      <c r="E878" s="37" t="s">
        <v>46</v>
      </c>
      <c r="F878" s="37" t="s">
        <v>23</v>
      </c>
      <c r="G878" s="39" t="b">
        <f aca="false">TRUE()</f>
        <v>1</v>
      </c>
      <c r="H878" s="37" t="n">
        <v>439.9</v>
      </c>
      <c r="I878" s="37" t="n">
        <v>5</v>
      </c>
      <c r="J878" s="37" t="n">
        <v>21</v>
      </c>
      <c r="K878" s="37" t="n">
        <v>0</v>
      </c>
      <c r="L878" s="37" t="str">
        <f aca="false">IF(C878="","",IF(C878&lt;=5,"Night (00-05)",IF(C878&lt;=11,"Morning (06-11)",IF(C878&lt;=16,"Afternoon (12-16)",IF(C878&lt;=20,"Evening (17-20)","Late (21-23)")))))</f>
        <v>Late (21-23)</v>
      </c>
    </row>
    <row r="879" customFormat="false" ht="15" hidden="false" customHeight="false" outlineLevel="0" collapsed="false">
      <c r="A879" s="37" t="s">
        <v>984</v>
      </c>
      <c r="B879" s="38" t="n">
        <v>46317</v>
      </c>
      <c r="C879" s="37" t="n">
        <v>6</v>
      </c>
      <c r="D879" s="37" t="s">
        <v>37</v>
      </c>
      <c r="E879" s="37" t="s">
        <v>48</v>
      </c>
      <c r="F879" s="37" t="s">
        <v>23</v>
      </c>
      <c r="G879" s="39" t="b">
        <f aca="false">TRUE()</f>
        <v>1</v>
      </c>
      <c r="H879" s="37" t="n">
        <v>481.24</v>
      </c>
      <c r="I879" s="37" t="n">
        <v>2</v>
      </c>
      <c r="J879" s="37" t="n">
        <v>26</v>
      </c>
      <c r="K879" s="37" t="n">
        <v>0</v>
      </c>
      <c r="L879" s="37" t="str">
        <f aca="false">IF(C879="","",IF(C879&lt;=5,"Night (00-05)",IF(C879&lt;=11,"Morning (06-11)",IF(C879&lt;=16,"Afternoon (12-16)",IF(C879&lt;=20,"Evening (17-20)","Late (21-23)")))))</f>
        <v>Morning (06-11)</v>
      </c>
    </row>
    <row r="880" customFormat="false" ht="15" hidden="false" customHeight="false" outlineLevel="0" collapsed="false">
      <c r="A880" s="37" t="s">
        <v>985</v>
      </c>
      <c r="B880" s="38" t="n">
        <v>46319</v>
      </c>
      <c r="C880" s="37" t="n">
        <v>2</v>
      </c>
      <c r="D880" s="37" t="s">
        <v>40</v>
      </c>
      <c r="E880" s="37" t="s">
        <v>46</v>
      </c>
      <c r="F880" s="37" t="s">
        <v>23</v>
      </c>
      <c r="G880" s="39" t="b">
        <f aca="false">FALSE()</f>
        <v>0</v>
      </c>
      <c r="H880" s="37" t="n">
        <v>696.72</v>
      </c>
      <c r="I880" s="37" t="n">
        <v>5</v>
      </c>
      <c r="J880" s="37" t="n">
        <v>48</v>
      </c>
      <c r="K880" s="37" t="n">
        <v>0</v>
      </c>
      <c r="L880" s="37" t="str">
        <f aca="false">IF(C880="","",IF(C880&lt;=5,"Night (00-05)",IF(C880&lt;=11,"Morning (06-11)",IF(C880&lt;=16,"Afternoon (12-16)",IF(C880&lt;=20,"Evening (17-20)","Late (21-23)")))))</f>
        <v>Night (00-05)</v>
      </c>
    </row>
    <row r="881" customFormat="false" ht="15" hidden="false" customHeight="false" outlineLevel="0" collapsed="false">
      <c r="A881" s="37" t="s">
        <v>986</v>
      </c>
      <c r="B881" s="38" t="n">
        <v>46320</v>
      </c>
      <c r="C881" s="37" t="n">
        <v>2</v>
      </c>
      <c r="D881" s="37" t="s">
        <v>39</v>
      </c>
      <c r="E881" s="37" t="s">
        <v>47</v>
      </c>
      <c r="F881" s="37" t="s">
        <v>23</v>
      </c>
      <c r="G881" s="39" t="b">
        <f aca="false">TRUE()</f>
        <v>1</v>
      </c>
      <c r="H881" s="37" t="n">
        <v>549.14</v>
      </c>
      <c r="I881" s="37" t="n">
        <v>5</v>
      </c>
      <c r="J881" s="37" t="n">
        <v>25</v>
      </c>
      <c r="K881" s="37" t="n">
        <v>0</v>
      </c>
      <c r="L881" s="37" t="str">
        <f aca="false">IF(C881="","",IF(C881&lt;=5,"Night (00-05)",IF(C881&lt;=11,"Morning (06-11)",IF(C881&lt;=16,"Afternoon (12-16)",IF(C881&lt;=20,"Evening (17-20)","Late (21-23)")))))</f>
        <v>Night (00-05)</v>
      </c>
    </row>
    <row r="882" customFormat="false" ht="15" hidden="false" customHeight="false" outlineLevel="0" collapsed="false">
      <c r="A882" s="37" t="s">
        <v>987</v>
      </c>
      <c r="B882" s="38" t="n">
        <v>46315</v>
      </c>
      <c r="C882" s="37" t="n">
        <v>19</v>
      </c>
      <c r="D882" s="37" t="s">
        <v>38</v>
      </c>
      <c r="E882" s="37" t="s">
        <v>48</v>
      </c>
      <c r="F882" s="37" t="s">
        <v>23</v>
      </c>
      <c r="G882" s="39" t="b">
        <f aca="false">TRUE()</f>
        <v>1</v>
      </c>
      <c r="H882" s="37" t="n">
        <v>842.4</v>
      </c>
      <c r="I882" s="37" t="n">
        <v>4</v>
      </c>
      <c r="J882" s="37" t="n">
        <v>23</v>
      </c>
      <c r="K882" s="37" t="n">
        <v>0</v>
      </c>
      <c r="L882" s="37" t="str">
        <f aca="false">IF(C882="","",IF(C882&lt;=5,"Night (00-05)",IF(C882&lt;=11,"Morning (06-11)",IF(C882&lt;=16,"Afternoon (12-16)",IF(C882&lt;=20,"Evening (17-20)","Late (21-23)")))))</f>
        <v>Evening (17-20)</v>
      </c>
    </row>
    <row r="883" customFormat="false" ht="15" hidden="false" customHeight="false" outlineLevel="0" collapsed="false">
      <c r="A883" s="37" t="s">
        <v>988</v>
      </c>
      <c r="B883" s="38" t="n">
        <v>46320</v>
      </c>
      <c r="C883" s="37" t="n">
        <v>20</v>
      </c>
      <c r="D883" s="37" t="s">
        <v>38</v>
      </c>
      <c r="E883" s="37" t="s">
        <v>47</v>
      </c>
      <c r="F883" s="37" t="s">
        <v>23</v>
      </c>
      <c r="G883" s="39" t="b">
        <f aca="false">TRUE()</f>
        <v>1</v>
      </c>
      <c r="H883" s="37" t="n">
        <v>1005.44</v>
      </c>
      <c r="I883" s="37" t="n">
        <v>5</v>
      </c>
      <c r="J883" s="37" t="n">
        <v>26</v>
      </c>
      <c r="K883" s="37" t="n">
        <v>0</v>
      </c>
      <c r="L883" s="37" t="str">
        <f aca="false">IF(C883="","",IF(C883&lt;=5,"Night (00-05)",IF(C883&lt;=11,"Morning (06-11)",IF(C883&lt;=16,"Afternoon (12-16)",IF(C883&lt;=20,"Evening (17-20)","Late (21-23)")))))</f>
        <v>Evening (17-20)</v>
      </c>
    </row>
    <row r="884" customFormat="false" ht="15" hidden="false" customHeight="false" outlineLevel="0" collapsed="false">
      <c r="A884" s="37" t="s">
        <v>989</v>
      </c>
      <c r="B884" s="38" t="n">
        <v>46318</v>
      </c>
      <c r="C884" s="37" t="n">
        <v>17</v>
      </c>
      <c r="D884" s="37" t="s">
        <v>38</v>
      </c>
      <c r="E884" s="37" t="s">
        <v>49</v>
      </c>
      <c r="F884" s="37" t="s">
        <v>23</v>
      </c>
      <c r="G884" s="39" t="b">
        <f aca="false">TRUE()</f>
        <v>1</v>
      </c>
      <c r="H884" s="37" t="n">
        <v>1067.74</v>
      </c>
      <c r="I884" s="37" t="n">
        <v>4</v>
      </c>
      <c r="J884" s="37" t="n">
        <v>26</v>
      </c>
      <c r="K884" s="37" t="n">
        <v>0</v>
      </c>
      <c r="L884" s="37" t="str">
        <f aca="false">IF(C884="","",IF(C884&lt;=5,"Night (00-05)",IF(C884&lt;=11,"Morning (06-11)",IF(C884&lt;=16,"Afternoon (12-16)",IF(C884&lt;=20,"Evening (17-20)","Late (21-23)")))))</f>
        <v>Evening (17-20)</v>
      </c>
    </row>
    <row r="885" customFormat="false" ht="15" hidden="false" customHeight="false" outlineLevel="0" collapsed="false">
      <c r="A885" s="37" t="s">
        <v>990</v>
      </c>
      <c r="B885" s="38" t="n">
        <v>46321</v>
      </c>
      <c r="C885" s="37" t="n">
        <v>2</v>
      </c>
      <c r="D885" s="37" t="s">
        <v>40</v>
      </c>
      <c r="E885" s="37" t="s">
        <v>48</v>
      </c>
      <c r="F885" s="37" t="s">
        <v>23</v>
      </c>
      <c r="G885" s="39" t="b">
        <f aca="false">TRUE()</f>
        <v>1</v>
      </c>
      <c r="H885" s="37" t="n">
        <v>585.41</v>
      </c>
      <c r="I885" s="37" t="n">
        <v>5</v>
      </c>
      <c r="J885" s="37" t="n">
        <v>24</v>
      </c>
      <c r="K885" s="37" t="n">
        <v>0</v>
      </c>
      <c r="L885" s="37" t="str">
        <f aca="false">IF(C885="","",IF(C885&lt;=5,"Night (00-05)",IF(C885&lt;=11,"Morning (06-11)",IF(C885&lt;=16,"Afternoon (12-16)",IF(C885&lt;=20,"Evening (17-20)","Late (21-23)")))))</f>
        <v>Night (00-05)</v>
      </c>
    </row>
    <row r="886" customFormat="false" ht="15" hidden="false" customHeight="false" outlineLevel="0" collapsed="false">
      <c r="A886" s="37" t="s">
        <v>991</v>
      </c>
      <c r="B886" s="38" t="n">
        <v>46321</v>
      </c>
      <c r="C886" s="37" t="n">
        <v>16</v>
      </c>
      <c r="D886" s="37" t="s">
        <v>40</v>
      </c>
      <c r="E886" s="37" t="s">
        <v>46</v>
      </c>
      <c r="F886" s="37" t="s">
        <v>23</v>
      </c>
      <c r="G886" s="39" t="b">
        <f aca="false">TRUE()</f>
        <v>1</v>
      </c>
      <c r="H886" s="37" t="n">
        <v>835.81</v>
      </c>
      <c r="I886" s="37" t="n">
        <v>4</v>
      </c>
      <c r="J886" s="37" t="n">
        <v>48</v>
      </c>
      <c r="K886" s="37" t="n">
        <v>0</v>
      </c>
      <c r="L886" s="37" t="str">
        <f aca="false">IF(C886="","",IF(C886&lt;=5,"Night (00-05)",IF(C886&lt;=11,"Morning (06-11)",IF(C886&lt;=16,"Afternoon (12-16)",IF(C886&lt;=20,"Evening (17-20)","Late (21-23)")))))</f>
        <v>Afternoon (12-16)</v>
      </c>
    </row>
    <row r="887" customFormat="false" ht="15" hidden="false" customHeight="false" outlineLevel="0" collapsed="false">
      <c r="A887" s="37" t="s">
        <v>992</v>
      </c>
      <c r="B887" s="38" t="n">
        <v>46317</v>
      </c>
      <c r="C887" s="37" t="n">
        <v>2</v>
      </c>
      <c r="D887" s="37" t="s">
        <v>40</v>
      </c>
      <c r="E887" s="37" t="s">
        <v>49</v>
      </c>
      <c r="F887" s="37" t="s">
        <v>23</v>
      </c>
      <c r="G887" s="39" t="b">
        <f aca="false">TRUE()</f>
        <v>1</v>
      </c>
      <c r="H887" s="37" t="n">
        <v>909.5</v>
      </c>
      <c r="I887" s="37" t="n">
        <v>4</v>
      </c>
      <c r="J887" s="37" t="n">
        <v>42</v>
      </c>
      <c r="K887" s="37" t="n">
        <v>0</v>
      </c>
      <c r="L887" s="37" t="str">
        <f aca="false">IF(C887="","",IF(C887&lt;=5,"Night (00-05)",IF(C887&lt;=11,"Morning (06-11)",IF(C887&lt;=16,"Afternoon (12-16)",IF(C887&lt;=20,"Evening (17-20)","Late (21-23)")))))</f>
        <v>Night (00-05)</v>
      </c>
    </row>
    <row r="888" customFormat="false" ht="15" hidden="false" customHeight="false" outlineLevel="0" collapsed="false">
      <c r="A888" s="37" t="s">
        <v>993</v>
      </c>
      <c r="B888" s="38" t="n">
        <v>46320</v>
      </c>
      <c r="C888" s="37" t="n">
        <v>2</v>
      </c>
      <c r="D888" s="37" t="s">
        <v>40</v>
      </c>
      <c r="E888" s="37" t="s">
        <v>46</v>
      </c>
      <c r="F888" s="37" t="s">
        <v>129</v>
      </c>
      <c r="G888" s="39" t="b">
        <f aca="false">FALSE()</f>
        <v>0</v>
      </c>
      <c r="H888" s="37" t="n">
        <v>731.85</v>
      </c>
      <c r="K888" s="37" t="n">
        <v>0</v>
      </c>
      <c r="L888" s="37" t="str">
        <f aca="false">IF(C888="","",IF(C888&lt;=5,"Night (00-05)",IF(C888&lt;=11,"Morning (06-11)",IF(C888&lt;=16,"Afternoon (12-16)",IF(C888&lt;=20,"Evening (17-20)","Late (21-23)")))))</f>
        <v>Night (00-05)</v>
      </c>
    </row>
    <row r="889" customFormat="false" ht="15" hidden="false" customHeight="false" outlineLevel="0" collapsed="false">
      <c r="A889" s="37" t="s">
        <v>994</v>
      </c>
      <c r="B889" s="38" t="n">
        <v>46319</v>
      </c>
      <c r="C889" s="37" t="n">
        <v>23</v>
      </c>
      <c r="D889" s="37" t="s">
        <v>38</v>
      </c>
      <c r="E889" s="37" t="s">
        <v>48</v>
      </c>
      <c r="F889" s="37" t="s">
        <v>23</v>
      </c>
      <c r="G889" s="39" t="b">
        <f aca="false">TRUE()</f>
        <v>1</v>
      </c>
      <c r="H889" s="37" t="n">
        <v>1153.98</v>
      </c>
      <c r="I889" s="37" t="n">
        <v>4</v>
      </c>
      <c r="J889" s="37" t="n">
        <v>23</v>
      </c>
      <c r="K889" s="37" t="n">
        <v>0</v>
      </c>
      <c r="L889" s="37" t="str">
        <f aca="false">IF(C889="","",IF(C889&lt;=5,"Night (00-05)",IF(C889&lt;=11,"Morning (06-11)",IF(C889&lt;=16,"Afternoon (12-16)",IF(C889&lt;=20,"Evening (17-20)","Late (21-23)")))))</f>
        <v>Late (21-23)</v>
      </c>
    </row>
    <row r="890" customFormat="false" ht="15" hidden="false" customHeight="false" outlineLevel="0" collapsed="false">
      <c r="A890" s="37" t="s">
        <v>995</v>
      </c>
      <c r="B890" s="38" t="n">
        <v>46317</v>
      </c>
      <c r="C890" s="37" t="n">
        <v>6</v>
      </c>
      <c r="D890" s="37" t="s">
        <v>37</v>
      </c>
      <c r="E890" s="37" t="s">
        <v>47</v>
      </c>
      <c r="F890" s="37" t="s">
        <v>23</v>
      </c>
      <c r="G890" s="39" t="b">
        <f aca="false">TRUE()</f>
        <v>1</v>
      </c>
      <c r="H890" s="37" t="n">
        <v>569.78</v>
      </c>
      <c r="I890" s="37" t="n">
        <v>5</v>
      </c>
      <c r="J890" s="37" t="n">
        <v>49</v>
      </c>
      <c r="K890" s="37" t="n">
        <v>0</v>
      </c>
      <c r="L890" s="37" t="str">
        <f aca="false">IF(C890="","",IF(C890&lt;=5,"Night (00-05)",IF(C890&lt;=11,"Morning (06-11)",IF(C890&lt;=16,"Afternoon (12-16)",IF(C890&lt;=20,"Evening (17-20)","Late (21-23)")))))</f>
        <v>Morning (06-11)</v>
      </c>
    </row>
    <row r="891" customFormat="false" ht="15" hidden="false" customHeight="false" outlineLevel="0" collapsed="false">
      <c r="A891" s="37" t="s">
        <v>996</v>
      </c>
      <c r="B891" s="38" t="n">
        <v>46318</v>
      </c>
      <c r="C891" s="37" t="n">
        <v>3</v>
      </c>
      <c r="D891" s="37" t="s">
        <v>40</v>
      </c>
      <c r="E891" s="37" t="s">
        <v>49</v>
      </c>
      <c r="F891" s="37" t="s">
        <v>23</v>
      </c>
      <c r="G891" s="39" t="b">
        <f aca="false">TRUE()</f>
        <v>1</v>
      </c>
      <c r="H891" s="37" t="n">
        <v>761.9</v>
      </c>
      <c r="I891" s="37" t="n">
        <v>4</v>
      </c>
      <c r="J891" s="37" t="n">
        <v>22</v>
      </c>
      <c r="K891" s="37" t="n">
        <v>0</v>
      </c>
      <c r="L891" s="37" t="str">
        <f aca="false">IF(C891="","",IF(C891&lt;=5,"Night (00-05)",IF(C891&lt;=11,"Morning (06-11)",IF(C891&lt;=16,"Afternoon (12-16)",IF(C891&lt;=20,"Evening (17-20)","Late (21-23)")))))</f>
        <v>Night (00-05)</v>
      </c>
    </row>
    <row r="892" customFormat="false" ht="15" hidden="false" customHeight="false" outlineLevel="0" collapsed="false">
      <c r="A892" s="37" t="s">
        <v>997</v>
      </c>
      <c r="B892" s="38" t="n">
        <v>46316</v>
      </c>
      <c r="C892" s="37" t="n">
        <v>0</v>
      </c>
      <c r="D892" s="37" t="s">
        <v>39</v>
      </c>
      <c r="E892" s="37" t="s">
        <v>48</v>
      </c>
      <c r="F892" s="37" t="s">
        <v>23</v>
      </c>
      <c r="G892" s="39" t="b">
        <f aca="false">TRUE()</f>
        <v>1</v>
      </c>
      <c r="H892" s="37" t="n">
        <v>394.61</v>
      </c>
      <c r="I892" s="37" t="n">
        <v>5</v>
      </c>
      <c r="J892" s="37" t="n">
        <v>41</v>
      </c>
      <c r="K892" s="37" t="n">
        <v>0</v>
      </c>
      <c r="L892" s="37" t="str">
        <f aca="false">IF(C892="","",IF(C892&lt;=5,"Night (00-05)",IF(C892&lt;=11,"Morning (06-11)",IF(C892&lt;=16,"Afternoon (12-16)",IF(C892&lt;=20,"Evening (17-20)","Late (21-23)")))))</f>
        <v>Night (00-05)</v>
      </c>
    </row>
    <row r="893" customFormat="false" ht="15" hidden="false" customHeight="false" outlineLevel="0" collapsed="false">
      <c r="A893" s="37" t="s">
        <v>998</v>
      </c>
      <c r="B893" s="38" t="n">
        <v>46318</v>
      </c>
      <c r="C893" s="37" t="n">
        <v>17</v>
      </c>
      <c r="D893" s="37" t="s">
        <v>38</v>
      </c>
      <c r="E893" s="37" t="s">
        <v>46</v>
      </c>
      <c r="F893" s="37" t="s">
        <v>23</v>
      </c>
      <c r="G893" s="39" t="b">
        <f aca="false">TRUE()</f>
        <v>1</v>
      </c>
      <c r="H893" s="37" t="n">
        <v>805.92</v>
      </c>
      <c r="I893" s="37" t="n">
        <v>3</v>
      </c>
      <c r="J893" s="37" t="n">
        <v>55</v>
      </c>
      <c r="K893" s="37" t="n">
        <v>0</v>
      </c>
      <c r="L893" s="37" t="str">
        <f aca="false">IF(C893="","",IF(C893&lt;=5,"Night (00-05)",IF(C893&lt;=11,"Morning (06-11)",IF(C893&lt;=16,"Afternoon (12-16)",IF(C893&lt;=20,"Evening (17-20)","Late (21-23)")))))</f>
        <v>Evening (17-20)</v>
      </c>
    </row>
    <row r="894" customFormat="false" ht="15" hidden="false" customHeight="false" outlineLevel="0" collapsed="false">
      <c r="A894" s="37" t="s">
        <v>999</v>
      </c>
      <c r="B894" s="38" t="n">
        <v>46317</v>
      </c>
      <c r="C894" s="37" t="n">
        <v>20</v>
      </c>
      <c r="D894" s="37" t="s">
        <v>40</v>
      </c>
      <c r="E894" s="37" t="s">
        <v>47</v>
      </c>
      <c r="F894" s="37" t="s">
        <v>23</v>
      </c>
      <c r="G894" s="39" t="b">
        <f aca="false">TRUE()</f>
        <v>1</v>
      </c>
      <c r="H894" s="37" t="n">
        <v>1279.25</v>
      </c>
      <c r="I894" s="37" t="n">
        <v>4</v>
      </c>
      <c r="J894" s="37" t="n">
        <v>38</v>
      </c>
      <c r="K894" s="37" t="n">
        <v>0</v>
      </c>
      <c r="L894" s="37" t="str">
        <f aca="false">IF(C894="","",IF(C894&lt;=5,"Night (00-05)",IF(C894&lt;=11,"Morning (06-11)",IF(C894&lt;=16,"Afternoon (12-16)",IF(C894&lt;=20,"Evening (17-20)","Late (21-23)")))))</f>
        <v>Evening (17-20)</v>
      </c>
    </row>
    <row r="895" customFormat="false" ht="15" hidden="false" customHeight="false" outlineLevel="0" collapsed="false">
      <c r="A895" s="37" t="s">
        <v>1000</v>
      </c>
      <c r="B895" s="38" t="n">
        <v>46318</v>
      </c>
      <c r="C895" s="37" t="n">
        <v>1</v>
      </c>
      <c r="D895" s="37" t="s">
        <v>37</v>
      </c>
      <c r="E895" s="37" t="s">
        <v>48</v>
      </c>
      <c r="F895" s="37" t="s">
        <v>23</v>
      </c>
      <c r="G895" s="39" t="b">
        <f aca="false">TRUE()</f>
        <v>1</v>
      </c>
      <c r="H895" s="37" t="n">
        <v>496.99</v>
      </c>
      <c r="I895" s="37" t="n">
        <v>5</v>
      </c>
      <c r="J895" s="37" t="n">
        <v>36</v>
      </c>
      <c r="K895" s="37" t="n">
        <v>0</v>
      </c>
      <c r="L895" s="37" t="str">
        <f aca="false">IF(C895="","",IF(C895&lt;=5,"Night (00-05)",IF(C895&lt;=11,"Morning (06-11)",IF(C895&lt;=16,"Afternoon (12-16)",IF(C895&lt;=20,"Evening (17-20)","Late (21-23)")))))</f>
        <v>Night (00-05)</v>
      </c>
    </row>
    <row r="896" customFormat="false" ht="15" hidden="false" customHeight="false" outlineLevel="0" collapsed="false">
      <c r="A896" s="37" t="s">
        <v>1001</v>
      </c>
      <c r="B896" s="38" t="n">
        <v>46316</v>
      </c>
      <c r="C896" s="37" t="n">
        <v>2</v>
      </c>
      <c r="D896" s="37" t="s">
        <v>38</v>
      </c>
      <c r="E896" s="37" t="s">
        <v>46</v>
      </c>
      <c r="F896" s="37" t="s">
        <v>23</v>
      </c>
      <c r="G896" s="39" t="b">
        <f aca="false">TRUE()</f>
        <v>1</v>
      </c>
      <c r="H896" s="37" t="n">
        <v>1454.28</v>
      </c>
      <c r="I896" s="37" t="n">
        <v>3</v>
      </c>
      <c r="J896" s="37" t="n">
        <v>68</v>
      </c>
      <c r="K896" s="37" t="n">
        <v>1</v>
      </c>
      <c r="L896" s="37" t="str">
        <f aca="false">IF(C896="","",IF(C896&lt;=5,"Night (00-05)",IF(C896&lt;=11,"Morning (06-11)",IF(C896&lt;=16,"Afternoon (12-16)",IF(C896&lt;=20,"Evening (17-20)","Late (21-23)")))))</f>
        <v>Night (00-05)</v>
      </c>
    </row>
    <row r="897" customFormat="false" ht="15" hidden="false" customHeight="false" outlineLevel="0" collapsed="false">
      <c r="A897" s="37" t="s">
        <v>1002</v>
      </c>
      <c r="B897" s="38" t="n">
        <v>46320</v>
      </c>
      <c r="C897" s="37" t="n">
        <v>16</v>
      </c>
      <c r="D897" s="37" t="s">
        <v>39</v>
      </c>
      <c r="E897" s="37" t="s">
        <v>47</v>
      </c>
      <c r="F897" s="37" t="s">
        <v>113</v>
      </c>
      <c r="G897" s="39" t="b">
        <f aca="false">TRUE()</f>
        <v>1</v>
      </c>
      <c r="H897" s="37" t="n">
        <v>346.4</v>
      </c>
      <c r="K897" s="37" t="n">
        <v>0</v>
      </c>
      <c r="L897" s="37" t="str">
        <f aca="false">IF(C897="","",IF(C897&lt;=5,"Night (00-05)",IF(C897&lt;=11,"Morning (06-11)",IF(C897&lt;=16,"Afternoon (12-16)",IF(C897&lt;=20,"Evening (17-20)","Late (21-23)")))))</f>
        <v>Afternoon (12-16)</v>
      </c>
    </row>
    <row r="898" customFormat="false" ht="15" hidden="false" customHeight="false" outlineLevel="0" collapsed="false">
      <c r="A898" s="37" t="s">
        <v>1003</v>
      </c>
      <c r="B898" s="38" t="n">
        <v>46317</v>
      </c>
      <c r="C898" s="37" t="n">
        <v>2</v>
      </c>
      <c r="D898" s="37" t="s">
        <v>39</v>
      </c>
      <c r="E898" s="37" t="s">
        <v>46</v>
      </c>
      <c r="F898" s="37" t="s">
        <v>23</v>
      </c>
      <c r="G898" s="39" t="b">
        <f aca="false">TRUE()</f>
        <v>1</v>
      </c>
      <c r="H898" s="37" t="n">
        <v>426.18</v>
      </c>
      <c r="I898" s="37" t="n">
        <v>5</v>
      </c>
      <c r="J898" s="37" t="n">
        <v>47</v>
      </c>
      <c r="K898" s="37" t="n">
        <v>0</v>
      </c>
      <c r="L898" s="37" t="str">
        <f aca="false">IF(C898="","",IF(C898&lt;=5,"Night (00-05)",IF(C898&lt;=11,"Morning (06-11)",IF(C898&lt;=16,"Afternoon (12-16)",IF(C898&lt;=20,"Evening (17-20)","Late (21-23)")))))</f>
        <v>Night (00-05)</v>
      </c>
    </row>
    <row r="899" customFormat="false" ht="15" hidden="false" customHeight="false" outlineLevel="0" collapsed="false">
      <c r="A899" s="37" t="s">
        <v>1004</v>
      </c>
      <c r="B899" s="38" t="n">
        <v>46319</v>
      </c>
      <c r="C899" s="37" t="n">
        <v>16</v>
      </c>
      <c r="D899" s="37" t="s">
        <v>37</v>
      </c>
      <c r="E899" s="37" t="s">
        <v>46</v>
      </c>
      <c r="F899" s="37" t="s">
        <v>23</v>
      </c>
      <c r="G899" s="39" t="b">
        <f aca="false">TRUE()</f>
        <v>1</v>
      </c>
      <c r="H899" s="37" t="n">
        <v>522.59</v>
      </c>
      <c r="I899" s="37" t="n">
        <v>5</v>
      </c>
      <c r="J899" s="37" t="n">
        <v>37</v>
      </c>
      <c r="K899" s="37" t="n">
        <v>0</v>
      </c>
      <c r="L899" s="37" t="str">
        <f aca="false">IF(C899="","",IF(C899&lt;=5,"Night (00-05)",IF(C899&lt;=11,"Morning (06-11)",IF(C899&lt;=16,"Afternoon (12-16)",IF(C899&lt;=20,"Evening (17-20)","Late (21-23)")))))</f>
        <v>Afternoon (12-16)</v>
      </c>
    </row>
    <row r="900" customFormat="false" ht="15" hidden="false" customHeight="false" outlineLevel="0" collapsed="false">
      <c r="A900" s="37" t="s">
        <v>1005</v>
      </c>
      <c r="B900" s="38" t="n">
        <v>46321</v>
      </c>
      <c r="C900" s="37" t="n">
        <v>22</v>
      </c>
      <c r="D900" s="37" t="s">
        <v>39</v>
      </c>
      <c r="E900" s="37" t="s">
        <v>48</v>
      </c>
      <c r="F900" s="37" t="s">
        <v>23</v>
      </c>
      <c r="G900" s="39" t="b">
        <f aca="false">TRUE()</f>
        <v>1</v>
      </c>
      <c r="H900" s="37" t="n">
        <v>589.92</v>
      </c>
      <c r="I900" s="37" t="n">
        <v>4</v>
      </c>
      <c r="J900" s="37" t="n">
        <v>24</v>
      </c>
      <c r="K900" s="37" t="n">
        <v>0</v>
      </c>
      <c r="L900" s="37" t="str">
        <f aca="false">IF(C900="","",IF(C900&lt;=5,"Night (00-05)",IF(C900&lt;=11,"Morning (06-11)",IF(C900&lt;=16,"Afternoon (12-16)",IF(C900&lt;=20,"Evening (17-20)","Late (21-23)")))))</f>
        <v>Late (21-23)</v>
      </c>
    </row>
    <row r="901" customFormat="false" ht="15" hidden="false" customHeight="false" outlineLevel="0" collapsed="false">
      <c r="A901" s="37" t="s">
        <v>1006</v>
      </c>
      <c r="B901" s="38" t="n">
        <v>46319</v>
      </c>
      <c r="C901" s="37" t="n">
        <v>1</v>
      </c>
      <c r="D901" s="37" t="s">
        <v>40</v>
      </c>
      <c r="E901" s="37" t="s">
        <v>49</v>
      </c>
      <c r="F901" s="37" t="s">
        <v>23</v>
      </c>
      <c r="G901" s="39" t="b">
        <f aca="false">TRUE()</f>
        <v>1</v>
      </c>
      <c r="H901" s="37" t="n">
        <v>914.11</v>
      </c>
      <c r="I901" s="37" t="n">
        <v>4</v>
      </c>
      <c r="J901" s="37" t="n">
        <v>43</v>
      </c>
      <c r="K901" s="37" t="n">
        <v>0</v>
      </c>
      <c r="L901" s="37" t="str">
        <f aca="false">IF(C901="","",IF(C901&lt;=5,"Night (00-05)",IF(C901&lt;=11,"Morning (06-11)",IF(C901&lt;=16,"Afternoon (12-16)",IF(C901&lt;=20,"Evening (17-20)","Late (21-23)")))))</f>
        <v>Night (00-05)</v>
      </c>
    </row>
    <row r="902" customFormat="false" ht="15" hidden="false" customHeight="false" outlineLevel="0" collapsed="false">
      <c r="A902" s="37" t="s">
        <v>1007</v>
      </c>
      <c r="B902" s="38" t="n">
        <v>46319</v>
      </c>
      <c r="C902" s="37" t="n">
        <v>1</v>
      </c>
      <c r="D902" s="37" t="s">
        <v>40</v>
      </c>
      <c r="E902" s="37" t="s">
        <v>49</v>
      </c>
      <c r="F902" s="37" t="s">
        <v>23</v>
      </c>
      <c r="G902" s="39" t="b">
        <f aca="false">TRUE()</f>
        <v>1</v>
      </c>
      <c r="H902" s="37" t="n">
        <v>1009.48</v>
      </c>
      <c r="I902" s="37" t="n">
        <v>4</v>
      </c>
      <c r="J902" s="37" t="n">
        <v>22</v>
      </c>
      <c r="K902" s="37" t="n">
        <v>0</v>
      </c>
      <c r="L902" s="37" t="str">
        <f aca="false">IF(C902="","",IF(C902&lt;=5,"Night (00-05)",IF(C902&lt;=11,"Morning (06-11)",IF(C902&lt;=16,"Afternoon (12-16)",IF(C902&lt;=20,"Evening (17-20)","Late (21-23)")))))</f>
        <v>Night (00-05)</v>
      </c>
    </row>
    <row r="903" customFormat="false" ht="15" hidden="false" customHeight="false" outlineLevel="0" collapsed="false">
      <c r="A903" s="37" t="s">
        <v>1008</v>
      </c>
      <c r="B903" s="38" t="n">
        <v>46316</v>
      </c>
      <c r="C903" s="37" t="n">
        <v>21</v>
      </c>
      <c r="D903" s="37" t="s">
        <v>37</v>
      </c>
      <c r="E903" s="37" t="s">
        <v>46</v>
      </c>
      <c r="F903" s="37" t="s">
        <v>23</v>
      </c>
      <c r="G903" s="39" t="b">
        <f aca="false">TRUE()</f>
        <v>1</v>
      </c>
      <c r="H903" s="37" t="n">
        <v>611.51</v>
      </c>
      <c r="I903" s="37" t="n">
        <v>5</v>
      </c>
      <c r="J903" s="37" t="n">
        <v>30</v>
      </c>
      <c r="K903" s="37" t="n">
        <v>0</v>
      </c>
      <c r="L903" s="37" t="str">
        <f aca="false">IF(C903="","",IF(C903&lt;=5,"Night (00-05)",IF(C903&lt;=11,"Morning (06-11)",IF(C903&lt;=16,"Afternoon (12-16)",IF(C903&lt;=20,"Evening (17-20)","Late (21-23)")))))</f>
        <v>Late (21-23)</v>
      </c>
    </row>
    <row r="904" customFormat="false" ht="15" hidden="false" customHeight="false" outlineLevel="0" collapsed="false">
      <c r="A904" s="37" t="s">
        <v>1009</v>
      </c>
      <c r="B904" s="38" t="n">
        <v>46317</v>
      </c>
      <c r="C904" s="37" t="n">
        <v>17</v>
      </c>
      <c r="D904" s="37" t="s">
        <v>38</v>
      </c>
      <c r="E904" s="37" t="s">
        <v>46</v>
      </c>
      <c r="F904" s="37" t="s">
        <v>23</v>
      </c>
      <c r="G904" s="39" t="b">
        <f aca="false">TRUE()</f>
        <v>1</v>
      </c>
      <c r="H904" s="37" t="n">
        <v>1110.15</v>
      </c>
      <c r="I904" s="37" t="n">
        <v>4</v>
      </c>
      <c r="J904" s="37" t="n">
        <v>22</v>
      </c>
      <c r="K904" s="37" t="n">
        <v>0</v>
      </c>
      <c r="L904" s="37" t="str">
        <f aca="false">IF(C904="","",IF(C904&lt;=5,"Night (00-05)",IF(C904&lt;=11,"Morning (06-11)",IF(C904&lt;=16,"Afternoon (12-16)",IF(C904&lt;=20,"Evening (17-20)","Late (21-23)")))))</f>
        <v>Evening (17-20)</v>
      </c>
    </row>
    <row r="905" customFormat="false" ht="15" hidden="false" customHeight="false" outlineLevel="0" collapsed="false">
      <c r="A905" s="37" t="s">
        <v>1010</v>
      </c>
      <c r="B905" s="38" t="n">
        <v>46319</v>
      </c>
      <c r="C905" s="37" t="n">
        <v>18</v>
      </c>
      <c r="D905" s="37" t="s">
        <v>39</v>
      </c>
      <c r="E905" s="37" t="s">
        <v>49</v>
      </c>
      <c r="F905" s="37" t="s">
        <v>23</v>
      </c>
      <c r="G905" s="39" t="b">
        <f aca="false">TRUE()</f>
        <v>1</v>
      </c>
      <c r="H905" s="37" t="n">
        <v>446</v>
      </c>
      <c r="I905" s="37" t="n">
        <v>4</v>
      </c>
      <c r="J905" s="37" t="n">
        <v>37</v>
      </c>
      <c r="K905" s="37" t="n">
        <v>0</v>
      </c>
      <c r="L905" s="37" t="str">
        <f aca="false">IF(C905="","",IF(C905&lt;=5,"Night (00-05)",IF(C905&lt;=11,"Morning (06-11)",IF(C905&lt;=16,"Afternoon (12-16)",IF(C905&lt;=20,"Evening (17-20)","Late (21-23)")))))</f>
        <v>Evening (17-20)</v>
      </c>
    </row>
    <row r="906" customFormat="false" ht="15" hidden="false" customHeight="false" outlineLevel="0" collapsed="false">
      <c r="A906" s="37" t="s">
        <v>1011</v>
      </c>
      <c r="B906" s="38" t="n">
        <v>46316</v>
      </c>
      <c r="C906" s="37" t="n">
        <v>20</v>
      </c>
      <c r="D906" s="37" t="s">
        <v>38</v>
      </c>
      <c r="E906" s="37" t="s">
        <v>46</v>
      </c>
      <c r="F906" s="37" t="s">
        <v>23</v>
      </c>
      <c r="G906" s="39" t="b">
        <f aca="false">TRUE()</f>
        <v>1</v>
      </c>
      <c r="H906" s="37" t="n">
        <v>1430.03</v>
      </c>
      <c r="I906" s="37" t="n">
        <v>4</v>
      </c>
      <c r="J906" s="37" t="n">
        <v>52</v>
      </c>
      <c r="K906" s="37" t="n">
        <v>0</v>
      </c>
      <c r="L906" s="37" t="str">
        <f aca="false">IF(C906="","",IF(C906&lt;=5,"Night (00-05)",IF(C906&lt;=11,"Morning (06-11)",IF(C906&lt;=16,"Afternoon (12-16)",IF(C906&lt;=20,"Evening (17-20)","Late (21-23)")))))</f>
        <v>Evening (17-20)</v>
      </c>
    </row>
    <row r="907" customFormat="false" ht="15" hidden="false" customHeight="false" outlineLevel="0" collapsed="false">
      <c r="A907" s="37" t="s">
        <v>1012</v>
      </c>
      <c r="B907" s="38" t="n">
        <v>46320</v>
      </c>
      <c r="C907" s="37" t="n">
        <v>14</v>
      </c>
      <c r="D907" s="37" t="s">
        <v>37</v>
      </c>
      <c r="E907" s="37" t="s">
        <v>47</v>
      </c>
      <c r="F907" s="37" t="s">
        <v>23</v>
      </c>
      <c r="G907" s="39" t="b">
        <f aca="false">TRUE()</f>
        <v>1</v>
      </c>
      <c r="H907" s="37" t="n">
        <v>458.29</v>
      </c>
      <c r="I907" s="37" t="n">
        <v>4</v>
      </c>
      <c r="J907" s="37" t="n">
        <v>54</v>
      </c>
      <c r="K907" s="37" t="n">
        <v>0</v>
      </c>
      <c r="L907" s="37" t="str">
        <f aca="false">IF(C907="","",IF(C907&lt;=5,"Night (00-05)",IF(C907&lt;=11,"Morning (06-11)",IF(C907&lt;=16,"Afternoon (12-16)",IF(C907&lt;=20,"Evening (17-20)","Late (21-23)")))))</f>
        <v>Afternoon (12-16)</v>
      </c>
    </row>
    <row r="908" customFormat="false" ht="15" hidden="false" customHeight="false" outlineLevel="0" collapsed="false">
      <c r="A908" s="37" t="s">
        <v>1013</v>
      </c>
      <c r="B908" s="38" t="n">
        <v>46317</v>
      </c>
      <c r="C908" s="37" t="n">
        <v>0</v>
      </c>
      <c r="D908" s="37" t="s">
        <v>40</v>
      </c>
      <c r="E908" s="37" t="s">
        <v>48</v>
      </c>
      <c r="F908" s="37" t="s">
        <v>129</v>
      </c>
      <c r="G908" s="39" t="b">
        <f aca="false">FALSE()</f>
        <v>0</v>
      </c>
      <c r="H908" s="37" t="n">
        <v>1063.51</v>
      </c>
      <c r="K908" s="37" t="n">
        <v>0</v>
      </c>
      <c r="L908" s="37" t="str">
        <f aca="false">IF(C908="","",IF(C908&lt;=5,"Night (00-05)",IF(C908&lt;=11,"Morning (06-11)",IF(C908&lt;=16,"Afternoon (12-16)",IF(C908&lt;=20,"Evening (17-20)","Late (21-23)")))))</f>
        <v>Night (00-05)</v>
      </c>
    </row>
    <row r="909" customFormat="false" ht="15" hidden="false" customHeight="false" outlineLevel="0" collapsed="false">
      <c r="A909" s="37" t="s">
        <v>1014</v>
      </c>
      <c r="B909" s="38" t="n">
        <v>46322</v>
      </c>
      <c r="C909" s="37" t="n">
        <v>1</v>
      </c>
      <c r="D909" s="37" t="s">
        <v>40</v>
      </c>
      <c r="E909" s="37" t="s">
        <v>47</v>
      </c>
      <c r="F909" s="37" t="s">
        <v>23</v>
      </c>
      <c r="G909" s="39" t="b">
        <f aca="false">TRUE()</f>
        <v>1</v>
      </c>
      <c r="H909" s="37" t="n">
        <v>1115.06</v>
      </c>
      <c r="I909" s="37" t="n">
        <v>5</v>
      </c>
      <c r="J909" s="37" t="n">
        <v>42</v>
      </c>
      <c r="K909" s="37" t="n">
        <v>0</v>
      </c>
      <c r="L909" s="37" t="str">
        <f aca="false">IF(C909="","",IF(C909&lt;=5,"Night (00-05)",IF(C909&lt;=11,"Morning (06-11)",IF(C909&lt;=16,"Afternoon (12-16)",IF(C909&lt;=20,"Evening (17-20)","Late (21-23)")))))</f>
        <v>Night (00-05)</v>
      </c>
    </row>
    <row r="910" customFormat="false" ht="15" hidden="false" customHeight="false" outlineLevel="0" collapsed="false">
      <c r="A910" s="37" t="s">
        <v>1015</v>
      </c>
      <c r="B910" s="38" t="n">
        <v>46319</v>
      </c>
      <c r="C910" s="37" t="n">
        <v>4</v>
      </c>
      <c r="D910" s="37" t="s">
        <v>38</v>
      </c>
      <c r="E910" s="37" t="s">
        <v>49</v>
      </c>
      <c r="F910" s="37" t="s">
        <v>129</v>
      </c>
      <c r="G910" s="39" t="b">
        <f aca="false">FALSE()</f>
        <v>0</v>
      </c>
      <c r="H910" s="37" t="n">
        <v>1256.86</v>
      </c>
      <c r="K910" s="37" t="n">
        <v>0</v>
      </c>
      <c r="L910" s="37" t="str">
        <f aca="false">IF(C910="","",IF(C910&lt;=5,"Night (00-05)",IF(C910&lt;=11,"Morning (06-11)",IF(C910&lt;=16,"Afternoon (12-16)",IF(C910&lt;=20,"Evening (17-20)","Late (21-23)")))))</f>
        <v>Night (00-05)</v>
      </c>
    </row>
    <row r="911" customFormat="false" ht="15" hidden="false" customHeight="false" outlineLevel="0" collapsed="false">
      <c r="A911" s="37" t="s">
        <v>1016</v>
      </c>
      <c r="B911" s="38" t="n">
        <v>46317</v>
      </c>
      <c r="C911" s="37" t="n">
        <v>3</v>
      </c>
      <c r="D911" s="37" t="s">
        <v>37</v>
      </c>
      <c r="E911" s="37" t="s">
        <v>49</v>
      </c>
      <c r="F911" s="37" t="s">
        <v>23</v>
      </c>
      <c r="G911" s="39" t="b">
        <f aca="false">TRUE()</f>
        <v>1</v>
      </c>
      <c r="H911" s="37" t="n">
        <v>515.86</v>
      </c>
      <c r="I911" s="37" t="n">
        <v>5</v>
      </c>
      <c r="J911" s="37" t="n">
        <v>55</v>
      </c>
      <c r="K911" s="37" t="n">
        <v>0</v>
      </c>
      <c r="L911" s="37" t="str">
        <f aca="false">IF(C911="","",IF(C911&lt;=5,"Night (00-05)",IF(C911&lt;=11,"Morning (06-11)",IF(C911&lt;=16,"Afternoon (12-16)",IF(C911&lt;=20,"Evening (17-20)","Late (21-23)")))))</f>
        <v>Night (00-05)</v>
      </c>
    </row>
    <row r="912" customFormat="false" ht="15" hidden="false" customHeight="false" outlineLevel="0" collapsed="false">
      <c r="A912" s="37" t="s">
        <v>1017</v>
      </c>
      <c r="B912" s="38" t="n">
        <v>46321</v>
      </c>
      <c r="C912" s="37" t="n">
        <v>2</v>
      </c>
      <c r="D912" s="37" t="s">
        <v>38</v>
      </c>
      <c r="E912" s="37" t="s">
        <v>46</v>
      </c>
      <c r="F912" s="37" t="s">
        <v>23</v>
      </c>
      <c r="G912" s="39" t="b">
        <f aca="false">FALSE()</f>
        <v>0</v>
      </c>
      <c r="H912" s="37" t="n">
        <v>1391.06</v>
      </c>
      <c r="I912" s="37" t="n">
        <v>4</v>
      </c>
      <c r="J912" s="37" t="n">
        <v>58</v>
      </c>
      <c r="K912" s="37" t="n">
        <v>0</v>
      </c>
      <c r="L912" s="37" t="str">
        <f aca="false">IF(C912="","",IF(C912&lt;=5,"Night (00-05)",IF(C912&lt;=11,"Morning (06-11)",IF(C912&lt;=16,"Afternoon (12-16)",IF(C912&lt;=20,"Evening (17-20)","Late (21-23)")))))</f>
        <v>Night (00-05)</v>
      </c>
    </row>
    <row r="913" customFormat="false" ht="15" hidden="false" customHeight="false" outlineLevel="0" collapsed="false">
      <c r="A913" s="37" t="s">
        <v>1018</v>
      </c>
      <c r="B913" s="38" t="n">
        <v>46321</v>
      </c>
      <c r="C913" s="37" t="n">
        <v>23</v>
      </c>
      <c r="D913" s="37" t="s">
        <v>37</v>
      </c>
      <c r="E913" s="37" t="s">
        <v>46</v>
      </c>
      <c r="F913" s="37" t="s">
        <v>23</v>
      </c>
      <c r="G913" s="39" t="b">
        <f aca="false">TRUE()</f>
        <v>1</v>
      </c>
      <c r="H913" s="37" t="n">
        <v>870.68</v>
      </c>
      <c r="I913" s="37" t="n">
        <v>4</v>
      </c>
      <c r="J913" s="37" t="n">
        <v>42</v>
      </c>
      <c r="K913" s="37" t="n">
        <v>0</v>
      </c>
      <c r="L913" s="37" t="str">
        <f aca="false">IF(C913="","",IF(C913&lt;=5,"Night (00-05)",IF(C913&lt;=11,"Morning (06-11)",IF(C913&lt;=16,"Afternoon (12-16)",IF(C913&lt;=20,"Evening (17-20)","Late (21-23)")))))</f>
        <v>Late (21-23)</v>
      </c>
    </row>
    <row r="914" customFormat="false" ht="15" hidden="false" customHeight="false" outlineLevel="0" collapsed="false">
      <c r="A914" s="37" t="s">
        <v>1019</v>
      </c>
      <c r="B914" s="38" t="n">
        <v>46318</v>
      </c>
      <c r="C914" s="37" t="n">
        <v>20</v>
      </c>
      <c r="D914" s="37" t="s">
        <v>40</v>
      </c>
      <c r="E914" s="37" t="s">
        <v>46</v>
      </c>
      <c r="F914" s="37" t="s">
        <v>23</v>
      </c>
      <c r="G914" s="39" t="b">
        <f aca="false">TRUE()</f>
        <v>1</v>
      </c>
      <c r="H914" s="37" t="n">
        <v>968.56</v>
      </c>
      <c r="I914" s="37" t="n">
        <v>5</v>
      </c>
      <c r="J914" s="37" t="n">
        <v>22</v>
      </c>
      <c r="K914" s="37" t="n">
        <v>0</v>
      </c>
      <c r="L914" s="37" t="str">
        <f aca="false">IF(C914="","",IF(C914&lt;=5,"Night (00-05)",IF(C914&lt;=11,"Morning (06-11)",IF(C914&lt;=16,"Afternoon (12-16)",IF(C914&lt;=20,"Evening (17-20)","Late (21-23)")))))</f>
        <v>Evening (17-20)</v>
      </c>
    </row>
    <row r="915" customFormat="false" ht="15" hidden="false" customHeight="false" outlineLevel="0" collapsed="false">
      <c r="A915" s="37" t="s">
        <v>1020</v>
      </c>
      <c r="B915" s="38" t="n">
        <v>46317</v>
      </c>
      <c r="C915" s="37" t="n">
        <v>6</v>
      </c>
      <c r="D915" s="37" t="s">
        <v>39</v>
      </c>
      <c r="E915" s="37" t="s">
        <v>49</v>
      </c>
      <c r="F915" s="37" t="s">
        <v>23</v>
      </c>
      <c r="G915" s="39" t="b">
        <f aca="false">TRUE()</f>
        <v>1</v>
      </c>
      <c r="H915" s="37" t="n">
        <v>380.68</v>
      </c>
      <c r="I915" s="37" t="n">
        <v>4</v>
      </c>
      <c r="J915" s="37" t="n">
        <v>54</v>
      </c>
      <c r="K915" s="37" t="n">
        <v>0</v>
      </c>
      <c r="L915" s="37" t="str">
        <f aca="false">IF(C915="","",IF(C915&lt;=5,"Night (00-05)",IF(C915&lt;=11,"Morning (06-11)",IF(C915&lt;=16,"Afternoon (12-16)",IF(C915&lt;=20,"Evening (17-20)","Late (21-23)")))))</f>
        <v>Morning (06-11)</v>
      </c>
    </row>
    <row r="916" customFormat="false" ht="15" hidden="false" customHeight="false" outlineLevel="0" collapsed="false">
      <c r="A916" s="37" t="s">
        <v>1021</v>
      </c>
      <c r="B916" s="38" t="n">
        <v>46318</v>
      </c>
      <c r="C916" s="37" t="n">
        <v>15</v>
      </c>
      <c r="D916" s="37" t="s">
        <v>40</v>
      </c>
      <c r="E916" s="37" t="s">
        <v>47</v>
      </c>
      <c r="F916" s="37" t="s">
        <v>23</v>
      </c>
      <c r="G916" s="39" t="b">
        <f aca="false">TRUE()</f>
        <v>1</v>
      </c>
      <c r="H916" s="37" t="n">
        <v>636.14</v>
      </c>
      <c r="I916" s="37" t="n">
        <v>2</v>
      </c>
      <c r="J916" s="37" t="n">
        <v>31</v>
      </c>
      <c r="K916" s="37" t="n">
        <v>0</v>
      </c>
      <c r="L916" s="37" t="str">
        <f aca="false">IF(C916="","",IF(C916&lt;=5,"Night (00-05)",IF(C916&lt;=11,"Morning (06-11)",IF(C916&lt;=16,"Afternoon (12-16)",IF(C916&lt;=20,"Evening (17-20)","Late (21-23)")))))</f>
        <v>Afternoon (12-16)</v>
      </c>
    </row>
    <row r="917" customFormat="false" ht="15" hidden="false" customHeight="false" outlineLevel="0" collapsed="false">
      <c r="A917" s="37" t="s">
        <v>1022</v>
      </c>
      <c r="B917" s="38" t="n">
        <v>46321</v>
      </c>
      <c r="C917" s="37" t="n">
        <v>0</v>
      </c>
      <c r="D917" s="37" t="s">
        <v>37</v>
      </c>
      <c r="E917" s="37" t="s">
        <v>47</v>
      </c>
      <c r="F917" s="37" t="s">
        <v>23</v>
      </c>
      <c r="G917" s="39" t="b">
        <f aca="false">TRUE()</f>
        <v>1</v>
      </c>
      <c r="H917" s="37" t="n">
        <v>854.67</v>
      </c>
      <c r="I917" s="37" t="n">
        <v>4</v>
      </c>
      <c r="J917" s="37" t="n">
        <v>33</v>
      </c>
      <c r="K917" s="37" t="n">
        <v>0</v>
      </c>
      <c r="L917" s="37" t="str">
        <f aca="false">IF(C917="","",IF(C917&lt;=5,"Night (00-05)",IF(C917&lt;=11,"Morning (06-11)",IF(C917&lt;=16,"Afternoon (12-16)",IF(C917&lt;=20,"Evening (17-20)","Late (21-23)")))))</f>
        <v>Night (00-05)</v>
      </c>
    </row>
    <row r="918" customFormat="false" ht="15" hidden="false" customHeight="false" outlineLevel="0" collapsed="false">
      <c r="A918" s="37" t="s">
        <v>1023</v>
      </c>
      <c r="B918" s="38" t="n">
        <v>46320</v>
      </c>
      <c r="C918" s="37" t="n">
        <v>22</v>
      </c>
      <c r="D918" s="37" t="s">
        <v>40</v>
      </c>
      <c r="E918" s="37" t="s">
        <v>47</v>
      </c>
      <c r="F918" s="37" t="s">
        <v>23</v>
      </c>
      <c r="G918" s="39" t="b">
        <f aca="false">TRUE()</f>
        <v>1</v>
      </c>
      <c r="H918" s="37" t="n">
        <v>636.46</v>
      </c>
      <c r="I918" s="37" t="n">
        <v>4</v>
      </c>
      <c r="J918" s="37" t="n">
        <v>46</v>
      </c>
      <c r="K918" s="37" t="n">
        <v>0</v>
      </c>
      <c r="L918" s="37" t="str">
        <f aca="false">IF(C918="","",IF(C918&lt;=5,"Night (00-05)",IF(C918&lt;=11,"Morning (06-11)",IF(C918&lt;=16,"Afternoon (12-16)",IF(C918&lt;=20,"Evening (17-20)","Late (21-23)")))))</f>
        <v>Late (21-23)</v>
      </c>
    </row>
    <row r="919" customFormat="false" ht="15" hidden="false" customHeight="false" outlineLevel="0" collapsed="false">
      <c r="A919" s="37" t="s">
        <v>1024</v>
      </c>
      <c r="B919" s="38" t="n">
        <v>46315</v>
      </c>
      <c r="C919" s="37" t="n">
        <v>15</v>
      </c>
      <c r="D919" s="37" t="s">
        <v>38</v>
      </c>
      <c r="E919" s="37" t="s">
        <v>49</v>
      </c>
      <c r="F919" s="37" t="s">
        <v>23</v>
      </c>
      <c r="G919" s="39" t="b">
        <f aca="false">TRUE()</f>
        <v>1</v>
      </c>
      <c r="H919" s="37" t="n">
        <v>1467.57</v>
      </c>
      <c r="I919" s="37" t="n">
        <v>5</v>
      </c>
      <c r="J919" s="37" t="n">
        <v>28</v>
      </c>
      <c r="K919" s="37" t="n">
        <v>0</v>
      </c>
      <c r="L919" s="37" t="str">
        <f aca="false">IF(C919="","",IF(C919&lt;=5,"Night (00-05)",IF(C919&lt;=11,"Morning (06-11)",IF(C919&lt;=16,"Afternoon (12-16)",IF(C919&lt;=20,"Evening (17-20)","Late (21-23)")))))</f>
        <v>Afternoon (12-16)</v>
      </c>
    </row>
    <row r="920" customFormat="false" ht="15" hidden="false" customHeight="false" outlineLevel="0" collapsed="false">
      <c r="A920" s="37" t="s">
        <v>1025</v>
      </c>
      <c r="B920" s="38" t="n">
        <v>46317</v>
      </c>
      <c r="C920" s="37" t="n">
        <v>20</v>
      </c>
      <c r="D920" s="37" t="s">
        <v>39</v>
      </c>
      <c r="E920" s="37" t="s">
        <v>48</v>
      </c>
      <c r="F920" s="37" t="s">
        <v>113</v>
      </c>
      <c r="G920" s="39" t="b">
        <f aca="false">TRUE()</f>
        <v>1</v>
      </c>
      <c r="H920" s="37" t="n">
        <v>540.48</v>
      </c>
      <c r="K920" s="37" t="n">
        <v>0</v>
      </c>
      <c r="L920" s="37" t="str">
        <f aca="false">IF(C920="","",IF(C920&lt;=5,"Night (00-05)",IF(C920&lt;=11,"Morning (06-11)",IF(C920&lt;=16,"Afternoon (12-16)",IF(C920&lt;=20,"Evening (17-20)","Late (21-23)")))))</f>
        <v>Evening (17-20)</v>
      </c>
    </row>
    <row r="921" customFormat="false" ht="15" hidden="false" customHeight="false" outlineLevel="0" collapsed="false">
      <c r="A921" s="37" t="s">
        <v>1026</v>
      </c>
      <c r="B921" s="38" t="n">
        <v>46319</v>
      </c>
      <c r="C921" s="37" t="n">
        <v>17</v>
      </c>
      <c r="D921" s="37" t="s">
        <v>39</v>
      </c>
      <c r="E921" s="37" t="s">
        <v>46</v>
      </c>
      <c r="F921" s="37" t="s">
        <v>129</v>
      </c>
      <c r="G921" s="39" t="b">
        <f aca="false">FALSE()</f>
        <v>0</v>
      </c>
      <c r="H921" s="37" t="n">
        <v>379.68</v>
      </c>
      <c r="K921" s="37" t="n">
        <v>0</v>
      </c>
      <c r="L921" s="37" t="str">
        <f aca="false">IF(C921="","",IF(C921&lt;=5,"Night (00-05)",IF(C921&lt;=11,"Morning (06-11)",IF(C921&lt;=16,"Afternoon (12-16)",IF(C921&lt;=20,"Evening (17-20)","Late (21-23)")))))</f>
        <v>Evening (17-20)</v>
      </c>
    </row>
    <row r="922" customFormat="false" ht="15" hidden="false" customHeight="false" outlineLevel="0" collapsed="false">
      <c r="A922" s="37" t="s">
        <v>1027</v>
      </c>
      <c r="B922" s="38" t="n">
        <v>46318</v>
      </c>
      <c r="C922" s="37" t="n">
        <v>14</v>
      </c>
      <c r="D922" s="37" t="s">
        <v>37</v>
      </c>
      <c r="E922" s="37" t="s">
        <v>46</v>
      </c>
      <c r="F922" s="37" t="s">
        <v>23</v>
      </c>
      <c r="G922" s="39" t="b">
        <f aca="false">TRUE()</f>
        <v>1</v>
      </c>
      <c r="H922" s="37" t="n">
        <v>854.15</v>
      </c>
      <c r="I922" s="37" t="n">
        <v>4</v>
      </c>
      <c r="J922" s="37" t="n">
        <v>49</v>
      </c>
      <c r="K922" s="37" t="n">
        <v>0</v>
      </c>
      <c r="L922" s="37" t="str">
        <f aca="false">IF(C922="","",IF(C922&lt;=5,"Night (00-05)",IF(C922&lt;=11,"Morning (06-11)",IF(C922&lt;=16,"Afternoon (12-16)",IF(C922&lt;=20,"Evening (17-20)","Late (21-23)")))))</f>
        <v>Afternoon (12-16)</v>
      </c>
    </row>
    <row r="923" customFormat="false" ht="15" hidden="false" customHeight="false" outlineLevel="0" collapsed="false">
      <c r="A923" s="37" t="s">
        <v>1028</v>
      </c>
      <c r="B923" s="38" t="n">
        <v>46316</v>
      </c>
      <c r="C923" s="37" t="n">
        <v>1</v>
      </c>
      <c r="D923" s="37" t="s">
        <v>39</v>
      </c>
      <c r="E923" s="37" t="s">
        <v>46</v>
      </c>
      <c r="F923" s="37" t="s">
        <v>23</v>
      </c>
      <c r="G923" s="39" t="b">
        <f aca="false">TRUE()</f>
        <v>1</v>
      </c>
      <c r="H923" s="37" t="n">
        <v>579.13</v>
      </c>
      <c r="I923" s="37" t="n">
        <v>4</v>
      </c>
      <c r="J923" s="37" t="n">
        <v>39</v>
      </c>
      <c r="K923" s="37" t="n">
        <v>0</v>
      </c>
      <c r="L923" s="37" t="str">
        <f aca="false">IF(C923="","",IF(C923&lt;=5,"Night (00-05)",IF(C923&lt;=11,"Morning (06-11)",IF(C923&lt;=16,"Afternoon (12-16)",IF(C923&lt;=20,"Evening (17-20)","Late (21-23)")))))</f>
        <v>Night (00-05)</v>
      </c>
    </row>
    <row r="924" customFormat="false" ht="15" hidden="false" customHeight="false" outlineLevel="0" collapsed="false">
      <c r="A924" s="37" t="s">
        <v>1029</v>
      </c>
      <c r="B924" s="38" t="n">
        <v>46322</v>
      </c>
      <c r="C924" s="37" t="n">
        <v>2</v>
      </c>
      <c r="D924" s="37" t="s">
        <v>37</v>
      </c>
      <c r="E924" s="37" t="s">
        <v>48</v>
      </c>
      <c r="F924" s="37" t="s">
        <v>23</v>
      </c>
      <c r="G924" s="39" t="b">
        <f aca="false">TRUE()</f>
        <v>1</v>
      </c>
      <c r="H924" s="37" t="n">
        <v>848.98</v>
      </c>
      <c r="I924" s="37" t="n">
        <v>4</v>
      </c>
      <c r="J924" s="37" t="n">
        <v>49</v>
      </c>
      <c r="K924" s="37" t="n">
        <v>0</v>
      </c>
      <c r="L924" s="37" t="str">
        <f aca="false">IF(C924="","",IF(C924&lt;=5,"Night (00-05)",IF(C924&lt;=11,"Morning (06-11)",IF(C924&lt;=16,"Afternoon (12-16)",IF(C924&lt;=20,"Evening (17-20)","Late (21-23)")))))</f>
        <v>Night (00-05)</v>
      </c>
    </row>
    <row r="925" customFormat="false" ht="15" hidden="false" customHeight="false" outlineLevel="0" collapsed="false">
      <c r="A925" s="37" t="s">
        <v>1030</v>
      </c>
      <c r="B925" s="38" t="n">
        <v>46320</v>
      </c>
      <c r="C925" s="37" t="n">
        <v>16</v>
      </c>
      <c r="D925" s="37" t="s">
        <v>39</v>
      </c>
      <c r="E925" s="37" t="s">
        <v>47</v>
      </c>
      <c r="F925" s="37" t="s">
        <v>23</v>
      </c>
      <c r="G925" s="39" t="b">
        <f aca="false">TRUE()</f>
        <v>1</v>
      </c>
      <c r="H925" s="37" t="n">
        <v>394.88</v>
      </c>
      <c r="I925" s="37" t="n">
        <v>5</v>
      </c>
      <c r="J925" s="37" t="n">
        <v>37</v>
      </c>
      <c r="K925" s="37" t="n">
        <v>0</v>
      </c>
      <c r="L925" s="37" t="str">
        <f aca="false">IF(C925="","",IF(C925&lt;=5,"Night (00-05)",IF(C925&lt;=11,"Morning (06-11)",IF(C925&lt;=16,"Afternoon (12-16)",IF(C925&lt;=20,"Evening (17-20)","Late (21-23)")))))</f>
        <v>Afternoon (12-16)</v>
      </c>
    </row>
    <row r="926" customFormat="false" ht="15" hidden="false" customHeight="false" outlineLevel="0" collapsed="false">
      <c r="A926" s="37" t="s">
        <v>1031</v>
      </c>
      <c r="B926" s="38" t="n">
        <v>46319</v>
      </c>
      <c r="C926" s="37" t="n">
        <v>18</v>
      </c>
      <c r="D926" s="37" t="s">
        <v>37</v>
      </c>
      <c r="E926" s="37" t="s">
        <v>49</v>
      </c>
      <c r="F926" s="37" t="s">
        <v>23</v>
      </c>
      <c r="G926" s="39" t="b">
        <f aca="false">TRUE()</f>
        <v>1</v>
      </c>
      <c r="H926" s="37" t="n">
        <v>604.64</v>
      </c>
      <c r="I926" s="37" t="n">
        <v>5</v>
      </c>
      <c r="J926" s="37" t="n">
        <v>27</v>
      </c>
      <c r="K926" s="37" t="n">
        <v>0</v>
      </c>
      <c r="L926" s="37" t="str">
        <f aca="false">IF(C926="","",IF(C926&lt;=5,"Night (00-05)",IF(C926&lt;=11,"Morning (06-11)",IF(C926&lt;=16,"Afternoon (12-16)",IF(C926&lt;=20,"Evening (17-20)","Late (21-23)")))))</f>
        <v>Evening (17-20)</v>
      </c>
    </row>
    <row r="927" customFormat="false" ht="15" hidden="false" customHeight="false" outlineLevel="0" collapsed="false">
      <c r="A927" s="37" t="s">
        <v>1032</v>
      </c>
      <c r="B927" s="38" t="n">
        <v>46316</v>
      </c>
      <c r="C927" s="37" t="n">
        <v>1</v>
      </c>
      <c r="D927" s="37" t="s">
        <v>40</v>
      </c>
      <c r="E927" s="37" t="s">
        <v>49</v>
      </c>
      <c r="F927" s="37" t="s">
        <v>23</v>
      </c>
      <c r="G927" s="39" t="b">
        <f aca="false">TRUE()</f>
        <v>1</v>
      </c>
      <c r="H927" s="37" t="n">
        <v>859.75</v>
      </c>
      <c r="I927" s="37" t="n">
        <v>2</v>
      </c>
      <c r="J927" s="37" t="n">
        <v>52</v>
      </c>
      <c r="K927" s="37" t="n">
        <v>0</v>
      </c>
      <c r="L927" s="37" t="str">
        <f aca="false">IF(C927="","",IF(C927&lt;=5,"Night (00-05)",IF(C927&lt;=11,"Morning (06-11)",IF(C927&lt;=16,"Afternoon (12-16)",IF(C927&lt;=20,"Evening (17-20)","Late (21-23)")))))</f>
        <v>Night (00-05)</v>
      </c>
    </row>
    <row r="928" customFormat="false" ht="15" hidden="false" customHeight="false" outlineLevel="0" collapsed="false">
      <c r="A928" s="37" t="s">
        <v>1033</v>
      </c>
      <c r="B928" s="38" t="n">
        <v>46315</v>
      </c>
      <c r="C928" s="37" t="n">
        <v>14</v>
      </c>
      <c r="D928" s="37" t="s">
        <v>39</v>
      </c>
      <c r="E928" s="37" t="s">
        <v>49</v>
      </c>
      <c r="F928" s="37" t="s">
        <v>23</v>
      </c>
      <c r="G928" s="39" t="b">
        <f aca="false">TRUE()</f>
        <v>1</v>
      </c>
      <c r="H928" s="37" t="n">
        <v>436.46</v>
      </c>
      <c r="I928" s="37" t="n">
        <v>4</v>
      </c>
      <c r="J928" s="37" t="n">
        <v>32</v>
      </c>
      <c r="K928" s="37" t="n">
        <v>0</v>
      </c>
      <c r="L928" s="37" t="str">
        <f aca="false">IF(C928="","",IF(C928&lt;=5,"Night (00-05)",IF(C928&lt;=11,"Morning (06-11)",IF(C928&lt;=16,"Afternoon (12-16)",IF(C928&lt;=20,"Evening (17-20)","Late (21-23)")))))</f>
        <v>Afternoon (12-16)</v>
      </c>
    </row>
    <row r="929" customFormat="false" ht="15" hidden="false" customHeight="false" outlineLevel="0" collapsed="false">
      <c r="A929" s="37" t="s">
        <v>1034</v>
      </c>
      <c r="B929" s="38" t="n">
        <v>46315</v>
      </c>
      <c r="C929" s="37" t="n">
        <v>17</v>
      </c>
      <c r="D929" s="37" t="s">
        <v>37</v>
      </c>
      <c r="E929" s="37" t="s">
        <v>46</v>
      </c>
      <c r="F929" s="37" t="s">
        <v>23</v>
      </c>
      <c r="G929" s="39" t="b">
        <f aca="false">TRUE()</f>
        <v>1</v>
      </c>
      <c r="H929" s="37" t="n">
        <v>734.15</v>
      </c>
      <c r="I929" s="37" t="n">
        <v>3</v>
      </c>
      <c r="J929" s="37" t="n">
        <v>49</v>
      </c>
      <c r="K929" s="37" t="n">
        <v>0</v>
      </c>
      <c r="L929" s="37" t="str">
        <f aca="false">IF(C929="","",IF(C929&lt;=5,"Night (00-05)",IF(C929&lt;=11,"Morning (06-11)",IF(C929&lt;=16,"Afternoon (12-16)",IF(C929&lt;=20,"Evening (17-20)","Late (21-23)")))))</f>
        <v>Evening (17-20)</v>
      </c>
    </row>
    <row r="930" customFormat="false" ht="15" hidden="false" customHeight="false" outlineLevel="0" collapsed="false">
      <c r="A930" s="37" t="s">
        <v>1035</v>
      </c>
      <c r="B930" s="38" t="n">
        <v>46320</v>
      </c>
      <c r="C930" s="37" t="n">
        <v>0</v>
      </c>
      <c r="D930" s="37" t="s">
        <v>37</v>
      </c>
      <c r="E930" s="37" t="s">
        <v>49</v>
      </c>
      <c r="F930" s="37" t="s">
        <v>23</v>
      </c>
      <c r="G930" s="39" t="b">
        <f aca="false">TRUE()</f>
        <v>1</v>
      </c>
      <c r="H930" s="37" t="n">
        <v>809.21</v>
      </c>
      <c r="I930" s="37" t="n">
        <v>5</v>
      </c>
      <c r="J930" s="37" t="n">
        <v>30</v>
      </c>
      <c r="K930" s="37" t="n">
        <v>0</v>
      </c>
      <c r="L930" s="37" t="str">
        <f aca="false">IF(C930="","",IF(C930&lt;=5,"Night (00-05)",IF(C930&lt;=11,"Morning (06-11)",IF(C930&lt;=16,"Afternoon (12-16)",IF(C930&lt;=20,"Evening (17-20)","Late (21-23)")))))</f>
        <v>Night (00-05)</v>
      </c>
    </row>
    <row r="931" customFormat="false" ht="15" hidden="false" customHeight="false" outlineLevel="0" collapsed="false">
      <c r="A931" s="37" t="s">
        <v>1036</v>
      </c>
      <c r="B931" s="38" t="n">
        <v>46319</v>
      </c>
      <c r="C931" s="37" t="n">
        <v>15</v>
      </c>
      <c r="D931" s="37" t="s">
        <v>39</v>
      </c>
      <c r="E931" s="37" t="s">
        <v>48</v>
      </c>
      <c r="F931" s="37" t="s">
        <v>23</v>
      </c>
      <c r="G931" s="39" t="b">
        <f aca="false">TRUE()</f>
        <v>1</v>
      </c>
      <c r="H931" s="37" t="n">
        <v>330.03</v>
      </c>
      <c r="I931" s="37" t="n">
        <v>4</v>
      </c>
      <c r="J931" s="37" t="n">
        <v>37</v>
      </c>
      <c r="K931" s="37" t="n">
        <v>0</v>
      </c>
      <c r="L931" s="37" t="str">
        <f aca="false">IF(C931="","",IF(C931&lt;=5,"Night (00-05)",IF(C931&lt;=11,"Morning (06-11)",IF(C931&lt;=16,"Afternoon (12-16)",IF(C931&lt;=20,"Evening (17-20)","Late (21-23)")))))</f>
        <v>Afternoon (12-16)</v>
      </c>
    </row>
    <row r="932" customFormat="false" ht="15" hidden="false" customHeight="false" outlineLevel="0" collapsed="false">
      <c r="A932" s="37" t="s">
        <v>1037</v>
      </c>
      <c r="B932" s="38" t="n">
        <v>46317</v>
      </c>
      <c r="C932" s="37" t="n">
        <v>16</v>
      </c>
      <c r="D932" s="37" t="s">
        <v>37</v>
      </c>
      <c r="E932" s="37" t="s">
        <v>49</v>
      </c>
      <c r="F932" s="37" t="s">
        <v>23</v>
      </c>
      <c r="G932" s="39" t="b">
        <f aca="false">TRUE()</f>
        <v>1</v>
      </c>
      <c r="H932" s="37" t="n">
        <v>747.37</v>
      </c>
      <c r="I932" s="37" t="n">
        <v>5</v>
      </c>
      <c r="J932" s="37" t="n">
        <v>53</v>
      </c>
      <c r="K932" s="37" t="n">
        <v>0</v>
      </c>
      <c r="L932" s="37" t="str">
        <f aca="false">IF(C932="","",IF(C932&lt;=5,"Night (00-05)",IF(C932&lt;=11,"Morning (06-11)",IF(C932&lt;=16,"Afternoon (12-16)",IF(C932&lt;=20,"Evening (17-20)","Late (21-23)")))))</f>
        <v>Afternoon (12-16)</v>
      </c>
    </row>
    <row r="933" customFormat="false" ht="15" hidden="false" customHeight="false" outlineLevel="0" collapsed="false">
      <c r="A933" s="37" t="s">
        <v>1038</v>
      </c>
      <c r="B933" s="38" t="n">
        <v>46321</v>
      </c>
      <c r="C933" s="37" t="n">
        <v>0</v>
      </c>
      <c r="D933" s="37" t="s">
        <v>40</v>
      </c>
      <c r="E933" s="37" t="s">
        <v>49</v>
      </c>
      <c r="F933" s="37" t="s">
        <v>23</v>
      </c>
      <c r="G933" s="39" t="b">
        <f aca="false">TRUE()</f>
        <v>1</v>
      </c>
      <c r="H933" s="37" t="n">
        <v>540.93</v>
      </c>
      <c r="I933" s="37" t="n">
        <v>5</v>
      </c>
      <c r="J933" s="37" t="n">
        <v>44</v>
      </c>
      <c r="K933" s="37" t="n">
        <v>0</v>
      </c>
      <c r="L933" s="37" t="str">
        <f aca="false">IF(C933="","",IF(C933&lt;=5,"Night (00-05)",IF(C933&lt;=11,"Morning (06-11)",IF(C933&lt;=16,"Afternoon (12-16)",IF(C933&lt;=20,"Evening (17-20)","Late (21-23)")))))</f>
        <v>Night (00-05)</v>
      </c>
    </row>
    <row r="934" customFormat="false" ht="15" hidden="false" customHeight="false" outlineLevel="0" collapsed="false">
      <c r="A934" s="37" t="s">
        <v>1039</v>
      </c>
      <c r="B934" s="38" t="n">
        <v>46316</v>
      </c>
      <c r="C934" s="37" t="n">
        <v>19</v>
      </c>
      <c r="D934" s="37" t="s">
        <v>38</v>
      </c>
      <c r="E934" s="37" t="s">
        <v>47</v>
      </c>
      <c r="F934" s="37" t="s">
        <v>129</v>
      </c>
      <c r="G934" s="39" t="b">
        <f aca="false">FALSE()</f>
        <v>0</v>
      </c>
      <c r="H934" s="37" t="n">
        <v>1094.18</v>
      </c>
      <c r="K934" s="37" t="n">
        <v>0</v>
      </c>
      <c r="L934" s="37" t="str">
        <f aca="false">IF(C934="","",IF(C934&lt;=5,"Night (00-05)",IF(C934&lt;=11,"Morning (06-11)",IF(C934&lt;=16,"Afternoon (12-16)",IF(C934&lt;=20,"Evening (17-20)","Late (21-23)")))))</f>
        <v>Evening (17-20)</v>
      </c>
    </row>
    <row r="935" customFormat="false" ht="15" hidden="false" customHeight="false" outlineLevel="0" collapsed="false">
      <c r="A935" s="37" t="s">
        <v>1040</v>
      </c>
      <c r="B935" s="38" t="n">
        <v>46318</v>
      </c>
      <c r="C935" s="37" t="n">
        <v>2</v>
      </c>
      <c r="D935" s="37" t="s">
        <v>38</v>
      </c>
      <c r="E935" s="37" t="s">
        <v>48</v>
      </c>
      <c r="F935" s="37" t="s">
        <v>23</v>
      </c>
      <c r="G935" s="39" t="b">
        <f aca="false">TRUE()</f>
        <v>1</v>
      </c>
      <c r="H935" s="37" t="n">
        <v>1470.12</v>
      </c>
      <c r="I935" s="37" t="n">
        <v>5</v>
      </c>
      <c r="J935" s="37" t="n">
        <v>30</v>
      </c>
      <c r="K935" s="37" t="n">
        <v>0</v>
      </c>
      <c r="L935" s="37" t="str">
        <f aca="false">IF(C935="","",IF(C935&lt;=5,"Night (00-05)",IF(C935&lt;=11,"Morning (06-11)",IF(C935&lt;=16,"Afternoon (12-16)",IF(C935&lt;=20,"Evening (17-20)","Late (21-23)")))))</f>
        <v>Night (00-05)</v>
      </c>
    </row>
    <row r="936" customFormat="false" ht="15" hidden="false" customHeight="false" outlineLevel="0" collapsed="false">
      <c r="A936" s="37" t="s">
        <v>1041</v>
      </c>
      <c r="B936" s="38" t="n">
        <v>46315</v>
      </c>
      <c r="C936" s="37" t="n">
        <v>20</v>
      </c>
      <c r="D936" s="37" t="s">
        <v>40</v>
      </c>
      <c r="E936" s="37" t="s">
        <v>46</v>
      </c>
      <c r="F936" s="37" t="s">
        <v>23</v>
      </c>
      <c r="G936" s="39" t="b">
        <f aca="false">TRUE()</f>
        <v>1</v>
      </c>
      <c r="H936" s="37" t="n">
        <v>948.64</v>
      </c>
      <c r="I936" s="37" t="n">
        <v>5</v>
      </c>
      <c r="J936" s="37" t="n">
        <v>33</v>
      </c>
      <c r="K936" s="37" t="n">
        <v>0</v>
      </c>
      <c r="L936" s="37" t="str">
        <f aca="false">IF(C936="","",IF(C936&lt;=5,"Night (00-05)",IF(C936&lt;=11,"Morning (06-11)",IF(C936&lt;=16,"Afternoon (12-16)",IF(C936&lt;=20,"Evening (17-20)","Late (21-23)")))))</f>
        <v>Evening (17-20)</v>
      </c>
    </row>
    <row r="937" customFormat="false" ht="15" hidden="false" customHeight="false" outlineLevel="0" collapsed="false">
      <c r="A937" s="37" t="s">
        <v>1042</v>
      </c>
      <c r="B937" s="38" t="n">
        <v>46319</v>
      </c>
      <c r="C937" s="37" t="n">
        <v>4</v>
      </c>
      <c r="D937" s="37" t="s">
        <v>37</v>
      </c>
      <c r="E937" s="37" t="s">
        <v>47</v>
      </c>
      <c r="F937" s="37" t="s">
        <v>23</v>
      </c>
      <c r="G937" s="39" t="b">
        <f aca="false">TRUE()</f>
        <v>1</v>
      </c>
      <c r="H937" s="37" t="n">
        <v>577.29</v>
      </c>
      <c r="I937" s="37" t="n">
        <v>5</v>
      </c>
      <c r="J937" s="37" t="n">
        <v>45</v>
      </c>
      <c r="K937" s="37" t="n">
        <v>0</v>
      </c>
      <c r="L937" s="37" t="str">
        <f aca="false">IF(C937="","",IF(C937&lt;=5,"Night (00-05)",IF(C937&lt;=11,"Morning (06-11)",IF(C937&lt;=16,"Afternoon (12-16)",IF(C937&lt;=20,"Evening (17-20)","Late (21-23)")))))</f>
        <v>Night (00-05)</v>
      </c>
    </row>
    <row r="938" customFormat="false" ht="15" hidden="false" customHeight="false" outlineLevel="0" collapsed="false">
      <c r="A938" s="37" t="s">
        <v>1043</v>
      </c>
      <c r="B938" s="38" t="n">
        <v>46315</v>
      </c>
      <c r="C938" s="37" t="n">
        <v>19</v>
      </c>
      <c r="D938" s="37" t="s">
        <v>38</v>
      </c>
      <c r="E938" s="37" t="s">
        <v>46</v>
      </c>
      <c r="F938" s="37" t="s">
        <v>23</v>
      </c>
      <c r="G938" s="39" t="b">
        <f aca="false">TRUE()</f>
        <v>1</v>
      </c>
      <c r="H938" s="37" t="n">
        <v>1253.96</v>
      </c>
      <c r="I938" s="37" t="n">
        <v>5</v>
      </c>
      <c r="J938" s="37" t="n">
        <v>24</v>
      </c>
      <c r="K938" s="37" t="n">
        <v>0</v>
      </c>
      <c r="L938" s="37" t="str">
        <f aca="false">IF(C938="","",IF(C938&lt;=5,"Night (00-05)",IF(C938&lt;=11,"Morning (06-11)",IF(C938&lt;=16,"Afternoon (12-16)",IF(C938&lt;=20,"Evening (17-20)","Late (21-23)")))))</f>
        <v>Evening (17-20)</v>
      </c>
    </row>
    <row r="939" customFormat="false" ht="15" hidden="false" customHeight="false" outlineLevel="0" collapsed="false">
      <c r="A939" s="37" t="s">
        <v>1044</v>
      </c>
      <c r="B939" s="38" t="n">
        <v>46318</v>
      </c>
      <c r="C939" s="37" t="n">
        <v>18</v>
      </c>
      <c r="D939" s="37" t="s">
        <v>38</v>
      </c>
      <c r="E939" s="37" t="s">
        <v>48</v>
      </c>
      <c r="F939" s="37" t="s">
        <v>23</v>
      </c>
      <c r="G939" s="39" t="b">
        <f aca="false">TRUE()</f>
        <v>1</v>
      </c>
      <c r="H939" s="37" t="n">
        <v>975.36</v>
      </c>
      <c r="I939" s="37" t="n">
        <v>5</v>
      </c>
      <c r="J939" s="37" t="n">
        <v>40</v>
      </c>
      <c r="K939" s="37" t="n">
        <v>0</v>
      </c>
      <c r="L939" s="37" t="str">
        <f aca="false">IF(C939="","",IF(C939&lt;=5,"Night (00-05)",IF(C939&lt;=11,"Morning (06-11)",IF(C939&lt;=16,"Afternoon (12-16)",IF(C939&lt;=20,"Evening (17-20)","Late (21-23)")))))</f>
        <v>Evening (17-20)</v>
      </c>
    </row>
    <row r="940" customFormat="false" ht="15" hidden="false" customHeight="false" outlineLevel="0" collapsed="false">
      <c r="A940" s="37" t="s">
        <v>1045</v>
      </c>
      <c r="B940" s="38" t="n">
        <v>46320</v>
      </c>
      <c r="C940" s="37" t="n">
        <v>19</v>
      </c>
      <c r="D940" s="37" t="s">
        <v>37</v>
      </c>
      <c r="E940" s="37" t="s">
        <v>46</v>
      </c>
      <c r="F940" s="37" t="s">
        <v>23</v>
      </c>
      <c r="G940" s="39" t="b">
        <f aca="false">TRUE()</f>
        <v>1</v>
      </c>
      <c r="H940" s="37" t="n">
        <v>486.67</v>
      </c>
      <c r="I940" s="37" t="n">
        <v>5</v>
      </c>
      <c r="J940" s="37" t="n">
        <v>40</v>
      </c>
      <c r="K940" s="37" t="n">
        <v>0</v>
      </c>
      <c r="L940" s="37" t="str">
        <f aca="false">IF(C940="","",IF(C940&lt;=5,"Night (00-05)",IF(C940&lt;=11,"Morning (06-11)",IF(C940&lt;=16,"Afternoon (12-16)",IF(C940&lt;=20,"Evening (17-20)","Late (21-23)")))))</f>
        <v>Evening (17-20)</v>
      </c>
    </row>
    <row r="941" customFormat="false" ht="15" hidden="false" customHeight="false" outlineLevel="0" collapsed="false">
      <c r="A941" s="37" t="s">
        <v>1046</v>
      </c>
      <c r="B941" s="38" t="n">
        <v>46320</v>
      </c>
      <c r="C941" s="37" t="n">
        <v>21</v>
      </c>
      <c r="D941" s="37" t="s">
        <v>39</v>
      </c>
      <c r="E941" s="37" t="s">
        <v>49</v>
      </c>
      <c r="F941" s="37" t="s">
        <v>23</v>
      </c>
      <c r="G941" s="39" t="b">
        <f aca="false">TRUE()</f>
        <v>1</v>
      </c>
      <c r="H941" s="37" t="n">
        <v>503.41</v>
      </c>
      <c r="I941" s="37" t="n">
        <v>5</v>
      </c>
      <c r="J941" s="37" t="n">
        <v>52</v>
      </c>
      <c r="K941" s="37" t="n">
        <v>0</v>
      </c>
      <c r="L941" s="37" t="str">
        <f aca="false">IF(C941="","",IF(C941&lt;=5,"Night (00-05)",IF(C941&lt;=11,"Morning (06-11)",IF(C941&lt;=16,"Afternoon (12-16)",IF(C941&lt;=20,"Evening (17-20)","Late (21-23)")))))</f>
        <v>Late (21-23)</v>
      </c>
    </row>
    <row r="942" customFormat="false" ht="15" hidden="false" customHeight="false" outlineLevel="0" collapsed="false">
      <c r="A942" s="37" t="s">
        <v>1047</v>
      </c>
      <c r="B942" s="38" t="n">
        <v>46315</v>
      </c>
      <c r="C942" s="37" t="n">
        <v>17</v>
      </c>
      <c r="D942" s="37" t="s">
        <v>38</v>
      </c>
      <c r="E942" s="37" t="s">
        <v>46</v>
      </c>
      <c r="F942" s="37" t="s">
        <v>23</v>
      </c>
      <c r="G942" s="39" t="b">
        <f aca="false">TRUE()</f>
        <v>1</v>
      </c>
      <c r="H942" s="37" t="n">
        <v>964.48</v>
      </c>
      <c r="I942" s="37" t="n">
        <v>5</v>
      </c>
      <c r="J942" s="37" t="n">
        <v>35</v>
      </c>
      <c r="K942" s="37" t="n">
        <v>0</v>
      </c>
      <c r="L942" s="37" t="str">
        <f aca="false">IF(C942="","",IF(C942&lt;=5,"Night (00-05)",IF(C942&lt;=11,"Morning (06-11)",IF(C942&lt;=16,"Afternoon (12-16)",IF(C942&lt;=20,"Evening (17-20)","Late (21-23)")))))</f>
        <v>Evening (17-20)</v>
      </c>
    </row>
    <row r="943" customFormat="false" ht="15" hidden="false" customHeight="false" outlineLevel="0" collapsed="false">
      <c r="A943" s="37" t="s">
        <v>1048</v>
      </c>
      <c r="B943" s="38" t="n">
        <v>46315</v>
      </c>
      <c r="C943" s="37" t="n">
        <v>16</v>
      </c>
      <c r="D943" s="37" t="s">
        <v>37</v>
      </c>
      <c r="E943" s="37" t="s">
        <v>48</v>
      </c>
      <c r="F943" s="37" t="s">
        <v>23</v>
      </c>
      <c r="G943" s="39" t="b">
        <f aca="false">TRUE()</f>
        <v>1</v>
      </c>
      <c r="H943" s="37" t="n">
        <v>586.87</v>
      </c>
      <c r="I943" s="37" t="n">
        <v>5</v>
      </c>
      <c r="J943" s="37" t="n">
        <v>35</v>
      </c>
      <c r="K943" s="37" t="n">
        <v>0</v>
      </c>
      <c r="L943" s="37" t="str">
        <f aca="false">IF(C943="","",IF(C943&lt;=5,"Night (00-05)",IF(C943&lt;=11,"Morning (06-11)",IF(C943&lt;=16,"Afternoon (12-16)",IF(C943&lt;=20,"Evening (17-20)","Late (21-23)")))))</f>
        <v>Afternoon (12-16)</v>
      </c>
    </row>
    <row r="944" customFormat="false" ht="15" hidden="false" customHeight="false" outlineLevel="0" collapsed="false">
      <c r="A944" s="37" t="s">
        <v>1049</v>
      </c>
      <c r="B944" s="38" t="n">
        <v>46320</v>
      </c>
      <c r="C944" s="37" t="n">
        <v>6</v>
      </c>
      <c r="D944" s="37" t="s">
        <v>40</v>
      </c>
      <c r="E944" s="37" t="s">
        <v>48</v>
      </c>
      <c r="F944" s="37" t="s">
        <v>23</v>
      </c>
      <c r="G944" s="39" t="b">
        <f aca="false">TRUE()</f>
        <v>1</v>
      </c>
      <c r="H944" s="37" t="n">
        <v>721.5</v>
      </c>
      <c r="I944" s="37" t="n">
        <v>4</v>
      </c>
      <c r="J944" s="37" t="n">
        <v>22</v>
      </c>
      <c r="K944" s="37" t="n">
        <v>0</v>
      </c>
      <c r="L944" s="37" t="str">
        <f aca="false">IF(C944="","",IF(C944&lt;=5,"Night (00-05)",IF(C944&lt;=11,"Morning (06-11)",IF(C944&lt;=16,"Afternoon (12-16)",IF(C944&lt;=20,"Evening (17-20)","Late (21-23)")))))</f>
        <v>Morning (06-11)</v>
      </c>
    </row>
    <row r="945" customFormat="false" ht="15" hidden="false" customHeight="false" outlineLevel="0" collapsed="false">
      <c r="A945" s="37" t="s">
        <v>1050</v>
      </c>
      <c r="B945" s="38" t="n">
        <v>46319</v>
      </c>
      <c r="C945" s="37" t="n">
        <v>0</v>
      </c>
      <c r="D945" s="37" t="s">
        <v>38</v>
      </c>
      <c r="E945" s="37" t="s">
        <v>48</v>
      </c>
      <c r="F945" s="37" t="s">
        <v>23</v>
      </c>
      <c r="G945" s="39" t="b">
        <f aca="false">TRUE()</f>
        <v>1</v>
      </c>
      <c r="H945" s="37" t="n">
        <v>1391.85</v>
      </c>
      <c r="I945" s="37" t="n">
        <v>4</v>
      </c>
      <c r="J945" s="37" t="n">
        <v>35</v>
      </c>
      <c r="K945" s="37" t="n">
        <v>0</v>
      </c>
      <c r="L945" s="37" t="str">
        <f aca="false">IF(C945="","",IF(C945&lt;=5,"Night (00-05)",IF(C945&lt;=11,"Morning (06-11)",IF(C945&lt;=16,"Afternoon (12-16)",IF(C945&lt;=20,"Evening (17-20)","Late (21-23)")))))</f>
        <v>Night (00-05)</v>
      </c>
    </row>
    <row r="946" customFormat="false" ht="15" hidden="false" customHeight="false" outlineLevel="0" collapsed="false">
      <c r="A946" s="37" t="s">
        <v>1051</v>
      </c>
      <c r="B946" s="38" t="n">
        <v>46316</v>
      </c>
      <c r="C946" s="37" t="n">
        <v>3</v>
      </c>
      <c r="D946" s="37" t="s">
        <v>37</v>
      </c>
      <c r="E946" s="37" t="s">
        <v>49</v>
      </c>
      <c r="F946" s="37" t="s">
        <v>23</v>
      </c>
      <c r="G946" s="39" t="b">
        <f aca="false">TRUE()</f>
        <v>1</v>
      </c>
      <c r="H946" s="37" t="n">
        <v>659.74</v>
      </c>
      <c r="I946" s="37" t="n">
        <v>3</v>
      </c>
      <c r="J946" s="37" t="n">
        <v>20</v>
      </c>
      <c r="K946" s="37" t="n">
        <v>0</v>
      </c>
      <c r="L946" s="37" t="str">
        <f aca="false">IF(C946="","",IF(C946&lt;=5,"Night (00-05)",IF(C946&lt;=11,"Morning (06-11)",IF(C946&lt;=16,"Afternoon (12-16)",IF(C946&lt;=20,"Evening (17-20)","Late (21-23)")))))</f>
        <v>Night (00-05)</v>
      </c>
    </row>
    <row r="947" customFormat="false" ht="15" hidden="false" customHeight="false" outlineLevel="0" collapsed="false">
      <c r="A947" s="37" t="s">
        <v>1052</v>
      </c>
      <c r="B947" s="38" t="n">
        <v>46318</v>
      </c>
      <c r="C947" s="37" t="n">
        <v>14</v>
      </c>
      <c r="D947" s="37" t="s">
        <v>37</v>
      </c>
      <c r="E947" s="37" t="s">
        <v>48</v>
      </c>
      <c r="F947" s="37" t="s">
        <v>23</v>
      </c>
      <c r="G947" s="39" t="b">
        <f aca="false">TRUE()</f>
        <v>1</v>
      </c>
      <c r="H947" s="37" t="n">
        <v>461.78</v>
      </c>
      <c r="I947" s="37" t="n">
        <v>5</v>
      </c>
      <c r="J947" s="37" t="n">
        <v>55</v>
      </c>
      <c r="K947" s="37" t="n">
        <v>0</v>
      </c>
      <c r="L947" s="37" t="str">
        <f aca="false">IF(C947="","",IF(C947&lt;=5,"Night (00-05)",IF(C947&lt;=11,"Morning (06-11)",IF(C947&lt;=16,"Afternoon (12-16)",IF(C947&lt;=20,"Evening (17-20)","Late (21-23)")))))</f>
        <v>Afternoon (12-16)</v>
      </c>
    </row>
    <row r="948" customFormat="false" ht="15" hidden="false" customHeight="false" outlineLevel="0" collapsed="false">
      <c r="A948" s="37" t="s">
        <v>1053</v>
      </c>
      <c r="B948" s="38" t="n">
        <v>46316</v>
      </c>
      <c r="C948" s="37" t="n">
        <v>17</v>
      </c>
      <c r="D948" s="37" t="s">
        <v>39</v>
      </c>
      <c r="E948" s="37" t="s">
        <v>46</v>
      </c>
      <c r="F948" s="37" t="s">
        <v>23</v>
      </c>
      <c r="G948" s="39" t="b">
        <f aca="false">TRUE()</f>
        <v>1</v>
      </c>
      <c r="H948" s="37" t="n">
        <v>364.66</v>
      </c>
      <c r="I948" s="37" t="n">
        <v>4</v>
      </c>
      <c r="J948" s="37" t="n">
        <v>47</v>
      </c>
      <c r="K948" s="37" t="n">
        <v>0</v>
      </c>
      <c r="L948" s="37" t="str">
        <f aca="false">IF(C948="","",IF(C948&lt;=5,"Night (00-05)",IF(C948&lt;=11,"Morning (06-11)",IF(C948&lt;=16,"Afternoon (12-16)",IF(C948&lt;=20,"Evening (17-20)","Late (21-23)")))))</f>
        <v>Evening (17-20)</v>
      </c>
    </row>
    <row r="949" customFormat="false" ht="15" hidden="false" customHeight="false" outlineLevel="0" collapsed="false">
      <c r="A949" s="37" t="s">
        <v>1054</v>
      </c>
      <c r="B949" s="38" t="n">
        <v>46316</v>
      </c>
      <c r="C949" s="37" t="n">
        <v>18</v>
      </c>
      <c r="D949" s="37" t="s">
        <v>37</v>
      </c>
      <c r="E949" s="37" t="s">
        <v>46</v>
      </c>
      <c r="F949" s="37" t="s">
        <v>23</v>
      </c>
      <c r="G949" s="39" t="b">
        <f aca="false">TRUE()</f>
        <v>1</v>
      </c>
      <c r="H949" s="37" t="n">
        <v>830.21</v>
      </c>
      <c r="I949" s="37" t="n">
        <v>4</v>
      </c>
      <c r="J949" s="37" t="n">
        <v>43</v>
      </c>
      <c r="K949" s="37" t="n">
        <v>0</v>
      </c>
      <c r="L949" s="37" t="str">
        <f aca="false">IF(C949="","",IF(C949&lt;=5,"Night (00-05)",IF(C949&lt;=11,"Morning (06-11)",IF(C949&lt;=16,"Afternoon (12-16)",IF(C949&lt;=20,"Evening (17-20)","Late (21-23)")))))</f>
        <v>Evening (17-20)</v>
      </c>
    </row>
    <row r="950" customFormat="false" ht="15" hidden="false" customHeight="false" outlineLevel="0" collapsed="false">
      <c r="A950" s="37" t="s">
        <v>1055</v>
      </c>
      <c r="B950" s="38" t="n">
        <v>46316</v>
      </c>
      <c r="C950" s="37" t="n">
        <v>21</v>
      </c>
      <c r="D950" s="37" t="s">
        <v>39</v>
      </c>
      <c r="E950" s="37" t="s">
        <v>48</v>
      </c>
      <c r="F950" s="37" t="s">
        <v>23</v>
      </c>
      <c r="G950" s="39" t="b">
        <f aca="false">TRUE()</f>
        <v>1</v>
      </c>
      <c r="H950" s="37" t="n">
        <v>626.84</v>
      </c>
      <c r="I950" s="37" t="n">
        <v>5</v>
      </c>
      <c r="J950" s="37" t="n">
        <v>21</v>
      </c>
      <c r="K950" s="37" t="n">
        <v>0</v>
      </c>
      <c r="L950" s="37" t="str">
        <f aca="false">IF(C950="","",IF(C950&lt;=5,"Night (00-05)",IF(C950&lt;=11,"Morning (06-11)",IF(C950&lt;=16,"Afternoon (12-16)",IF(C950&lt;=20,"Evening (17-20)","Late (21-23)")))))</f>
        <v>Late (21-23)</v>
      </c>
    </row>
    <row r="951" customFormat="false" ht="15" hidden="false" customHeight="false" outlineLevel="0" collapsed="false">
      <c r="A951" s="37" t="s">
        <v>1056</v>
      </c>
      <c r="B951" s="38" t="n">
        <v>46319</v>
      </c>
      <c r="C951" s="37" t="n">
        <v>3</v>
      </c>
      <c r="D951" s="37" t="s">
        <v>40</v>
      </c>
      <c r="E951" s="37" t="s">
        <v>48</v>
      </c>
      <c r="F951" s="37" t="s">
        <v>23</v>
      </c>
      <c r="G951" s="39" t="b">
        <f aca="false">TRUE()</f>
        <v>1</v>
      </c>
      <c r="H951" s="37" t="n">
        <v>941.28</v>
      </c>
      <c r="I951" s="37" t="n">
        <v>4</v>
      </c>
      <c r="J951" s="37" t="n">
        <v>44</v>
      </c>
      <c r="K951" s="37" t="n">
        <v>0</v>
      </c>
      <c r="L951" s="37" t="str">
        <f aca="false">IF(C951="","",IF(C951&lt;=5,"Night (00-05)",IF(C951&lt;=11,"Morning (06-11)",IF(C951&lt;=16,"Afternoon (12-16)",IF(C951&lt;=20,"Evening (17-20)","Late (21-23)")))))</f>
        <v>Night (00-05)</v>
      </c>
    </row>
    <row r="952" customFormat="false" ht="15" hidden="false" customHeight="false" outlineLevel="0" collapsed="false">
      <c r="A952" s="37" t="s">
        <v>1057</v>
      </c>
      <c r="B952" s="38" t="n">
        <v>46318</v>
      </c>
      <c r="C952" s="37" t="n">
        <v>18</v>
      </c>
      <c r="D952" s="37" t="s">
        <v>39</v>
      </c>
      <c r="E952" s="37" t="s">
        <v>47</v>
      </c>
      <c r="F952" s="37" t="s">
        <v>23</v>
      </c>
      <c r="G952" s="39" t="b">
        <f aca="false">TRUE()</f>
        <v>1</v>
      </c>
      <c r="H952" s="37" t="n">
        <v>432.29</v>
      </c>
      <c r="I952" s="37" t="n">
        <v>4</v>
      </c>
      <c r="J952" s="37" t="n">
        <v>32</v>
      </c>
      <c r="K952" s="37" t="n">
        <v>0</v>
      </c>
      <c r="L952" s="37" t="str">
        <f aca="false">IF(C952="","",IF(C952&lt;=5,"Night (00-05)",IF(C952&lt;=11,"Morning (06-11)",IF(C952&lt;=16,"Afternoon (12-16)",IF(C952&lt;=20,"Evening (17-20)","Late (21-23)")))))</f>
        <v>Evening (17-20)</v>
      </c>
    </row>
    <row r="953" customFormat="false" ht="15" hidden="false" customHeight="false" outlineLevel="0" collapsed="false">
      <c r="A953" s="37" t="s">
        <v>1058</v>
      </c>
      <c r="B953" s="38" t="n">
        <v>46316</v>
      </c>
      <c r="C953" s="37" t="n">
        <v>8</v>
      </c>
      <c r="D953" s="37" t="s">
        <v>40</v>
      </c>
      <c r="E953" s="37" t="s">
        <v>49</v>
      </c>
      <c r="F953" s="37" t="s">
        <v>23</v>
      </c>
      <c r="G953" s="39" t="b">
        <f aca="false">TRUE()</f>
        <v>1</v>
      </c>
      <c r="H953" s="37" t="n">
        <v>822.64</v>
      </c>
      <c r="I953" s="37" t="n">
        <v>5</v>
      </c>
      <c r="J953" s="37" t="n">
        <v>45</v>
      </c>
      <c r="K953" s="37" t="n">
        <v>0</v>
      </c>
      <c r="L953" s="37" t="str">
        <f aca="false">IF(C953="","",IF(C953&lt;=5,"Night (00-05)",IF(C953&lt;=11,"Morning (06-11)",IF(C953&lt;=16,"Afternoon (12-16)",IF(C953&lt;=20,"Evening (17-20)","Late (21-23)")))))</f>
        <v>Morning (06-11)</v>
      </c>
    </row>
    <row r="954" customFormat="false" ht="15" hidden="false" customHeight="false" outlineLevel="0" collapsed="false">
      <c r="A954" s="37" t="s">
        <v>1059</v>
      </c>
      <c r="B954" s="38" t="n">
        <v>46317</v>
      </c>
      <c r="C954" s="37" t="n">
        <v>19</v>
      </c>
      <c r="D954" s="37" t="s">
        <v>38</v>
      </c>
      <c r="E954" s="37" t="s">
        <v>49</v>
      </c>
      <c r="F954" s="37" t="s">
        <v>129</v>
      </c>
      <c r="G954" s="39" t="b">
        <f aca="false">FALSE()</f>
        <v>0</v>
      </c>
      <c r="H954" s="37" t="n">
        <v>1418.5</v>
      </c>
      <c r="K954" s="37" t="n">
        <v>0</v>
      </c>
      <c r="L954" s="37" t="str">
        <f aca="false">IF(C954="","",IF(C954&lt;=5,"Night (00-05)",IF(C954&lt;=11,"Morning (06-11)",IF(C954&lt;=16,"Afternoon (12-16)",IF(C954&lt;=20,"Evening (17-20)","Late (21-23)")))))</f>
        <v>Evening (17-20)</v>
      </c>
    </row>
    <row r="955" customFormat="false" ht="15" hidden="false" customHeight="false" outlineLevel="0" collapsed="false">
      <c r="A955" s="37" t="s">
        <v>1060</v>
      </c>
      <c r="B955" s="38" t="n">
        <v>46315</v>
      </c>
      <c r="C955" s="37" t="n">
        <v>19</v>
      </c>
      <c r="D955" s="37" t="s">
        <v>37</v>
      </c>
      <c r="E955" s="37" t="s">
        <v>49</v>
      </c>
      <c r="F955" s="37" t="s">
        <v>23</v>
      </c>
      <c r="G955" s="39" t="b">
        <f aca="false">TRUE()</f>
        <v>1</v>
      </c>
      <c r="H955" s="37" t="n">
        <v>877.55</v>
      </c>
      <c r="I955" s="37" t="n">
        <v>4</v>
      </c>
      <c r="J955" s="37" t="n">
        <v>42</v>
      </c>
      <c r="K955" s="37" t="n">
        <v>0</v>
      </c>
      <c r="L955" s="37" t="str">
        <f aca="false">IF(C955="","",IF(C955&lt;=5,"Night (00-05)",IF(C955&lt;=11,"Morning (06-11)",IF(C955&lt;=16,"Afternoon (12-16)",IF(C955&lt;=20,"Evening (17-20)","Late (21-23)")))))</f>
        <v>Evening (17-20)</v>
      </c>
    </row>
    <row r="956" customFormat="false" ht="15" hidden="false" customHeight="false" outlineLevel="0" collapsed="false">
      <c r="A956" s="37" t="s">
        <v>1061</v>
      </c>
      <c r="B956" s="38" t="n">
        <v>46319</v>
      </c>
      <c r="C956" s="37" t="n">
        <v>0</v>
      </c>
      <c r="D956" s="37" t="s">
        <v>38</v>
      </c>
      <c r="E956" s="37" t="s">
        <v>49</v>
      </c>
      <c r="F956" s="37" t="s">
        <v>23</v>
      </c>
      <c r="G956" s="39" t="b">
        <f aca="false">TRUE()</f>
        <v>1</v>
      </c>
      <c r="H956" s="37" t="n">
        <v>1447.56</v>
      </c>
      <c r="I956" s="37" t="n">
        <v>4</v>
      </c>
      <c r="J956" s="37" t="n">
        <v>35</v>
      </c>
      <c r="K956" s="37" t="n">
        <v>0</v>
      </c>
      <c r="L956" s="37" t="str">
        <f aca="false">IF(C956="","",IF(C956&lt;=5,"Night (00-05)",IF(C956&lt;=11,"Morning (06-11)",IF(C956&lt;=16,"Afternoon (12-16)",IF(C956&lt;=20,"Evening (17-20)","Late (21-23)")))))</f>
        <v>Night (00-05)</v>
      </c>
    </row>
    <row r="957" customFormat="false" ht="15" hidden="false" customHeight="false" outlineLevel="0" collapsed="false">
      <c r="A957" s="37" t="s">
        <v>1062</v>
      </c>
      <c r="B957" s="38" t="n">
        <v>46321</v>
      </c>
      <c r="C957" s="37" t="n">
        <v>19</v>
      </c>
      <c r="D957" s="37" t="s">
        <v>38</v>
      </c>
      <c r="E957" s="37" t="s">
        <v>48</v>
      </c>
      <c r="F957" s="37" t="s">
        <v>23</v>
      </c>
      <c r="G957" s="39" t="b">
        <f aca="false">TRUE()</f>
        <v>1</v>
      </c>
      <c r="H957" s="37" t="n">
        <v>981.93</v>
      </c>
      <c r="I957" s="37" t="n">
        <v>4</v>
      </c>
      <c r="J957" s="37" t="n">
        <v>29</v>
      </c>
      <c r="K957" s="37" t="n">
        <v>0</v>
      </c>
      <c r="L957" s="37" t="str">
        <f aca="false">IF(C957="","",IF(C957&lt;=5,"Night (00-05)",IF(C957&lt;=11,"Morning (06-11)",IF(C957&lt;=16,"Afternoon (12-16)",IF(C957&lt;=20,"Evening (17-20)","Late (21-23)")))))</f>
        <v>Evening (17-20)</v>
      </c>
    </row>
    <row r="958" customFormat="false" ht="15" hidden="false" customHeight="false" outlineLevel="0" collapsed="false">
      <c r="A958" s="37" t="s">
        <v>1063</v>
      </c>
      <c r="B958" s="38" t="n">
        <v>46319</v>
      </c>
      <c r="C958" s="37" t="n">
        <v>23</v>
      </c>
      <c r="D958" s="37" t="s">
        <v>37</v>
      </c>
      <c r="E958" s="37" t="s">
        <v>47</v>
      </c>
      <c r="F958" s="37" t="s">
        <v>23</v>
      </c>
      <c r="G958" s="39" t="b">
        <f aca="false">TRUE()</f>
        <v>1</v>
      </c>
      <c r="H958" s="37" t="n">
        <v>457.37</v>
      </c>
      <c r="I958" s="37" t="n">
        <v>4</v>
      </c>
      <c r="J958" s="37" t="n">
        <v>44</v>
      </c>
      <c r="K958" s="37" t="n">
        <v>0</v>
      </c>
      <c r="L958" s="37" t="str">
        <f aca="false">IF(C958="","",IF(C958&lt;=5,"Night (00-05)",IF(C958&lt;=11,"Morning (06-11)",IF(C958&lt;=16,"Afternoon (12-16)",IF(C958&lt;=20,"Evening (17-20)","Late (21-23)")))))</f>
        <v>Late (21-23)</v>
      </c>
    </row>
    <row r="959" customFormat="false" ht="15" hidden="false" customHeight="false" outlineLevel="0" collapsed="false">
      <c r="A959" s="37" t="s">
        <v>1064</v>
      </c>
      <c r="B959" s="38" t="n">
        <v>46320</v>
      </c>
      <c r="C959" s="37" t="n">
        <v>6</v>
      </c>
      <c r="D959" s="37" t="s">
        <v>37</v>
      </c>
      <c r="E959" s="37" t="s">
        <v>49</v>
      </c>
      <c r="F959" s="37" t="s">
        <v>23</v>
      </c>
      <c r="G959" s="39" t="b">
        <f aca="false">TRUE()</f>
        <v>1</v>
      </c>
      <c r="H959" s="37" t="n">
        <v>481.91</v>
      </c>
      <c r="I959" s="37" t="n">
        <v>4</v>
      </c>
      <c r="J959" s="37" t="n">
        <v>39</v>
      </c>
      <c r="K959" s="37" t="n">
        <v>0</v>
      </c>
      <c r="L959" s="37" t="str">
        <f aca="false">IF(C959="","",IF(C959&lt;=5,"Night (00-05)",IF(C959&lt;=11,"Morning (06-11)",IF(C959&lt;=16,"Afternoon (12-16)",IF(C959&lt;=20,"Evening (17-20)","Late (21-23)")))))</f>
        <v>Morning (06-11)</v>
      </c>
    </row>
    <row r="960" customFormat="false" ht="15" hidden="false" customHeight="false" outlineLevel="0" collapsed="false">
      <c r="A960" s="37" t="s">
        <v>1065</v>
      </c>
      <c r="B960" s="38" t="n">
        <v>46320</v>
      </c>
      <c r="C960" s="37" t="n">
        <v>0</v>
      </c>
      <c r="D960" s="37" t="s">
        <v>40</v>
      </c>
      <c r="E960" s="37" t="s">
        <v>49</v>
      </c>
      <c r="F960" s="37" t="s">
        <v>113</v>
      </c>
      <c r="G960" s="39" t="b">
        <f aca="false">TRUE()</f>
        <v>1</v>
      </c>
      <c r="H960" s="37" t="n">
        <v>1100.97</v>
      </c>
      <c r="K960" s="37" t="n">
        <v>0</v>
      </c>
      <c r="L960" s="37" t="str">
        <f aca="false">IF(C960="","",IF(C960&lt;=5,"Night (00-05)",IF(C960&lt;=11,"Morning (06-11)",IF(C960&lt;=16,"Afternoon (12-16)",IF(C960&lt;=20,"Evening (17-20)","Late (21-23)")))))</f>
        <v>Night (00-05)</v>
      </c>
    </row>
    <row r="961" customFormat="false" ht="15" hidden="false" customHeight="false" outlineLevel="0" collapsed="false">
      <c r="A961" s="37" t="s">
        <v>1066</v>
      </c>
      <c r="B961" s="38" t="n">
        <v>46321</v>
      </c>
      <c r="C961" s="37" t="n">
        <v>15</v>
      </c>
      <c r="D961" s="37" t="s">
        <v>40</v>
      </c>
      <c r="E961" s="37" t="s">
        <v>48</v>
      </c>
      <c r="F961" s="37" t="s">
        <v>23</v>
      </c>
      <c r="G961" s="39" t="b">
        <f aca="false">TRUE()</f>
        <v>1</v>
      </c>
      <c r="H961" s="37" t="n">
        <v>714.22</v>
      </c>
      <c r="I961" s="37" t="n">
        <v>5</v>
      </c>
      <c r="J961" s="37" t="n">
        <v>45</v>
      </c>
      <c r="K961" s="37" t="n">
        <v>0</v>
      </c>
      <c r="L961" s="37" t="str">
        <f aca="false">IF(C961="","",IF(C961&lt;=5,"Night (00-05)",IF(C961&lt;=11,"Morning (06-11)",IF(C961&lt;=16,"Afternoon (12-16)",IF(C961&lt;=20,"Evening (17-20)","Late (21-23)")))))</f>
        <v>Afternoon (12-16)</v>
      </c>
    </row>
    <row r="962" customFormat="false" ht="15" hidden="false" customHeight="false" outlineLevel="0" collapsed="false">
      <c r="A962" s="37" t="s">
        <v>1067</v>
      </c>
      <c r="B962" s="38" t="n">
        <v>46316</v>
      </c>
      <c r="C962" s="37" t="n">
        <v>6</v>
      </c>
      <c r="D962" s="37" t="s">
        <v>38</v>
      </c>
      <c r="E962" s="37" t="s">
        <v>47</v>
      </c>
      <c r="F962" s="37" t="s">
        <v>23</v>
      </c>
      <c r="G962" s="39" t="b">
        <f aca="false">TRUE()</f>
        <v>1</v>
      </c>
      <c r="H962" s="37" t="n">
        <v>847.89</v>
      </c>
      <c r="I962" s="37" t="n">
        <v>4</v>
      </c>
      <c r="J962" s="37" t="n">
        <v>53</v>
      </c>
      <c r="K962" s="37" t="n">
        <v>0</v>
      </c>
      <c r="L962" s="37" t="str">
        <f aca="false">IF(C962="","",IF(C962&lt;=5,"Night (00-05)",IF(C962&lt;=11,"Morning (06-11)",IF(C962&lt;=16,"Afternoon (12-16)",IF(C962&lt;=20,"Evening (17-20)","Late (21-23)")))))</f>
        <v>Morning (06-11)</v>
      </c>
    </row>
    <row r="963" customFormat="false" ht="15" hidden="false" customHeight="false" outlineLevel="0" collapsed="false">
      <c r="A963" s="37" t="s">
        <v>1068</v>
      </c>
      <c r="B963" s="38" t="n">
        <v>46318</v>
      </c>
      <c r="C963" s="37" t="n">
        <v>1</v>
      </c>
      <c r="D963" s="37" t="s">
        <v>40</v>
      </c>
      <c r="E963" s="37" t="s">
        <v>48</v>
      </c>
      <c r="F963" s="37" t="s">
        <v>23</v>
      </c>
      <c r="G963" s="39" t="b">
        <f aca="false">TRUE()</f>
        <v>1</v>
      </c>
      <c r="H963" s="37" t="n">
        <v>1062.24</v>
      </c>
      <c r="I963" s="37" t="n">
        <v>4</v>
      </c>
      <c r="J963" s="37" t="n">
        <v>31</v>
      </c>
      <c r="K963" s="37" t="n">
        <v>0</v>
      </c>
      <c r="L963" s="37" t="str">
        <f aca="false">IF(C963="","",IF(C963&lt;=5,"Night (00-05)",IF(C963&lt;=11,"Morning (06-11)",IF(C963&lt;=16,"Afternoon (12-16)",IF(C963&lt;=20,"Evening (17-20)","Late (21-23)")))))</f>
        <v>Night (00-05)</v>
      </c>
    </row>
    <row r="964" customFormat="false" ht="15" hidden="false" customHeight="false" outlineLevel="0" collapsed="false">
      <c r="A964" s="37" t="s">
        <v>1069</v>
      </c>
      <c r="B964" s="38" t="n">
        <v>46315</v>
      </c>
      <c r="C964" s="37" t="n">
        <v>21</v>
      </c>
      <c r="D964" s="37" t="s">
        <v>37</v>
      </c>
      <c r="E964" s="37" t="s">
        <v>48</v>
      </c>
      <c r="F964" s="37" t="s">
        <v>23</v>
      </c>
      <c r="G964" s="39" t="b">
        <f aca="false">TRUE()</f>
        <v>1</v>
      </c>
      <c r="H964" s="37" t="n">
        <v>428.49</v>
      </c>
      <c r="I964" s="37" t="n">
        <v>4</v>
      </c>
      <c r="J964" s="37" t="n">
        <v>32</v>
      </c>
      <c r="K964" s="37" t="n">
        <v>0</v>
      </c>
      <c r="L964" s="37" t="str">
        <f aca="false">IF(C964="","",IF(C964&lt;=5,"Night (00-05)",IF(C964&lt;=11,"Morning (06-11)",IF(C964&lt;=16,"Afternoon (12-16)",IF(C964&lt;=20,"Evening (17-20)","Late (21-23)")))))</f>
        <v>Late (21-23)</v>
      </c>
    </row>
    <row r="965" customFormat="false" ht="15" hidden="false" customHeight="false" outlineLevel="0" collapsed="false">
      <c r="A965" s="37" t="s">
        <v>1070</v>
      </c>
      <c r="B965" s="38" t="n">
        <v>46321</v>
      </c>
      <c r="C965" s="37" t="n">
        <v>20</v>
      </c>
      <c r="D965" s="37" t="s">
        <v>38</v>
      </c>
      <c r="E965" s="37" t="s">
        <v>48</v>
      </c>
      <c r="F965" s="37" t="s">
        <v>23</v>
      </c>
      <c r="G965" s="39" t="b">
        <f aca="false">TRUE()</f>
        <v>1</v>
      </c>
      <c r="H965" s="37" t="n">
        <v>854.87</v>
      </c>
      <c r="I965" s="37" t="n">
        <v>4</v>
      </c>
      <c r="J965" s="37" t="n">
        <v>27</v>
      </c>
      <c r="K965" s="37" t="n">
        <v>0</v>
      </c>
      <c r="L965" s="37" t="str">
        <f aca="false">IF(C965="","",IF(C965&lt;=5,"Night (00-05)",IF(C965&lt;=11,"Morning (06-11)",IF(C965&lt;=16,"Afternoon (12-16)",IF(C965&lt;=20,"Evening (17-20)","Late (21-23)")))))</f>
        <v>Evening (17-20)</v>
      </c>
    </row>
    <row r="966" customFormat="false" ht="15" hidden="false" customHeight="false" outlineLevel="0" collapsed="false">
      <c r="A966" s="37" t="s">
        <v>1071</v>
      </c>
      <c r="B966" s="38" t="n">
        <v>46317</v>
      </c>
      <c r="C966" s="37" t="n">
        <v>11</v>
      </c>
      <c r="D966" s="37" t="s">
        <v>39</v>
      </c>
      <c r="E966" s="37" t="s">
        <v>47</v>
      </c>
      <c r="F966" s="37" t="s">
        <v>23</v>
      </c>
      <c r="G966" s="39" t="b">
        <f aca="false">TRUE()</f>
        <v>1</v>
      </c>
      <c r="H966" s="37" t="n">
        <v>302.8</v>
      </c>
      <c r="I966" s="37" t="n">
        <v>5</v>
      </c>
      <c r="J966" s="37" t="n">
        <v>20</v>
      </c>
      <c r="K966" s="37" t="n">
        <v>0</v>
      </c>
      <c r="L966" s="37" t="str">
        <f aca="false">IF(C966="","",IF(C966&lt;=5,"Night (00-05)",IF(C966&lt;=11,"Morning (06-11)",IF(C966&lt;=16,"Afternoon (12-16)",IF(C966&lt;=20,"Evening (17-20)","Late (21-23)")))))</f>
        <v>Morning (06-11)</v>
      </c>
    </row>
    <row r="967" customFormat="false" ht="15" hidden="false" customHeight="false" outlineLevel="0" collapsed="false">
      <c r="A967" s="37" t="s">
        <v>1072</v>
      </c>
      <c r="B967" s="38" t="n">
        <v>46322</v>
      </c>
      <c r="C967" s="37" t="n">
        <v>6</v>
      </c>
      <c r="D967" s="37" t="s">
        <v>38</v>
      </c>
      <c r="E967" s="37" t="s">
        <v>49</v>
      </c>
      <c r="F967" s="37" t="s">
        <v>129</v>
      </c>
      <c r="G967" s="39" t="b">
        <f aca="false">FALSE()</f>
        <v>0</v>
      </c>
      <c r="H967" s="37" t="n">
        <v>1221.09</v>
      </c>
      <c r="K967" s="37" t="n">
        <v>0</v>
      </c>
      <c r="L967" s="37" t="str">
        <f aca="false">IF(C967="","",IF(C967&lt;=5,"Night (00-05)",IF(C967&lt;=11,"Morning (06-11)",IF(C967&lt;=16,"Afternoon (12-16)",IF(C967&lt;=20,"Evening (17-20)","Late (21-23)")))))</f>
        <v>Morning (06-11)</v>
      </c>
    </row>
    <row r="968" customFormat="false" ht="15" hidden="false" customHeight="false" outlineLevel="0" collapsed="false">
      <c r="A968" s="37" t="s">
        <v>1073</v>
      </c>
      <c r="B968" s="38" t="n">
        <v>46321</v>
      </c>
      <c r="C968" s="37" t="n">
        <v>17</v>
      </c>
      <c r="D968" s="37" t="s">
        <v>40</v>
      </c>
      <c r="E968" s="37" t="s">
        <v>49</v>
      </c>
      <c r="F968" s="37" t="s">
        <v>23</v>
      </c>
      <c r="G968" s="39" t="b">
        <f aca="false">TRUE()</f>
        <v>1</v>
      </c>
      <c r="H968" s="37" t="n">
        <v>768.24</v>
      </c>
      <c r="I968" s="37" t="n">
        <v>5</v>
      </c>
      <c r="J968" s="37" t="n">
        <v>41</v>
      </c>
      <c r="K968" s="37" t="n">
        <v>0</v>
      </c>
      <c r="L968" s="37" t="str">
        <f aca="false">IF(C968="","",IF(C968&lt;=5,"Night (00-05)",IF(C968&lt;=11,"Morning (06-11)",IF(C968&lt;=16,"Afternoon (12-16)",IF(C968&lt;=20,"Evening (17-20)","Late (21-23)")))))</f>
        <v>Evening (17-20)</v>
      </c>
    </row>
    <row r="969" customFormat="false" ht="15" hidden="false" customHeight="false" outlineLevel="0" collapsed="false">
      <c r="A969" s="37" t="s">
        <v>1074</v>
      </c>
      <c r="B969" s="38" t="n">
        <v>46321</v>
      </c>
      <c r="C969" s="37" t="n">
        <v>17</v>
      </c>
      <c r="D969" s="37" t="s">
        <v>39</v>
      </c>
      <c r="E969" s="37" t="s">
        <v>49</v>
      </c>
      <c r="F969" s="37" t="s">
        <v>129</v>
      </c>
      <c r="G969" s="39" t="b">
        <f aca="false">FALSE()</f>
        <v>0</v>
      </c>
      <c r="H969" s="37" t="n">
        <v>543.32</v>
      </c>
      <c r="K969" s="37" t="n">
        <v>0</v>
      </c>
      <c r="L969" s="37" t="str">
        <f aca="false">IF(C969="","",IF(C969&lt;=5,"Night (00-05)",IF(C969&lt;=11,"Morning (06-11)",IF(C969&lt;=16,"Afternoon (12-16)",IF(C969&lt;=20,"Evening (17-20)","Late (21-23)")))))</f>
        <v>Evening (17-20)</v>
      </c>
    </row>
    <row r="970" customFormat="false" ht="15" hidden="false" customHeight="false" outlineLevel="0" collapsed="false">
      <c r="A970" s="37" t="s">
        <v>1075</v>
      </c>
      <c r="B970" s="38" t="n">
        <v>46321</v>
      </c>
      <c r="C970" s="37" t="n">
        <v>18</v>
      </c>
      <c r="D970" s="37" t="s">
        <v>39</v>
      </c>
      <c r="E970" s="37" t="s">
        <v>49</v>
      </c>
      <c r="F970" s="37" t="s">
        <v>113</v>
      </c>
      <c r="G970" s="39" t="b">
        <f aca="false">TRUE()</f>
        <v>1</v>
      </c>
      <c r="H970" s="37" t="n">
        <v>589.09</v>
      </c>
      <c r="K970" s="37" t="n">
        <v>0</v>
      </c>
      <c r="L970" s="37" t="str">
        <f aca="false">IF(C970="","",IF(C970&lt;=5,"Night (00-05)",IF(C970&lt;=11,"Morning (06-11)",IF(C970&lt;=16,"Afternoon (12-16)",IF(C970&lt;=20,"Evening (17-20)","Late (21-23)")))))</f>
        <v>Evening (17-20)</v>
      </c>
    </row>
    <row r="971" customFormat="false" ht="15" hidden="false" customHeight="false" outlineLevel="0" collapsed="false">
      <c r="A971" s="37" t="s">
        <v>1076</v>
      </c>
      <c r="B971" s="38" t="n">
        <v>46316</v>
      </c>
      <c r="C971" s="37" t="n">
        <v>10</v>
      </c>
      <c r="D971" s="37" t="s">
        <v>40</v>
      </c>
      <c r="E971" s="37" t="s">
        <v>48</v>
      </c>
      <c r="F971" s="37" t="s">
        <v>23</v>
      </c>
      <c r="G971" s="39" t="b">
        <f aca="false">TRUE()</f>
        <v>1</v>
      </c>
      <c r="H971" s="37" t="n">
        <v>793.74</v>
      </c>
      <c r="I971" s="37" t="n">
        <v>4</v>
      </c>
      <c r="J971" s="37" t="n">
        <v>50</v>
      </c>
      <c r="K971" s="37" t="n">
        <v>0</v>
      </c>
      <c r="L971" s="37" t="str">
        <f aca="false">IF(C971="","",IF(C971&lt;=5,"Night (00-05)",IF(C971&lt;=11,"Morning (06-11)",IF(C971&lt;=16,"Afternoon (12-16)",IF(C971&lt;=20,"Evening (17-20)","Late (21-23)")))))</f>
        <v>Morning (06-11)</v>
      </c>
    </row>
    <row r="972" customFormat="false" ht="15" hidden="false" customHeight="false" outlineLevel="0" collapsed="false">
      <c r="A972" s="37" t="s">
        <v>1077</v>
      </c>
      <c r="B972" s="38" t="n">
        <v>46320</v>
      </c>
      <c r="C972" s="37" t="n">
        <v>16</v>
      </c>
      <c r="D972" s="37" t="s">
        <v>40</v>
      </c>
      <c r="E972" s="37" t="s">
        <v>47</v>
      </c>
      <c r="F972" s="37" t="s">
        <v>23</v>
      </c>
      <c r="G972" s="39" t="b">
        <f aca="false">TRUE()</f>
        <v>1</v>
      </c>
      <c r="H972" s="37" t="n">
        <v>1006.02</v>
      </c>
      <c r="I972" s="37" t="n">
        <v>5</v>
      </c>
      <c r="J972" s="37" t="n">
        <v>40</v>
      </c>
      <c r="K972" s="37" t="n">
        <v>0</v>
      </c>
      <c r="L972" s="37" t="str">
        <f aca="false">IF(C972="","",IF(C972&lt;=5,"Night (00-05)",IF(C972&lt;=11,"Morning (06-11)",IF(C972&lt;=16,"Afternoon (12-16)",IF(C972&lt;=20,"Evening (17-20)","Late (21-23)")))))</f>
        <v>Afternoon (12-16)</v>
      </c>
    </row>
    <row r="973" customFormat="false" ht="15" hidden="false" customHeight="false" outlineLevel="0" collapsed="false">
      <c r="A973" s="37" t="s">
        <v>1078</v>
      </c>
      <c r="B973" s="38" t="n">
        <v>46317</v>
      </c>
      <c r="C973" s="37" t="n">
        <v>0</v>
      </c>
      <c r="D973" s="37" t="s">
        <v>38</v>
      </c>
      <c r="E973" s="37" t="s">
        <v>46</v>
      </c>
      <c r="F973" s="37" t="s">
        <v>113</v>
      </c>
      <c r="G973" s="39" t="b">
        <f aca="false">TRUE()</f>
        <v>1</v>
      </c>
      <c r="H973" s="37" t="n">
        <v>1098.54</v>
      </c>
      <c r="K973" s="37" t="n">
        <v>0</v>
      </c>
      <c r="L973" s="37" t="str">
        <f aca="false">IF(C973="","",IF(C973&lt;=5,"Night (00-05)",IF(C973&lt;=11,"Morning (06-11)",IF(C973&lt;=16,"Afternoon (12-16)",IF(C973&lt;=20,"Evening (17-20)","Late (21-23)")))))</f>
        <v>Night (00-05)</v>
      </c>
    </row>
    <row r="974" customFormat="false" ht="15" hidden="false" customHeight="false" outlineLevel="0" collapsed="false">
      <c r="A974" s="37" t="s">
        <v>1079</v>
      </c>
      <c r="B974" s="38" t="n">
        <v>46319</v>
      </c>
      <c r="C974" s="37" t="n">
        <v>6</v>
      </c>
      <c r="D974" s="37" t="s">
        <v>38</v>
      </c>
      <c r="E974" s="37" t="s">
        <v>49</v>
      </c>
      <c r="F974" s="37" t="s">
        <v>23</v>
      </c>
      <c r="G974" s="39" t="b">
        <f aca="false">TRUE()</f>
        <v>1</v>
      </c>
      <c r="H974" s="37" t="n">
        <v>1004.7</v>
      </c>
      <c r="I974" s="37" t="n">
        <v>5</v>
      </c>
      <c r="J974" s="37" t="n">
        <v>29</v>
      </c>
      <c r="K974" s="37" t="n">
        <v>0</v>
      </c>
      <c r="L974" s="37" t="str">
        <f aca="false">IF(C974="","",IF(C974&lt;=5,"Night (00-05)",IF(C974&lt;=11,"Morning (06-11)",IF(C974&lt;=16,"Afternoon (12-16)",IF(C974&lt;=20,"Evening (17-20)","Late (21-23)")))))</f>
        <v>Morning (06-11)</v>
      </c>
    </row>
    <row r="975" customFormat="false" ht="15" hidden="false" customHeight="false" outlineLevel="0" collapsed="false">
      <c r="A975" s="37" t="s">
        <v>1080</v>
      </c>
      <c r="B975" s="38" t="n">
        <v>46320</v>
      </c>
      <c r="C975" s="37" t="n">
        <v>2</v>
      </c>
      <c r="D975" s="37" t="s">
        <v>38</v>
      </c>
      <c r="E975" s="37" t="s">
        <v>48</v>
      </c>
      <c r="F975" s="37" t="s">
        <v>23</v>
      </c>
      <c r="G975" s="39" t="b">
        <f aca="false">TRUE()</f>
        <v>1</v>
      </c>
      <c r="H975" s="37" t="n">
        <v>1147.55</v>
      </c>
      <c r="I975" s="37" t="n">
        <v>5</v>
      </c>
      <c r="J975" s="37" t="n">
        <v>55</v>
      </c>
      <c r="K975" s="37" t="n">
        <v>0</v>
      </c>
      <c r="L975" s="37" t="str">
        <f aca="false">IF(C975="","",IF(C975&lt;=5,"Night (00-05)",IF(C975&lt;=11,"Morning (06-11)",IF(C975&lt;=16,"Afternoon (12-16)",IF(C975&lt;=20,"Evening (17-20)","Late (21-23)")))))</f>
        <v>Night (00-05)</v>
      </c>
    </row>
    <row r="976" customFormat="false" ht="15" hidden="false" customHeight="false" outlineLevel="0" collapsed="false">
      <c r="A976" s="37" t="s">
        <v>1081</v>
      </c>
      <c r="B976" s="38" t="n">
        <v>46318</v>
      </c>
      <c r="C976" s="37" t="n">
        <v>16</v>
      </c>
      <c r="D976" s="37" t="s">
        <v>39</v>
      </c>
      <c r="E976" s="37" t="s">
        <v>48</v>
      </c>
      <c r="F976" s="37" t="s">
        <v>23</v>
      </c>
      <c r="G976" s="39" t="b">
        <f aca="false">TRUE()</f>
        <v>1</v>
      </c>
      <c r="H976" s="37" t="n">
        <v>396.34</v>
      </c>
      <c r="I976" s="37" t="n">
        <v>3</v>
      </c>
      <c r="J976" s="37" t="n">
        <v>25</v>
      </c>
      <c r="K976" s="37" t="n">
        <v>0</v>
      </c>
      <c r="L976" s="37" t="str">
        <f aca="false">IF(C976="","",IF(C976&lt;=5,"Night (00-05)",IF(C976&lt;=11,"Morning (06-11)",IF(C976&lt;=16,"Afternoon (12-16)",IF(C976&lt;=20,"Evening (17-20)","Late (21-23)")))))</f>
        <v>Afternoon (12-16)</v>
      </c>
    </row>
    <row r="977" customFormat="false" ht="15" hidden="false" customHeight="false" outlineLevel="0" collapsed="false">
      <c r="A977" s="37" t="s">
        <v>1082</v>
      </c>
      <c r="B977" s="38" t="n">
        <v>46320</v>
      </c>
      <c r="C977" s="37" t="n">
        <v>11</v>
      </c>
      <c r="D977" s="37" t="s">
        <v>40</v>
      </c>
      <c r="E977" s="37" t="s">
        <v>49</v>
      </c>
      <c r="F977" s="37" t="s">
        <v>23</v>
      </c>
      <c r="G977" s="39" t="b">
        <f aca="false">TRUE()</f>
        <v>1</v>
      </c>
      <c r="H977" s="37" t="n">
        <v>1112.05</v>
      </c>
      <c r="I977" s="37" t="n">
        <v>5</v>
      </c>
      <c r="J977" s="37" t="n">
        <v>36</v>
      </c>
      <c r="K977" s="37" t="n">
        <v>0</v>
      </c>
      <c r="L977" s="37" t="str">
        <f aca="false">IF(C977="","",IF(C977&lt;=5,"Night (00-05)",IF(C977&lt;=11,"Morning (06-11)",IF(C977&lt;=16,"Afternoon (12-16)",IF(C977&lt;=20,"Evening (17-20)","Late (21-23)")))))</f>
        <v>Morning (06-11)</v>
      </c>
    </row>
    <row r="978" customFormat="false" ht="15" hidden="false" customHeight="false" outlineLevel="0" collapsed="false">
      <c r="A978" s="37" t="s">
        <v>1083</v>
      </c>
      <c r="B978" s="38" t="n">
        <v>46320</v>
      </c>
      <c r="C978" s="37" t="n">
        <v>15</v>
      </c>
      <c r="D978" s="37" t="s">
        <v>39</v>
      </c>
      <c r="E978" s="37" t="s">
        <v>47</v>
      </c>
      <c r="F978" s="37" t="s">
        <v>23</v>
      </c>
      <c r="G978" s="39" t="b">
        <f aca="false">TRUE()</f>
        <v>1</v>
      </c>
      <c r="H978" s="37" t="n">
        <v>617.22</v>
      </c>
      <c r="I978" s="37" t="n">
        <v>5</v>
      </c>
      <c r="J978" s="37" t="n">
        <v>34</v>
      </c>
      <c r="K978" s="37" t="n">
        <v>0</v>
      </c>
      <c r="L978" s="37" t="str">
        <f aca="false">IF(C978="","",IF(C978&lt;=5,"Night (00-05)",IF(C978&lt;=11,"Morning (06-11)",IF(C978&lt;=16,"Afternoon (12-16)",IF(C978&lt;=20,"Evening (17-20)","Late (21-23)")))))</f>
        <v>Afternoon (12-16)</v>
      </c>
    </row>
    <row r="979" customFormat="false" ht="15" hidden="false" customHeight="false" outlineLevel="0" collapsed="false">
      <c r="A979" s="37" t="s">
        <v>1084</v>
      </c>
      <c r="B979" s="38" t="n">
        <v>46322</v>
      </c>
      <c r="C979" s="37" t="n">
        <v>4</v>
      </c>
      <c r="D979" s="37" t="s">
        <v>40</v>
      </c>
      <c r="E979" s="37" t="s">
        <v>49</v>
      </c>
      <c r="F979" s="37" t="s">
        <v>23</v>
      </c>
      <c r="G979" s="39" t="b">
        <f aca="false">TRUE()</f>
        <v>1</v>
      </c>
      <c r="H979" s="37" t="n">
        <v>1227.13</v>
      </c>
      <c r="I979" s="37" t="n">
        <v>5</v>
      </c>
      <c r="J979" s="37" t="n">
        <v>44</v>
      </c>
      <c r="K979" s="37" t="n">
        <v>0</v>
      </c>
      <c r="L979" s="37" t="str">
        <f aca="false">IF(C979="","",IF(C979&lt;=5,"Night (00-05)",IF(C979&lt;=11,"Morning (06-11)",IF(C979&lt;=16,"Afternoon (12-16)",IF(C979&lt;=20,"Evening (17-20)","Late (21-23)")))))</f>
        <v>Night (00-05)</v>
      </c>
    </row>
    <row r="980" customFormat="false" ht="15" hidden="false" customHeight="false" outlineLevel="0" collapsed="false">
      <c r="A980" s="37" t="s">
        <v>1085</v>
      </c>
      <c r="B980" s="38" t="n">
        <v>46321</v>
      </c>
      <c r="C980" s="37" t="n">
        <v>23</v>
      </c>
      <c r="D980" s="37" t="s">
        <v>37</v>
      </c>
      <c r="E980" s="37" t="s">
        <v>48</v>
      </c>
      <c r="F980" s="37" t="s">
        <v>23</v>
      </c>
      <c r="G980" s="39" t="b">
        <f aca="false">TRUE()</f>
        <v>1</v>
      </c>
      <c r="H980" s="37" t="n">
        <v>528.55</v>
      </c>
      <c r="I980" s="37" t="n">
        <v>3</v>
      </c>
      <c r="J980" s="37" t="n">
        <v>27</v>
      </c>
      <c r="K980" s="37" t="n">
        <v>0</v>
      </c>
      <c r="L980" s="37" t="str">
        <f aca="false">IF(C980="","",IF(C980&lt;=5,"Night (00-05)",IF(C980&lt;=11,"Morning (06-11)",IF(C980&lt;=16,"Afternoon (12-16)",IF(C980&lt;=20,"Evening (17-20)","Late (21-23)")))))</f>
        <v>Late (21-23)</v>
      </c>
    </row>
    <row r="981" customFormat="false" ht="15" hidden="false" customHeight="false" outlineLevel="0" collapsed="false">
      <c r="A981" s="37" t="s">
        <v>1086</v>
      </c>
      <c r="B981" s="38" t="n">
        <v>46320</v>
      </c>
      <c r="C981" s="37" t="n">
        <v>23</v>
      </c>
      <c r="D981" s="37" t="s">
        <v>38</v>
      </c>
      <c r="E981" s="37" t="s">
        <v>46</v>
      </c>
      <c r="F981" s="37" t="s">
        <v>23</v>
      </c>
      <c r="G981" s="39" t="b">
        <f aca="false">TRUE()</f>
        <v>1</v>
      </c>
      <c r="H981" s="37" t="n">
        <v>888.19</v>
      </c>
      <c r="I981" s="37" t="n">
        <v>5</v>
      </c>
      <c r="J981" s="37" t="n">
        <v>44</v>
      </c>
      <c r="K981" s="37" t="n">
        <v>0</v>
      </c>
      <c r="L981" s="37" t="str">
        <f aca="false">IF(C981="","",IF(C981&lt;=5,"Night (00-05)",IF(C981&lt;=11,"Morning (06-11)",IF(C981&lt;=16,"Afternoon (12-16)",IF(C981&lt;=20,"Evening (17-20)","Late (21-23)")))))</f>
        <v>Late (21-23)</v>
      </c>
    </row>
    <row r="982" customFormat="false" ht="15" hidden="false" customHeight="false" outlineLevel="0" collapsed="false">
      <c r="A982" s="37" t="s">
        <v>1087</v>
      </c>
      <c r="B982" s="38" t="n">
        <v>46315</v>
      </c>
      <c r="C982" s="37" t="n">
        <v>18</v>
      </c>
      <c r="D982" s="37" t="s">
        <v>37</v>
      </c>
      <c r="E982" s="37" t="s">
        <v>49</v>
      </c>
      <c r="F982" s="37" t="s">
        <v>23</v>
      </c>
      <c r="G982" s="39" t="b">
        <f aca="false">TRUE()</f>
        <v>1</v>
      </c>
      <c r="H982" s="37" t="n">
        <v>888.92</v>
      </c>
      <c r="I982" s="37" t="n">
        <v>5</v>
      </c>
      <c r="J982" s="37" t="n">
        <v>43</v>
      </c>
      <c r="K982" s="37" t="n">
        <v>0</v>
      </c>
      <c r="L982" s="37" t="str">
        <f aca="false">IF(C982="","",IF(C982&lt;=5,"Night (00-05)",IF(C982&lt;=11,"Morning (06-11)",IF(C982&lt;=16,"Afternoon (12-16)",IF(C982&lt;=20,"Evening (17-20)","Late (21-23)")))))</f>
        <v>Evening (17-20)</v>
      </c>
    </row>
    <row r="983" customFormat="false" ht="15" hidden="false" customHeight="false" outlineLevel="0" collapsed="false">
      <c r="A983" s="37" t="s">
        <v>1088</v>
      </c>
      <c r="B983" s="38" t="n">
        <v>46321</v>
      </c>
      <c r="C983" s="37" t="n">
        <v>15</v>
      </c>
      <c r="D983" s="37" t="s">
        <v>37</v>
      </c>
      <c r="E983" s="37" t="s">
        <v>47</v>
      </c>
      <c r="F983" s="37" t="s">
        <v>23</v>
      </c>
      <c r="G983" s="39" t="b">
        <f aca="false">TRUE()</f>
        <v>1</v>
      </c>
      <c r="H983" s="37" t="n">
        <v>596.66</v>
      </c>
      <c r="I983" s="37" t="n">
        <v>4</v>
      </c>
      <c r="J983" s="37" t="n">
        <v>49</v>
      </c>
      <c r="K983" s="37" t="n">
        <v>0</v>
      </c>
      <c r="L983" s="37" t="str">
        <f aca="false">IF(C983="","",IF(C983&lt;=5,"Night (00-05)",IF(C983&lt;=11,"Morning (06-11)",IF(C983&lt;=16,"Afternoon (12-16)",IF(C983&lt;=20,"Evening (17-20)","Late (21-23)")))))</f>
        <v>Afternoon (12-16)</v>
      </c>
    </row>
    <row r="984" customFormat="false" ht="15" hidden="false" customHeight="false" outlineLevel="0" collapsed="false">
      <c r="A984" s="37" t="s">
        <v>1089</v>
      </c>
      <c r="B984" s="38" t="n">
        <v>46322</v>
      </c>
      <c r="C984" s="37" t="n">
        <v>4</v>
      </c>
      <c r="D984" s="37" t="s">
        <v>39</v>
      </c>
      <c r="E984" s="37" t="s">
        <v>49</v>
      </c>
      <c r="F984" s="37" t="s">
        <v>23</v>
      </c>
      <c r="G984" s="39" t="b">
        <f aca="false">TRUE()</f>
        <v>1</v>
      </c>
      <c r="H984" s="37" t="n">
        <v>357.97</v>
      </c>
      <c r="I984" s="37" t="n">
        <v>5</v>
      </c>
      <c r="J984" s="37" t="n">
        <v>22</v>
      </c>
      <c r="K984" s="37" t="n">
        <v>0</v>
      </c>
      <c r="L984" s="37" t="str">
        <f aca="false">IF(C984="","",IF(C984&lt;=5,"Night (00-05)",IF(C984&lt;=11,"Morning (06-11)",IF(C984&lt;=16,"Afternoon (12-16)",IF(C984&lt;=20,"Evening (17-20)","Late (21-23)")))))</f>
        <v>Night (00-05)</v>
      </c>
    </row>
    <row r="985" customFormat="false" ht="15" hidden="false" customHeight="false" outlineLevel="0" collapsed="false">
      <c r="A985" s="37" t="s">
        <v>1090</v>
      </c>
      <c r="B985" s="38" t="n">
        <v>46317</v>
      </c>
      <c r="C985" s="37" t="n">
        <v>22</v>
      </c>
      <c r="D985" s="37" t="s">
        <v>40</v>
      </c>
      <c r="E985" s="37" t="s">
        <v>49</v>
      </c>
      <c r="F985" s="37" t="s">
        <v>23</v>
      </c>
      <c r="G985" s="39" t="b">
        <f aca="false">TRUE()</f>
        <v>1</v>
      </c>
      <c r="H985" s="37" t="n">
        <v>1003.86</v>
      </c>
      <c r="I985" s="37" t="n">
        <v>5</v>
      </c>
      <c r="J985" s="37" t="n">
        <v>38</v>
      </c>
      <c r="K985" s="37" t="n">
        <v>0</v>
      </c>
      <c r="L985" s="37" t="str">
        <f aca="false">IF(C985="","",IF(C985&lt;=5,"Night (00-05)",IF(C985&lt;=11,"Morning (06-11)",IF(C985&lt;=16,"Afternoon (12-16)",IF(C985&lt;=20,"Evening (17-20)","Late (21-23)")))))</f>
        <v>Late (21-23)</v>
      </c>
    </row>
    <row r="986" customFormat="false" ht="15" hidden="false" customHeight="false" outlineLevel="0" collapsed="false">
      <c r="A986" s="37" t="s">
        <v>1091</v>
      </c>
      <c r="B986" s="38" t="n">
        <v>46318</v>
      </c>
      <c r="C986" s="37" t="n">
        <v>13</v>
      </c>
      <c r="D986" s="37" t="s">
        <v>37</v>
      </c>
      <c r="E986" s="37" t="s">
        <v>48</v>
      </c>
      <c r="F986" s="37" t="s">
        <v>113</v>
      </c>
      <c r="G986" s="39" t="b">
        <f aca="false">TRUE()</f>
        <v>1</v>
      </c>
      <c r="H986" s="37" t="n">
        <v>823.03</v>
      </c>
      <c r="K986" s="37" t="n">
        <v>0</v>
      </c>
      <c r="L986" s="37" t="str">
        <f aca="false">IF(C986="","",IF(C986&lt;=5,"Night (00-05)",IF(C986&lt;=11,"Morning (06-11)",IF(C986&lt;=16,"Afternoon (12-16)",IF(C986&lt;=20,"Evening (17-20)","Late (21-23)")))))</f>
        <v>Afternoon (12-16)</v>
      </c>
    </row>
    <row r="987" customFormat="false" ht="15" hidden="false" customHeight="false" outlineLevel="0" collapsed="false">
      <c r="A987" s="37" t="s">
        <v>1092</v>
      </c>
      <c r="B987" s="38" t="n">
        <v>46317</v>
      </c>
      <c r="C987" s="37" t="n">
        <v>1</v>
      </c>
      <c r="D987" s="37" t="s">
        <v>37</v>
      </c>
      <c r="E987" s="37" t="s">
        <v>49</v>
      </c>
      <c r="F987" s="37" t="s">
        <v>23</v>
      </c>
      <c r="G987" s="39" t="b">
        <f aca="false">TRUE()</f>
        <v>1</v>
      </c>
      <c r="H987" s="37" t="n">
        <v>762.7</v>
      </c>
      <c r="I987" s="37" t="n">
        <v>5</v>
      </c>
      <c r="J987" s="37" t="n">
        <v>30</v>
      </c>
      <c r="K987" s="37" t="n">
        <v>0</v>
      </c>
      <c r="L987" s="37" t="str">
        <f aca="false">IF(C987="","",IF(C987&lt;=5,"Night (00-05)",IF(C987&lt;=11,"Morning (06-11)",IF(C987&lt;=16,"Afternoon (12-16)",IF(C987&lt;=20,"Evening (17-20)","Late (21-23)")))))</f>
        <v>Night (00-05)</v>
      </c>
    </row>
    <row r="988" customFormat="false" ht="15" hidden="false" customHeight="false" outlineLevel="0" collapsed="false">
      <c r="A988" s="37" t="s">
        <v>1093</v>
      </c>
      <c r="B988" s="38" t="n">
        <v>46319</v>
      </c>
      <c r="C988" s="37" t="n">
        <v>19</v>
      </c>
      <c r="D988" s="37" t="s">
        <v>39</v>
      </c>
      <c r="E988" s="37" t="s">
        <v>46</v>
      </c>
      <c r="F988" s="37" t="s">
        <v>23</v>
      </c>
      <c r="G988" s="39" t="b">
        <f aca="false">TRUE()</f>
        <v>1</v>
      </c>
      <c r="H988" s="37" t="n">
        <v>602.09</v>
      </c>
      <c r="I988" s="37" t="n">
        <v>5</v>
      </c>
      <c r="J988" s="37" t="n">
        <v>53</v>
      </c>
      <c r="K988" s="37" t="n">
        <v>0</v>
      </c>
      <c r="L988" s="37" t="str">
        <f aca="false">IF(C988="","",IF(C988&lt;=5,"Night (00-05)",IF(C988&lt;=11,"Morning (06-11)",IF(C988&lt;=16,"Afternoon (12-16)",IF(C988&lt;=20,"Evening (17-20)","Late (21-23)")))))</f>
        <v>Evening (17-20)</v>
      </c>
    </row>
    <row r="989" customFormat="false" ht="15" hidden="false" customHeight="false" outlineLevel="0" collapsed="false">
      <c r="A989" s="37" t="s">
        <v>1094</v>
      </c>
      <c r="B989" s="38" t="n">
        <v>46318</v>
      </c>
      <c r="C989" s="37" t="n">
        <v>1</v>
      </c>
      <c r="D989" s="37" t="s">
        <v>39</v>
      </c>
      <c r="E989" s="37" t="s">
        <v>47</v>
      </c>
      <c r="F989" s="37" t="s">
        <v>23</v>
      </c>
      <c r="G989" s="39" t="b">
        <f aca="false">TRUE()</f>
        <v>1</v>
      </c>
      <c r="H989" s="37" t="n">
        <v>351.36</v>
      </c>
      <c r="I989" s="37" t="n">
        <v>5</v>
      </c>
      <c r="J989" s="37" t="n">
        <v>23</v>
      </c>
      <c r="K989" s="37" t="n">
        <v>0</v>
      </c>
      <c r="L989" s="37" t="str">
        <f aca="false">IF(C989="","",IF(C989&lt;=5,"Night (00-05)",IF(C989&lt;=11,"Morning (06-11)",IF(C989&lt;=16,"Afternoon (12-16)",IF(C989&lt;=20,"Evening (17-20)","Late (21-23)")))))</f>
        <v>Night (00-05)</v>
      </c>
    </row>
    <row r="990" customFormat="false" ht="15" hidden="false" customHeight="false" outlineLevel="0" collapsed="false">
      <c r="A990" s="37" t="s">
        <v>1095</v>
      </c>
      <c r="B990" s="38" t="n">
        <v>46320</v>
      </c>
      <c r="C990" s="37" t="n">
        <v>18</v>
      </c>
      <c r="D990" s="37" t="s">
        <v>37</v>
      </c>
      <c r="E990" s="37" t="s">
        <v>49</v>
      </c>
      <c r="F990" s="37" t="s">
        <v>23</v>
      </c>
      <c r="G990" s="39" t="b">
        <f aca="false">TRUE()</f>
        <v>1</v>
      </c>
      <c r="H990" s="37" t="n">
        <v>746.98</v>
      </c>
      <c r="I990" s="37" t="n">
        <v>4</v>
      </c>
      <c r="J990" s="37" t="n">
        <v>29</v>
      </c>
      <c r="K990" s="37" t="n">
        <v>0</v>
      </c>
      <c r="L990" s="37" t="str">
        <f aca="false">IF(C990="","",IF(C990&lt;=5,"Night (00-05)",IF(C990&lt;=11,"Morning (06-11)",IF(C990&lt;=16,"Afternoon (12-16)",IF(C990&lt;=20,"Evening (17-20)","Late (21-23)")))))</f>
        <v>Evening (17-20)</v>
      </c>
    </row>
    <row r="991" customFormat="false" ht="15" hidden="false" customHeight="false" outlineLevel="0" collapsed="false">
      <c r="A991" s="37" t="s">
        <v>1096</v>
      </c>
      <c r="B991" s="38" t="n">
        <v>46322</v>
      </c>
      <c r="C991" s="37" t="n">
        <v>1</v>
      </c>
      <c r="D991" s="37" t="s">
        <v>38</v>
      </c>
      <c r="E991" s="37" t="s">
        <v>46</v>
      </c>
      <c r="F991" s="37" t="s">
        <v>23</v>
      </c>
      <c r="G991" s="39" t="b">
        <f aca="false">TRUE()</f>
        <v>1</v>
      </c>
      <c r="H991" s="37" t="n">
        <v>1307.17</v>
      </c>
      <c r="I991" s="37" t="n">
        <v>4</v>
      </c>
      <c r="J991" s="37" t="n">
        <v>29</v>
      </c>
      <c r="K991" s="37" t="n">
        <v>0</v>
      </c>
      <c r="L991" s="37" t="str">
        <f aca="false">IF(C991="","",IF(C991&lt;=5,"Night (00-05)",IF(C991&lt;=11,"Morning (06-11)",IF(C991&lt;=16,"Afternoon (12-16)",IF(C991&lt;=20,"Evening (17-20)","Late (21-23)")))))</f>
        <v>Night (00-05)</v>
      </c>
    </row>
    <row r="992" customFormat="false" ht="15" hidden="false" customHeight="false" outlineLevel="0" collapsed="false">
      <c r="A992" s="37" t="s">
        <v>1097</v>
      </c>
      <c r="B992" s="38" t="n">
        <v>46319</v>
      </c>
      <c r="C992" s="37" t="n">
        <v>1</v>
      </c>
      <c r="D992" s="37" t="s">
        <v>38</v>
      </c>
      <c r="E992" s="37" t="s">
        <v>47</v>
      </c>
      <c r="F992" s="37" t="s">
        <v>23</v>
      </c>
      <c r="G992" s="39" t="b">
        <f aca="false">TRUE()</f>
        <v>1</v>
      </c>
      <c r="H992" s="37" t="n">
        <v>1047.91</v>
      </c>
      <c r="I992" s="37" t="n">
        <v>3</v>
      </c>
      <c r="J992" s="37" t="n">
        <v>23</v>
      </c>
      <c r="K992" s="37" t="n">
        <v>0</v>
      </c>
      <c r="L992" s="37" t="str">
        <f aca="false">IF(C992="","",IF(C992&lt;=5,"Night (00-05)",IF(C992&lt;=11,"Morning (06-11)",IF(C992&lt;=16,"Afternoon (12-16)",IF(C992&lt;=20,"Evening (17-20)","Late (21-23)")))))</f>
        <v>Night (00-05)</v>
      </c>
    </row>
    <row r="993" customFormat="false" ht="15" hidden="false" customHeight="false" outlineLevel="0" collapsed="false">
      <c r="A993" s="37" t="s">
        <v>1098</v>
      </c>
      <c r="B993" s="38" t="n">
        <v>46320</v>
      </c>
      <c r="C993" s="37" t="n">
        <v>0</v>
      </c>
      <c r="D993" s="37" t="s">
        <v>37</v>
      </c>
      <c r="E993" s="37" t="s">
        <v>49</v>
      </c>
      <c r="F993" s="37" t="s">
        <v>23</v>
      </c>
      <c r="G993" s="39" t="b">
        <f aca="false">TRUE()</f>
        <v>1</v>
      </c>
      <c r="H993" s="37" t="n">
        <v>521.5</v>
      </c>
      <c r="I993" s="37" t="n">
        <v>4</v>
      </c>
      <c r="J993" s="37" t="n">
        <v>45</v>
      </c>
      <c r="K993" s="37" t="n">
        <v>0</v>
      </c>
      <c r="L993" s="37" t="str">
        <f aca="false">IF(C993="","",IF(C993&lt;=5,"Night (00-05)",IF(C993&lt;=11,"Morning (06-11)",IF(C993&lt;=16,"Afternoon (12-16)",IF(C993&lt;=20,"Evening (17-20)","Late (21-23)")))))</f>
        <v>Night (00-05)</v>
      </c>
    </row>
    <row r="994" customFormat="false" ht="15" hidden="false" customHeight="false" outlineLevel="0" collapsed="false">
      <c r="A994" s="37" t="s">
        <v>1099</v>
      </c>
      <c r="B994" s="38" t="n">
        <v>46320</v>
      </c>
      <c r="C994" s="37" t="n">
        <v>23</v>
      </c>
      <c r="D994" s="37" t="s">
        <v>39</v>
      </c>
      <c r="E994" s="37" t="s">
        <v>47</v>
      </c>
      <c r="F994" s="37" t="s">
        <v>23</v>
      </c>
      <c r="G994" s="39" t="b">
        <f aca="false">TRUE()</f>
        <v>1</v>
      </c>
      <c r="H994" s="37" t="n">
        <v>610.09</v>
      </c>
      <c r="I994" s="37" t="n">
        <v>4</v>
      </c>
      <c r="J994" s="37" t="n">
        <v>44</v>
      </c>
      <c r="K994" s="37" t="n">
        <v>0</v>
      </c>
      <c r="L994" s="37" t="str">
        <f aca="false">IF(C994="","",IF(C994&lt;=5,"Night (00-05)",IF(C994&lt;=11,"Morning (06-11)",IF(C994&lt;=16,"Afternoon (12-16)",IF(C994&lt;=20,"Evening (17-20)","Late (21-23)")))))</f>
        <v>Late (21-23)</v>
      </c>
    </row>
    <row r="995" customFormat="false" ht="15" hidden="false" customHeight="false" outlineLevel="0" collapsed="false">
      <c r="A995" s="37" t="s">
        <v>1100</v>
      </c>
      <c r="B995" s="38" t="n">
        <v>46320</v>
      </c>
      <c r="C995" s="37" t="n">
        <v>21</v>
      </c>
      <c r="D995" s="37" t="s">
        <v>38</v>
      </c>
      <c r="E995" s="37" t="s">
        <v>47</v>
      </c>
      <c r="F995" s="37" t="s">
        <v>23</v>
      </c>
      <c r="G995" s="39" t="b">
        <f aca="false">TRUE()</f>
        <v>1</v>
      </c>
      <c r="H995" s="37" t="n">
        <v>884.44</v>
      </c>
      <c r="I995" s="37" t="n">
        <v>4</v>
      </c>
      <c r="J995" s="37" t="n">
        <v>52</v>
      </c>
      <c r="K995" s="37" t="n">
        <v>0</v>
      </c>
      <c r="L995" s="37" t="str">
        <f aca="false">IF(C995="","",IF(C995&lt;=5,"Night (00-05)",IF(C995&lt;=11,"Morning (06-11)",IF(C995&lt;=16,"Afternoon (12-16)",IF(C995&lt;=20,"Evening (17-20)","Late (21-23)")))))</f>
        <v>Late (21-23)</v>
      </c>
    </row>
    <row r="996" customFormat="false" ht="15" hidden="false" customHeight="false" outlineLevel="0" collapsed="false">
      <c r="A996" s="37" t="s">
        <v>1101</v>
      </c>
      <c r="B996" s="38" t="n">
        <v>46319</v>
      </c>
      <c r="C996" s="37" t="n">
        <v>23</v>
      </c>
      <c r="D996" s="37" t="s">
        <v>40</v>
      </c>
      <c r="E996" s="37" t="s">
        <v>47</v>
      </c>
      <c r="F996" s="37" t="s">
        <v>23</v>
      </c>
      <c r="G996" s="39" t="b">
        <f aca="false">TRUE()</f>
        <v>1</v>
      </c>
      <c r="H996" s="37" t="n">
        <v>1134.47</v>
      </c>
      <c r="I996" s="37" t="n">
        <v>5</v>
      </c>
      <c r="J996" s="37" t="n">
        <v>50</v>
      </c>
      <c r="K996" s="37" t="n">
        <v>0</v>
      </c>
      <c r="L996" s="37" t="str">
        <f aca="false">IF(C996="","",IF(C996&lt;=5,"Night (00-05)",IF(C996&lt;=11,"Morning (06-11)",IF(C996&lt;=16,"Afternoon (12-16)",IF(C996&lt;=20,"Evening (17-20)","Late (21-23)")))))</f>
        <v>Late (21-23)</v>
      </c>
    </row>
    <row r="997" customFormat="false" ht="15" hidden="false" customHeight="false" outlineLevel="0" collapsed="false">
      <c r="A997" s="37" t="s">
        <v>1102</v>
      </c>
      <c r="B997" s="38" t="n">
        <v>46320</v>
      </c>
      <c r="C997" s="37" t="n">
        <v>20</v>
      </c>
      <c r="D997" s="37" t="s">
        <v>38</v>
      </c>
      <c r="E997" s="37" t="s">
        <v>46</v>
      </c>
      <c r="F997" s="37" t="s">
        <v>113</v>
      </c>
      <c r="G997" s="39" t="b">
        <f aca="false">TRUE()</f>
        <v>1</v>
      </c>
      <c r="H997" s="37" t="n">
        <v>843.45</v>
      </c>
      <c r="K997" s="37" t="n">
        <v>0</v>
      </c>
      <c r="L997" s="37" t="str">
        <f aca="false">IF(C997="","",IF(C997&lt;=5,"Night (00-05)",IF(C997&lt;=11,"Morning (06-11)",IF(C997&lt;=16,"Afternoon (12-16)",IF(C997&lt;=20,"Evening (17-20)","Late (21-23)")))))</f>
        <v>Evening (17-20)</v>
      </c>
    </row>
    <row r="998" customFormat="false" ht="15" hidden="false" customHeight="false" outlineLevel="0" collapsed="false">
      <c r="A998" s="37" t="s">
        <v>1103</v>
      </c>
      <c r="B998" s="38" t="n">
        <v>46321</v>
      </c>
      <c r="C998" s="37" t="n">
        <v>22</v>
      </c>
      <c r="D998" s="37" t="s">
        <v>38</v>
      </c>
      <c r="E998" s="37" t="s">
        <v>49</v>
      </c>
      <c r="F998" s="37" t="s">
        <v>23</v>
      </c>
      <c r="G998" s="39" t="b">
        <f aca="false">TRUE()</f>
        <v>1</v>
      </c>
      <c r="H998" s="37" t="n">
        <v>1188.24</v>
      </c>
      <c r="I998" s="37" t="n">
        <v>4</v>
      </c>
      <c r="J998" s="37" t="n">
        <v>53</v>
      </c>
      <c r="K998" s="37" t="n">
        <v>0</v>
      </c>
      <c r="L998" s="37" t="str">
        <f aca="false">IF(C998="","",IF(C998&lt;=5,"Night (00-05)",IF(C998&lt;=11,"Morning (06-11)",IF(C998&lt;=16,"Afternoon (12-16)",IF(C998&lt;=20,"Evening (17-20)","Late (21-23)")))))</f>
        <v>Late (21-23)</v>
      </c>
    </row>
    <row r="999" customFormat="false" ht="15" hidden="false" customHeight="false" outlineLevel="0" collapsed="false">
      <c r="A999" s="37" t="s">
        <v>1104</v>
      </c>
      <c r="B999" s="38" t="n">
        <v>46320</v>
      </c>
      <c r="C999" s="37" t="n">
        <v>2</v>
      </c>
      <c r="D999" s="37" t="s">
        <v>38</v>
      </c>
      <c r="E999" s="37" t="s">
        <v>48</v>
      </c>
      <c r="F999" s="37" t="s">
        <v>113</v>
      </c>
      <c r="G999" s="39" t="b">
        <f aca="false">TRUE()</f>
        <v>1</v>
      </c>
      <c r="H999" s="37" t="n">
        <v>1474.98</v>
      </c>
      <c r="K999" s="37" t="n">
        <v>0</v>
      </c>
      <c r="L999" s="37" t="str">
        <f aca="false">IF(C999="","",IF(C999&lt;=5,"Night (00-05)",IF(C999&lt;=11,"Morning (06-11)",IF(C999&lt;=16,"Afternoon (12-16)",IF(C999&lt;=20,"Evening (17-20)","Late (21-23)")))))</f>
        <v>Night (00-05)</v>
      </c>
    </row>
    <row r="1000" customFormat="false" ht="15" hidden="false" customHeight="false" outlineLevel="0" collapsed="false">
      <c r="A1000" s="37" t="s">
        <v>1105</v>
      </c>
      <c r="B1000" s="38" t="n">
        <v>46317</v>
      </c>
      <c r="C1000" s="37" t="n">
        <v>3</v>
      </c>
      <c r="D1000" s="37" t="s">
        <v>38</v>
      </c>
      <c r="E1000" s="37" t="s">
        <v>49</v>
      </c>
      <c r="F1000" s="37" t="s">
        <v>23</v>
      </c>
      <c r="G1000" s="39" t="b">
        <f aca="false">TRUE()</f>
        <v>1</v>
      </c>
      <c r="H1000" s="37" t="n">
        <v>1359.36</v>
      </c>
      <c r="I1000" s="37" t="n">
        <v>5</v>
      </c>
      <c r="J1000" s="37" t="n">
        <v>28</v>
      </c>
      <c r="K1000" s="37" t="n">
        <v>0</v>
      </c>
      <c r="L1000" s="37" t="str">
        <f aca="false">IF(C1000="","",IF(C1000&lt;=5,"Night (00-05)",IF(C1000&lt;=11,"Morning (06-11)",IF(C1000&lt;=16,"Afternoon (12-16)",IF(C1000&lt;=20,"Evening (17-20)","Late (21-23)")))))</f>
        <v>Night (00-05)</v>
      </c>
    </row>
    <row r="1001" customFormat="false" ht="15" hidden="false" customHeight="false" outlineLevel="0" collapsed="false">
      <c r="A1001" s="37" t="s">
        <v>1106</v>
      </c>
      <c r="B1001" s="38" t="n">
        <v>46320</v>
      </c>
      <c r="C1001" s="37" t="n">
        <v>16</v>
      </c>
      <c r="D1001" s="37" t="s">
        <v>38</v>
      </c>
      <c r="E1001" s="37" t="s">
        <v>47</v>
      </c>
      <c r="F1001" s="37" t="s">
        <v>23</v>
      </c>
      <c r="G1001" s="39" t="b">
        <f aca="false">TRUE()</f>
        <v>1</v>
      </c>
      <c r="H1001" s="37" t="n">
        <v>1484.95</v>
      </c>
      <c r="I1001" s="37" t="n">
        <v>5</v>
      </c>
      <c r="J1001" s="37" t="n">
        <v>43</v>
      </c>
      <c r="K1001" s="37" t="n">
        <v>0</v>
      </c>
      <c r="L1001" s="37" t="str">
        <f aca="false">IF(C1001="","",IF(C1001&lt;=5,"Night (00-05)",IF(C1001&lt;=11,"Morning (06-11)",IF(C1001&lt;=16,"Afternoon (12-16)",IF(C1001&lt;=20,"Evening (17-20)","Late (21-23)")))))</f>
        <v>Afternoon (12-16)</v>
      </c>
    </row>
    <row r="1002" customFormat="false" ht="15" hidden="false" customHeight="false" outlineLevel="0" collapsed="false">
      <c r="L1002" s="37" t="str">
        <f aca="false">IF(C1002="","",IF(C1002&lt;=5,"Night (00-05)",IF(C1002&lt;=11,"Morning (06-11)",IF(C1002&lt;=16,"Afternoon (12-16)",IF(C1002&lt;=20,"Evening (17-20)","Late (21-23)")))))</f>
        <v/>
      </c>
    </row>
    <row r="1003" customFormat="false" ht="15" hidden="false" customHeight="false" outlineLevel="0" collapsed="false">
      <c r="L1003" s="37" t="str">
        <f aca="false">IF(C1003="","",IF(C1003&lt;=5,"Night (00-05)",IF(C1003&lt;=11,"Morning (06-11)",IF(C1003&lt;=16,"Afternoon (12-16)",IF(C1003&lt;=20,"Evening (17-20)","Late (21-23)")))))</f>
        <v/>
      </c>
    </row>
    <row r="1004" customFormat="false" ht="15" hidden="false" customHeight="false" outlineLevel="0" collapsed="false">
      <c r="L1004" s="37" t="str">
        <f aca="false">IF(C1004="","",IF(C1004&lt;=5,"Night (00-05)",IF(C1004&lt;=11,"Morning (06-11)",IF(C1004&lt;=16,"Afternoon (12-16)",IF(C1004&lt;=20,"Evening (17-20)","Late (21-23)")))))</f>
        <v/>
      </c>
    </row>
    <row r="1005" customFormat="false" ht="15" hidden="false" customHeight="false" outlineLevel="0" collapsed="false">
      <c r="L1005" s="37" t="str">
        <f aca="false">IF(C1005="","",IF(C1005&lt;=5,"Night (00-05)",IF(C1005&lt;=11,"Morning (06-11)",IF(C1005&lt;=16,"Afternoon (12-16)",IF(C1005&lt;=20,"Evening (17-20)","Late (21-23)")))))</f>
        <v/>
      </c>
    </row>
    <row r="1006" customFormat="false" ht="15" hidden="false" customHeight="false" outlineLevel="0" collapsed="false">
      <c r="L1006" s="37" t="str">
        <f aca="false">IF(C1006="","",IF(C1006&lt;=5,"Night (00-05)",IF(C1006&lt;=11,"Morning (06-11)",IF(C1006&lt;=16,"Afternoon (12-16)",IF(C1006&lt;=20,"Evening (17-20)","Late (21-23)")))))</f>
        <v/>
      </c>
    </row>
    <row r="1007" customFormat="false" ht="15" hidden="false" customHeight="false" outlineLevel="0" collapsed="false">
      <c r="L1007" s="37" t="str">
        <f aca="false">IF(C1007="","",IF(C1007&lt;=5,"Night (00-05)",IF(C1007&lt;=11,"Morning (06-11)",IF(C1007&lt;=16,"Afternoon (12-16)",IF(C1007&lt;=20,"Evening (17-20)","Late (21-23)")))))</f>
        <v/>
      </c>
    </row>
    <row r="1008" customFormat="false" ht="15" hidden="false" customHeight="false" outlineLevel="0" collapsed="false">
      <c r="L1008" s="37" t="str">
        <f aca="false">IF(C1008="","",IF(C1008&lt;=5,"Night (00-05)",IF(C1008&lt;=11,"Morning (06-11)",IF(C1008&lt;=16,"Afternoon (12-16)",IF(C1008&lt;=20,"Evening (17-20)","Late (21-23)")))))</f>
        <v/>
      </c>
    </row>
    <row r="1009" customFormat="false" ht="15" hidden="false" customHeight="false" outlineLevel="0" collapsed="false">
      <c r="L1009" s="37" t="str">
        <f aca="false">IF(C1009="","",IF(C1009&lt;=5,"Night (00-05)",IF(C1009&lt;=11,"Morning (06-11)",IF(C1009&lt;=16,"Afternoon (12-16)",IF(C1009&lt;=20,"Evening (17-20)","Late (21-23)")))))</f>
        <v/>
      </c>
    </row>
    <row r="1010" customFormat="false" ht="15" hidden="false" customHeight="false" outlineLevel="0" collapsed="false">
      <c r="L1010" s="37" t="str">
        <f aca="false">IF(C1010="","",IF(C1010&lt;=5,"Night (00-05)",IF(C1010&lt;=11,"Morning (06-11)",IF(C1010&lt;=16,"Afternoon (12-16)",IF(C1010&lt;=20,"Evening (17-20)","Late (21-23)")))))</f>
        <v/>
      </c>
    </row>
    <row r="1011" customFormat="false" ht="15" hidden="false" customHeight="false" outlineLevel="0" collapsed="false">
      <c r="L1011" s="37" t="str">
        <f aca="false">IF(C1011="","",IF(C1011&lt;=5,"Night (00-05)",IF(C1011&lt;=11,"Morning (06-11)",IF(C1011&lt;=16,"Afternoon (12-16)",IF(C1011&lt;=20,"Evening (17-20)","Late (21-23)")))))</f>
        <v/>
      </c>
    </row>
    <row r="1012" customFormat="false" ht="15" hidden="false" customHeight="false" outlineLevel="0" collapsed="false">
      <c r="L1012" s="37" t="str">
        <f aca="false">IF(C1012="","",IF(C1012&lt;=5,"Night (00-05)",IF(C1012&lt;=11,"Morning (06-11)",IF(C1012&lt;=16,"Afternoon (12-16)",IF(C1012&lt;=20,"Evening (17-20)","Late (21-23)")))))</f>
        <v/>
      </c>
    </row>
    <row r="1013" customFormat="false" ht="15" hidden="false" customHeight="false" outlineLevel="0" collapsed="false">
      <c r="L1013" s="37" t="str">
        <f aca="false">IF(C1013="","",IF(C1013&lt;=5,"Night (00-05)",IF(C1013&lt;=11,"Morning (06-11)",IF(C1013&lt;=16,"Afternoon (12-16)",IF(C1013&lt;=20,"Evening (17-20)","Late (21-23)")))))</f>
        <v/>
      </c>
    </row>
    <row r="1014" customFormat="false" ht="15" hidden="false" customHeight="false" outlineLevel="0" collapsed="false">
      <c r="L1014" s="37" t="str">
        <f aca="false">IF(C1014="","",IF(C1014&lt;=5,"Night (00-05)",IF(C1014&lt;=11,"Morning (06-11)",IF(C1014&lt;=16,"Afternoon (12-16)",IF(C1014&lt;=20,"Evening (17-20)","Late (21-23)")))))</f>
        <v/>
      </c>
    </row>
    <row r="1015" customFormat="false" ht="15" hidden="false" customHeight="false" outlineLevel="0" collapsed="false">
      <c r="L1015" s="37" t="str">
        <f aca="false">IF(C1015="","",IF(C1015&lt;=5,"Night (00-05)",IF(C1015&lt;=11,"Morning (06-11)",IF(C1015&lt;=16,"Afternoon (12-16)",IF(C1015&lt;=20,"Evening (17-20)","Late (21-23)")))))</f>
        <v/>
      </c>
    </row>
    <row r="1016" customFormat="false" ht="15" hidden="false" customHeight="false" outlineLevel="0" collapsed="false">
      <c r="L1016" s="37" t="str">
        <f aca="false">IF(C1016="","",IF(C1016&lt;=5,"Night (00-05)",IF(C1016&lt;=11,"Morning (06-11)",IF(C1016&lt;=16,"Afternoon (12-16)",IF(C1016&lt;=20,"Evening (17-20)","Late (21-23)")))))</f>
        <v/>
      </c>
    </row>
    <row r="1017" customFormat="false" ht="15" hidden="false" customHeight="false" outlineLevel="0" collapsed="false">
      <c r="L1017" s="37" t="str">
        <f aca="false">IF(C1017="","",IF(C1017&lt;=5,"Night (00-05)",IF(C1017&lt;=11,"Morning (06-11)",IF(C1017&lt;=16,"Afternoon (12-16)",IF(C1017&lt;=20,"Evening (17-20)","Late (21-23)")))))</f>
        <v/>
      </c>
    </row>
    <row r="1018" customFormat="false" ht="15" hidden="false" customHeight="false" outlineLevel="0" collapsed="false">
      <c r="L1018" s="37" t="str">
        <f aca="false">IF(C1018="","",IF(C1018&lt;=5,"Night (00-05)",IF(C1018&lt;=11,"Morning (06-11)",IF(C1018&lt;=16,"Afternoon (12-16)",IF(C1018&lt;=20,"Evening (17-20)","Late (21-23)")))))</f>
        <v/>
      </c>
    </row>
    <row r="1019" customFormat="false" ht="15" hidden="false" customHeight="false" outlineLevel="0" collapsed="false">
      <c r="L1019" s="37" t="str">
        <f aca="false">IF(C1019="","",IF(C1019&lt;=5,"Night (00-05)",IF(C1019&lt;=11,"Morning (06-11)",IF(C1019&lt;=16,"Afternoon (12-16)",IF(C1019&lt;=20,"Evening (17-20)","Late (21-23)")))))</f>
        <v/>
      </c>
    </row>
    <row r="1020" customFormat="false" ht="15" hidden="false" customHeight="false" outlineLevel="0" collapsed="false">
      <c r="L1020" s="37" t="str">
        <f aca="false">IF(C1020="","",IF(C1020&lt;=5,"Night (00-05)",IF(C1020&lt;=11,"Morning (06-11)",IF(C1020&lt;=16,"Afternoon (12-16)",IF(C1020&lt;=20,"Evening (17-20)","Late (21-23)")))))</f>
        <v/>
      </c>
    </row>
    <row r="1021" customFormat="false" ht="15" hidden="false" customHeight="false" outlineLevel="0" collapsed="false">
      <c r="L1021" s="37" t="str">
        <f aca="false">IF(C1021="","",IF(C1021&lt;=5,"Night (00-05)",IF(C1021&lt;=11,"Morning (06-11)",IF(C1021&lt;=16,"Afternoon (12-16)",IF(C1021&lt;=20,"Evening (17-20)","Late (21-23)")))))</f>
        <v/>
      </c>
    </row>
    <row r="1022" customFormat="false" ht="15" hidden="false" customHeight="false" outlineLevel="0" collapsed="false">
      <c r="L1022" s="37" t="str">
        <f aca="false">IF(C1022="","",IF(C1022&lt;=5,"Night (00-05)",IF(C1022&lt;=11,"Morning (06-11)",IF(C1022&lt;=16,"Afternoon (12-16)",IF(C1022&lt;=20,"Evening (17-20)","Late (21-23)")))))</f>
        <v/>
      </c>
    </row>
    <row r="1023" customFormat="false" ht="15" hidden="false" customHeight="false" outlineLevel="0" collapsed="false">
      <c r="L1023" s="37" t="str">
        <f aca="false">IF(C1023="","",IF(C1023&lt;=5,"Night (00-05)",IF(C1023&lt;=11,"Morning (06-11)",IF(C1023&lt;=16,"Afternoon (12-16)",IF(C1023&lt;=20,"Evening (17-20)","Late (21-23)")))))</f>
        <v/>
      </c>
    </row>
    <row r="1024" customFormat="false" ht="15" hidden="false" customHeight="false" outlineLevel="0" collapsed="false">
      <c r="L1024" s="37" t="str">
        <f aca="false">IF(C1024="","",IF(C1024&lt;=5,"Night (00-05)",IF(C1024&lt;=11,"Morning (06-11)",IF(C1024&lt;=16,"Afternoon (12-16)",IF(C1024&lt;=20,"Evening (17-20)","Late (21-23)")))))</f>
        <v/>
      </c>
    </row>
    <row r="1025" customFormat="false" ht="15" hidden="false" customHeight="false" outlineLevel="0" collapsed="false">
      <c r="L1025" s="37" t="str">
        <f aca="false">IF(C1025="","",IF(C1025&lt;=5,"Night (00-05)",IF(C1025&lt;=11,"Morning (06-11)",IF(C1025&lt;=16,"Afternoon (12-16)",IF(C1025&lt;=20,"Evening (17-20)","Late (21-23)")))))</f>
        <v/>
      </c>
    </row>
    <row r="1026" customFormat="false" ht="15" hidden="false" customHeight="false" outlineLevel="0" collapsed="false">
      <c r="L1026" s="37" t="str">
        <f aca="false">IF(C1026="","",IF(C1026&lt;=5,"Night (00-05)",IF(C1026&lt;=11,"Morning (06-11)",IF(C1026&lt;=16,"Afternoon (12-16)",IF(C1026&lt;=20,"Evening (17-20)","Late (21-23)")))))</f>
        <v/>
      </c>
    </row>
    <row r="1027" customFormat="false" ht="15" hidden="false" customHeight="false" outlineLevel="0" collapsed="false">
      <c r="L1027" s="37" t="str">
        <f aca="false">IF(C1027="","",IF(C1027&lt;=5,"Night (00-05)",IF(C1027&lt;=11,"Morning (06-11)",IF(C1027&lt;=16,"Afternoon (12-16)",IF(C1027&lt;=20,"Evening (17-20)","Late (21-23)")))))</f>
        <v/>
      </c>
    </row>
    <row r="1028" customFormat="false" ht="15" hidden="false" customHeight="false" outlineLevel="0" collapsed="false">
      <c r="L1028" s="37" t="str">
        <f aca="false">IF(C1028="","",IF(C1028&lt;=5,"Night (00-05)",IF(C1028&lt;=11,"Morning (06-11)",IF(C1028&lt;=16,"Afternoon (12-16)",IF(C1028&lt;=20,"Evening (17-20)","Late (21-23)")))))</f>
        <v/>
      </c>
    </row>
    <row r="1029" customFormat="false" ht="15" hidden="false" customHeight="false" outlineLevel="0" collapsed="false">
      <c r="L1029" s="37" t="str">
        <f aca="false">IF(C1029="","",IF(C1029&lt;=5,"Night (00-05)",IF(C1029&lt;=11,"Morning (06-11)",IF(C1029&lt;=16,"Afternoon (12-16)",IF(C1029&lt;=20,"Evening (17-20)","Late (21-23)")))))</f>
        <v/>
      </c>
    </row>
    <row r="1030" customFormat="false" ht="15" hidden="false" customHeight="false" outlineLevel="0" collapsed="false">
      <c r="L1030" s="37" t="str">
        <f aca="false">IF(C1030="","",IF(C1030&lt;=5,"Night (00-05)",IF(C1030&lt;=11,"Morning (06-11)",IF(C1030&lt;=16,"Afternoon (12-16)",IF(C1030&lt;=20,"Evening (17-20)","Late (21-23)")))))</f>
        <v/>
      </c>
    </row>
    <row r="1031" customFormat="false" ht="15" hidden="false" customHeight="false" outlineLevel="0" collapsed="false">
      <c r="L1031" s="37" t="str">
        <f aca="false">IF(C1031="","",IF(C1031&lt;=5,"Night (00-05)",IF(C1031&lt;=11,"Morning (06-11)",IF(C1031&lt;=16,"Afternoon (12-16)",IF(C1031&lt;=20,"Evening (17-20)","Late (21-23)")))))</f>
        <v/>
      </c>
    </row>
    <row r="1032" customFormat="false" ht="15" hidden="false" customHeight="false" outlineLevel="0" collapsed="false">
      <c r="L1032" s="37" t="str">
        <f aca="false">IF(C1032="","",IF(C1032&lt;=5,"Night (00-05)",IF(C1032&lt;=11,"Morning (06-11)",IF(C1032&lt;=16,"Afternoon (12-16)",IF(C1032&lt;=20,"Evening (17-20)","Late (21-23)")))))</f>
        <v/>
      </c>
    </row>
    <row r="1033" customFormat="false" ht="15" hidden="false" customHeight="false" outlineLevel="0" collapsed="false">
      <c r="L1033" s="37" t="str">
        <f aca="false">IF(C1033="","",IF(C1033&lt;=5,"Night (00-05)",IF(C1033&lt;=11,"Morning (06-11)",IF(C1033&lt;=16,"Afternoon (12-16)",IF(C1033&lt;=20,"Evening (17-20)","Late (21-23)")))))</f>
        <v/>
      </c>
    </row>
    <row r="1034" customFormat="false" ht="15" hidden="false" customHeight="false" outlineLevel="0" collapsed="false">
      <c r="L1034" s="37" t="str">
        <f aca="false">IF(C1034="","",IF(C1034&lt;=5,"Night (00-05)",IF(C1034&lt;=11,"Morning (06-11)",IF(C1034&lt;=16,"Afternoon (12-16)",IF(C1034&lt;=20,"Evening (17-20)","Late (21-23)")))))</f>
        <v/>
      </c>
    </row>
    <row r="1035" customFormat="false" ht="15" hidden="false" customHeight="false" outlineLevel="0" collapsed="false">
      <c r="L1035" s="37" t="str">
        <f aca="false">IF(C1035="","",IF(C1035&lt;=5,"Night (00-05)",IF(C1035&lt;=11,"Morning (06-11)",IF(C1035&lt;=16,"Afternoon (12-16)",IF(C1035&lt;=20,"Evening (17-20)","Late (21-23)")))))</f>
        <v/>
      </c>
    </row>
    <row r="1036" customFormat="false" ht="15" hidden="false" customHeight="false" outlineLevel="0" collapsed="false">
      <c r="L1036" s="37" t="str">
        <f aca="false">IF(C1036="","",IF(C1036&lt;=5,"Night (00-05)",IF(C1036&lt;=11,"Morning (06-11)",IF(C1036&lt;=16,"Afternoon (12-16)",IF(C1036&lt;=20,"Evening (17-20)","Late (21-23)")))))</f>
        <v/>
      </c>
    </row>
    <row r="1037" customFormat="false" ht="15" hidden="false" customHeight="false" outlineLevel="0" collapsed="false">
      <c r="L1037" s="37" t="str">
        <f aca="false">IF(C1037="","",IF(C1037&lt;=5,"Night (00-05)",IF(C1037&lt;=11,"Morning (06-11)",IF(C1037&lt;=16,"Afternoon (12-16)",IF(C1037&lt;=20,"Evening (17-20)","Late (21-23)")))))</f>
        <v/>
      </c>
    </row>
    <row r="1038" customFormat="false" ht="15" hidden="false" customHeight="false" outlineLevel="0" collapsed="false">
      <c r="L1038" s="37" t="str">
        <f aca="false">IF(C1038="","",IF(C1038&lt;=5,"Night (00-05)",IF(C1038&lt;=11,"Morning (06-11)",IF(C1038&lt;=16,"Afternoon (12-16)",IF(C1038&lt;=20,"Evening (17-20)","Late (21-23)")))))</f>
        <v/>
      </c>
    </row>
    <row r="1039" customFormat="false" ht="15" hidden="false" customHeight="false" outlineLevel="0" collapsed="false">
      <c r="L1039" s="37" t="str">
        <f aca="false">IF(C1039="","",IF(C1039&lt;=5,"Night (00-05)",IF(C1039&lt;=11,"Morning (06-11)",IF(C1039&lt;=16,"Afternoon (12-16)",IF(C1039&lt;=20,"Evening (17-20)","Late (21-23)")))))</f>
        <v/>
      </c>
    </row>
    <row r="1040" customFormat="false" ht="15" hidden="false" customHeight="false" outlineLevel="0" collapsed="false">
      <c r="L1040" s="37" t="str">
        <f aca="false">IF(C1040="","",IF(C1040&lt;=5,"Night (00-05)",IF(C1040&lt;=11,"Morning (06-11)",IF(C1040&lt;=16,"Afternoon (12-16)",IF(C1040&lt;=20,"Evening (17-20)","Late (21-23)")))))</f>
        <v/>
      </c>
    </row>
    <row r="1041" customFormat="false" ht="15" hidden="false" customHeight="false" outlineLevel="0" collapsed="false">
      <c r="L1041" s="37" t="str">
        <f aca="false">IF(C1041="","",IF(C1041&lt;=5,"Night (00-05)",IF(C1041&lt;=11,"Morning (06-11)",IF(C1041&lt;=16,"Afternoon (12-16)",IF(C1041&lt;=20,"Evening (17-20)","Late (21-23)")))))</f>
        <v/>
      </c>
    </row>
    <row r="1042" customFormat="false" ht="15" hidden="false" customHeight="false" outlineLevel="0" collapsed="false">
      <c r="L1042" s="37" t="str">
        <f aca="false">IF(C1042="","",IF(C1042&lt;=5,"Night (00-05)",IF(C1042&lt;=11,"Morning (06-11)",IF(C1042&lt;=16,"Afternoon (12-16)",IF(C1042&lt;=20,"Evening (17-20)","Late (21-23)")))))</f>
        <v/>
      </c>
    </row>
    <row r="1043" customFormat="false" ht="15" hidden="false" customHeight="false" outlineLevel="0" collapsed="false">
      <c r="L1043" s="37" t="str">
        <f aca="false">IF(C1043="","",IF(C1043&lt;=5,"Night (00-05)",IF(C1043&lt;=11,"Morning (06-11)",IF(C1043&lt;=16,"Afternoon (12-16)",IF(C1043&lt;=20,"Evening (17-20)","Late (21-23)")))))</f>
        <v/>
      </c>
    </row>
    <row r="1044" customFormat="false" ht="15" hidden="false" customHeight="false" outlineLevel="0" collapsed="false">
      <c r="L1044" s="37" t="str">
        <f aca="false">IF(C1044="","",IF(C1044&lt;=5,"Night (00-05)",IF(C1044&lt;=11,"Morning (06-11)",IF(C1044&lt;=16,"Afternoon (12-16)",IF(C1044&lt;=20,"Evening (17-20)","Late (21-23)")))))</f>
        <v/>
      </c>
    </row>
    <row r="1045" customFormat="false" ht="15" hidden="false" customHeight="false" outlineLevel="0" collapsed="false">
      <c r="L1045" s="37" t="str">
        <f aca="false">IF(C1045="","",IF(C1045&lt;=5,"Night (00-05)",IF(C1045&lt;=11,"Morning (06-11)",IF(C1045&lt;=16,"Afternoon (12-16)",IF(C1045&lt;=20,"Evening (17-20)","Late (21-23)")))))</f>
        <v/>
      </c>
    </row>
    <row r="1046" customFormat="false" ht="15" hidden="false" customHeight="false" outlineLevel="0" collapsed="false">
      <c r="L1046" s="37" t="str">
        <f aca="false">IF(C1046="","",IF(C1046&lt;=5,"Night (00-05)",IF(C1046&lt;=11,"Morning (06-11)",IF(C1046&lt;=16,"Afternoon (12-16)",IF(C1046&lt;=20,"Evening (17-20)","Late (21-23)")))))</f>
        <v/>
      </c>
    </row>
    <row r="1047" customFormat="false" ht="15" hidden="false" customHeight="false" outlineLevel="0" collapsed="false">
      <c r="L1047" s="37" t="str">
        <f aca="false">IF(C1047="","",IF(C1047&lt;=5,"Night (00-05)",IF(C1047&lt;=11,"Morning (06-11)",IF(C1047&lt;=16,"Afternoon (12-16)",IF(C1047&lt;=20,"Evening (17-20)","Late (21-23)")))))</f>
        <v/>
      </c>
    </row>
    <row r="1048" customFormat="false" ht="15" hidden="false" customHeight="false" outlineLevel="0" collapsed="false">
      <c r="L1048" s="37" t="str">
        <f aca="false">IF(C1048="","",IF(C1048&lt;=5,"Night (00-05)",IF(C1048&lt;=11,"Morning (06-11)",IF(C1048&lt;=16,"Afternoon (12-16)",IF(C1048&lt;=20,"Evening (17-20)","Late (21-23)")))))</f>
        <v/>
      </c>
    </row>
    <row r="1049" customFormat="false" ht="15" hidden="false" customHeight="false" outlineLevel="0" collapsed="false">
      <c r="L1049" s="37" t="str">
        <f aca="false">IF(C1049="","",IF(C1049&lt;=5,"Night (00-05)",IF(C1049&lt;=11,"Morning (06-11)",IF(C1049&lt;=16,"Afternoon (12-16)",IF(C1049&lt;=20,"Evening (17-20)","Late (21-23)")))))</f>
        <v/>
      </c>
    </row>
    <row r="1050" customFormat="false" ht="15" hidden="false" customHeight="false" outlineLevel="0" collapsed="false">
      <c r="L1050" s="37" t="str">
        <f aca="false">IF(C1050="","",IF(C1050&lt;=5,"Night (00-05)",IF(C1050&lt;=11,"Morning (06-11)",IF(C1050&lt;=16,"Afternoon (12-16)",IF(C1050&lt;=20,"Evening (17-20)","Late (21-23)")))))</f>
        <v/>
      </c>
    </row>
    <row r="1051" customFormat="false" ht="15" hidden="false" customHeight="false" outlineLevel="0" collapsed="false">
      <c r="L1051" s="37" t="str">
        <f aca="false">IF(C1051="","",IF(C1051&lt;=5,"Night (00-05)",IF(C1051&lt;=11,"Morning (06-11)",IF(C1051&lt;=16,"Afternoon (12-16)",IF(C1051&lt;=20,"Evening (17-20)","Late (21-23)")))))</f>
        <v/>
      </c>
    </row>
    <row r="1052" customFormat="false" ht="15" hidden="false" customHeight="false" outlineLevel="0" collapsed="false">
      <c r="L1052" s="37" t="str">
        <f aca="false">IF(C1052="","",IF(C1052&lt;=5,"Night (00-05)",IF(C1052&lt;=11,"Morning (06-11)",IF(C1052&lt;=16,"Afternoon (12-16)",IF(C1052&lt;=20,"Evening (17-20)","Late (21-23)")))))</f>
        <v/>
      </c>
    </row>
    <row r="1053" customFormat="false" ht="15" hidden="false" customHeight="false" outlineLevel="0" collapsed="false">
      <c r="L1053" s="37" t="str">
        <f aca="false">IF(C1053="","",IF(C1053&lt;=5,"Night (00-05)",IF(C1053&lt;=11,"Morning (06-11)",IF(C1053&lt;=16,"Afternoon (12-16)",IF(C1053&lt;=20,"Evening (17-20)","Late (21-23)")))))</f>
        <v/>
      </c>
    </row>
    <row r="1054" customFormat="false" ht="15" hidden="false" customHeight="false" outlineLevel="0" collapsed="false">
      <c r="L1054" s="37" t="str">
        <f aca="false">IF(C1054="","",IF(C1054&lt;=5,"Night (00-05)",IF(C1054&lt;=11,"Morning (06-11)",IF(C1054&lt;=16,"Afternoon (12-16)",IF(C1054&lt;=20,"Evening (17-20)","Late (21-23)")))))</f>
        <v/>
      </c>
    </row>
    <row r="1055" customFormat="false" ht="15" hidden="false" customHeight="false" outlineLevel="0" collapsed="false">
      <c r="L1055" s="37" t="str">
        <f aca="false">IF(C1055="","",IF(C1055&lt;=5,"Night (00-05)",IF(C1055&lt;=11,"Morning (06-11)",IF(C1055&lt;=16,"Afternoon (12-16)",IF(C1055&lt;=20,"Evening (17-20)","Late (21-23)")))))</f>
        <v/>
      </c>
    </row>
    <row r="1056" customFormat="false" ht="15" hidden="false" customHeight="false" outlineLevel="0" collapsed="false">
      <c r="L1056" s="37" t="str">
        <f aca="false">IF(C1056="","",IF(C1056&lt;=5,"Night (00-05)",IF(C1056&lt;=11,"Morning (06-11)",IF(C1056&lt;=16,"Afternoon (12-16)",IF(C1056&lt;=20,"Evening (17-20)","Late (21-23)")))))</f>
        <v/>
      </c>
    </row>
    <row r="1057" customFormat="false" ht="15" hidden="false" customHeight="false" outlineLevel="0" collapsed="false">
      <c r="L1057" s="37" t="str">
        <f aca="false">IF(C1057="","",IF(C1057&lt;=5,"Night (00-05)",IF(C1057&lt;=11,"Morning (06-11)",IF(C1057&lt;=16,"Afternoon (12-16)",IF(C1057&lt;=20,"Evening (17-20)","Late (21-23)")))))</f>
        <v/>
      </c>
    </row>
    <row r="1058" customFormat="false" ht="15" hidden="false" customHeight="false" outlineLevel="0" collapsed="false">
      <c r="L1058" s="37" t="str">
        <f aca="false">IF(C1058="","",IF(C1058&lt;=5,"Night (00-05)",IF(C1058&lt;=11,"Morning (06-11)",IF(C1058&lt;=16,"Afternoon (12-16)",IF(C1058&lt;=20,"Evening (17-20)","Late (21-23)")))))</f>
        <v/>
      </c>
    </row>
    <row r="1059" customFormat="false" ht="15" hidden="false" customHeight="false" outlineLevel="0" collapsed="false">
      <c r="L1059" s="37" t="str">
        <f aca="false">IF(C1059="","",IF(C1059&lt;=5,"Night (00-05)",IF(C1059&lt;=11,"Morning (06-11)",IF(C1059&lt;=16,"Afternoon (12-16)",IF(C1059&lt;=20,"Evening (17-20)","Late (21-23)")))))</f>
        <v/>
      </c>
    </row>
    <row r="1060" customFormat="false" ht="15" hidden="false" customHeight="false" outlineLevel="0" collapsed="false">
      <c r="L1060" s="37" t="str">
        <f aca="false">IF(C1060="","",IF(C1060&lt;=5,"Night (00-05)",IF(C1060&lt;=11,"Morning (06-11)",IF(C1060&lt;=16,"Afternoon (12-16)",IF(C1060&lt;=20,"Evening (17-20)","Late (21-23)")))))</f>
        <v/>
      </c>
    </row>
    <row r="1061" customFormat="false" ht="15" hidden="false" customHeight="false" outlineLevel="0" collapsed="false">
      <c r="L1061" s="37" t="str">
        <f aca="false">IF(C1061="","",IF(C1061&lt;=5,"Night (00-05)",IF(C1061&lt;=11,"Morning (06-11)",IF(C1061&lt;=16,"Afternoon (12-16)",IF(C1061&lt;=20,"Evening (17-20)","Late (21-23)")))))</f>
        <v/>
      </c>
    </row>
    <row r="1062" customFormat="false" ht="15" hidden="false" customHeight="false" outlineLevel="0" collapsed="false">
      <c r="L1062" s="37" t="str">
        <f aca="false">IF(C1062="","",IF(C1062&lt;=5,"Night (00-05)",IF(C1062&lt;=11,"Morning (06-11)",IF(C1062&lt;=16,"Afternoon (12-16)",IF(C1062&lt;=20,"Evening (17-20)","Late (21-23)")))))</f>
        <v/>
      </c>
    </row>
    <row r="1063" customFormat="false" ht="15" hidden="false" customHeight="false" outlineLevel="0" collapsed="false">
      <c r="L1063" s="37" t="str">
        <f aca="false">IF(C1063="","",IF(C1063&lt;=5,"Night (00-05)",IF(C1063&lt;=11,"Morning (06-11)",IF(C1063&lt;=16,"Afternoon (12-16)",IF(C1063&lt;=20,"Evening (17-20)","Late (21-23)")))))</f>
        <v/>
      </c>
    </row>
    <row r="1064" customFormat="false" ht="15" hidden="false" customHeight="false" outlineLevel="0" collapsed="false">
      <c r="L1064" s="37" t="str">
        <f aca="false">IF(C1064="","",IF(C1064&lt;=5,"Night (00-05)",IF(C1064&lt;=11,"Morning (06-11)",IF(C1064&lt;=16,"Afternoon (12-16)",IF(C1064&lt;=20,"Evening (17-20)","Late (21-23)")))))</f>
        <v/>
      </c>
    </row>
    <row r="1065" customFormat="false" ht="15" hidden="false" customHeight="false" outlineLevel="0" collapsed="false">
      <c r="L1065" s="37" t="str">
        <f aca="false">IF(C1065="","",IF(C1065&lt;=5,"Night (00-05)",IF(C1065&lt;=11,"Morning (06-11)",IF(C1065&lt;=16,"Afternoon (12-16)",IF(C1065&lt;=20,"Evening (17-20)","Late (21-23)")))))</f>
        <v/>
      </c>
    </row>
    <row r="1066" customFormat="false" ht="15" hidden="false" customHeight="false" outlineLevel="0" collapsed="false">
      <c r="L1066" s="37" t="str">
        <f aca="false">IF(C1066="","",IF(C1066&lt;=5,"Night (00-05)",IF(C1066&lt;=11,"Morning (06-11)",IF(C1066&lt;=16,"Afternoon (12-16)",IF(C1066&lt;=20,"Evening (17-20)","Late (21-23)")))))</f>
        <v/>
      </c>
    </row>
    <row r="1067" customFormat="false" ht="15" hidden="false" customHeight="false" outlineLevel="0" collapsed="false">
      <c r="L1067" s="37" t="str">
        <f aca="false">IF(C1067="","",IF(C1067&lt;=5,"Night (00-05)",IF(C1067&lt;=11,"Morning (06-11)",IF(C1067&lt;=16,"Afternoon (12-16)",IF(C1067&lt;=20,"Evening (17-20)","Late (21-23)")))))</f>
        <v/>
      </c>
    </row>
    <row r="1068" customFormat="false" ht="15" hidden="false" customHeight="false" outlineLevel="0" collapsed="false">
      <c r="L1068" s="37" t="str">
        <f aca="false">IF(C1068="","",IF(C1068&lt;=5,"Night (00-05)",IF(C1068&lt;=11,"Morning (06-11)",IF(C1068&lt;=16,"Afternoon (12-16)",IF(C1068&lt;=20,"Evening (17-20)","Late (21-23)")))))</f>
        <v/>
      </c>
    </row>
    <row r="1069" customFormat="false" ht="15" hidden="false" customHeight="false" outlineLevel="0" collapsed="false">
      <c r="L1069" s="37" t="str">
        <f aca="false">IF(C1069="","",IF(C1069&lt;=5,"Night (00-05)",IF(C1069&lt;=11,"Morning (06-11)",IF(C1069&lt;=16,"Afternoon (12-16)",IF(C1069&lt;=20,"Evening (17-20)","Late (21-23)")))))</f>
        <v/>
      </c>
    </row>
    <row r="1070" customFormat="false" ht="15" hidden="false" customHeight="false" outlineLevel="0" collapsed="false">
      <c r="L1070" s="37" t="str">
        <f aca="false">IF(C1070="","",IF(C1070&lt;=5,"Night (00-05)",IF(C1070&lt;=11,"Morning (06-11)",IF(C1070&lt;=16,"Afternoon (12-16)",IF(C1070&lt;=20,"Evening (17-20)","Late (21-23)")))))</f>
        <v/>
      </c>
    </row>
    <row r="1071" customFormat="false" ht="15" hidden="false" customHeight="false" outlineLevel="0" collapsed="false">
      <c r="L1071" s="37" t="str">
        <f aca="false">IF(C1071="","",IF(C1071&lt;=5,"Night (00-05)",IF(C1071&lt;=11,"Morning (06-11)",IF(C1071&lt;=16,"Afternoon (12-16)",IF(C1071&lt;=20,"Evening (17-20)","Late (21-23)")))))</f>
        <v/>
      </c>
    </row>
    <row r="1072" customFormat="false" ht="15" hidden="false" customHeight="false" outlineLevel="0" collapsed="false">
      <c r="L1072" s="37" t="str">
        <f aca="false">IF(C1072="","",IF(C1072&lt;=5,"Night (00-05)",IF(C1072&lt;=11,"Morning (06-11)",IF(C1072&lt;=16,"Afternoon (12-16)",IF(C1072&lt;=20,"Evening (17-20)","Late (21-23)")))))</f>
        <v/>
      </c>
    </row>
    <row r="1073" customFormat="false" ht="15" hidden="false" customHeight="false" outlineLevel="0" collapsed="false">
      <c r="L1073" s="37" t="str">
        <f aca="false">IF(C1073="","",IF(C1073&lt;=5,"Night (00-05)",IF(C1073&lt;=11,"Morning (06-11)",IF(C1073&lt;=16,"Afternoon (12-16)",IF(C1073&lt;=20,"Evening (17-20)","Late (21-23)")))))</f>
        <v/>
      </c>
    </row>
    <row r="1074" customFormat="false" ht="15" hidden="false" customHeight="false" outlineLevel="0" collapsed="false">
      <c r="L1074" s="37" t="str">
        <f aca="false">IF(C1074="","",IF(C1074&lt;=5,"Night (00-05)",IF(C1074&lt;=11,"Morning (06-11)",IF(C1074&lt;=16,"Afternoon (12-16)",IF(C1074&lt;=20,"Evening (17-20)","Late (21-23)")))))</f>
        <v/>
      </c>
    </row>
    <row r="1075" customFormat="false" ht="15" hidden="false" customHeight="false" outlineLevel="0" collapsed="false">
      <c r="L1075" s="37" t="str">
        <f aca="false">IF(C1075="","",IF(C1075&lt;=5,"Night (00-05)",IF(C1075&lt;=11,"Morning (06-11)",IF(C1075&lt;=16,"Afternoon (12-16)",IF(C1075&lt;=20,"Evening (17-20)","Late (21-23)")))))</f>
        <v/>
      </c>
    </row>
    <row r="1076" customFormat="false" ht="15" hidden="false" customHeight="false" outlineLevel="0" collapsed="false">
      <c r="L1076" s="37" t="str">
        <f aca="false">IF(C1076="","",IF(C1076&lt;=5,"Night (00-05)",IF(C1076&lt;=11,"Morning (06-11)",IF(C1076&lt;=16,"Afternoon (12-16)",IF(C1076&lt;=20,"Evening (17-20)","Late (21-23)")))))</f>
        <v/>
      </c>
    </row>
    <row r="1077" customFormat="false" ht="15" hidden="false" customHeight="false" outlineLevel="0" collapsed="false">
      <c r="L1077" s="37" t="str">
        <f aca="false">IF(C1077="","",IF(C1077&lt;=5,"Night (00-05)",IF(C1077&lt;=11,"Morning (06-11)",IF(C1077&lt;=16,"Afternoon (12-16)",IF(C1077&lt;=20,"Evening (17-20)","Late (21-23)")))))</f>
        <v/>
      </c>
    </row>
    <row r="1078" customFormat="false" ht="15" hidden="false" customHeight="false" outlineLevel="0" collapsed="false">
      <c r="L1078" s="37" t="str">
        <f aca="false">IF(C1078="","",IF(C1078&lt;=5,"Night (00-05)",IF(C1078&lt;=11,"Morning (06-11)",IF(C1078&lt;=16,"Afternoon (12-16)",IF(C1078&lt;=20,"Evening (17-20)","Late (21-23)")))))</f>
        <v/>
      </c>
    </row>
    <row r="1079" customFormat="false" ht="15" hidden="false" customHeight="false" outlineLevel="0" collapsed="false">
      <c r="L1079" s="37" t="str">
        <f aca="false">IF(C1079="","",IF(C1079&lt;=5,"Night (00-05)",IF(C1079&lt;=11,"Morning (06-11)",IF(C1079&lt;=16,"Afternoon (12-16)",IF(C1079&lt;=20,"Evening (17-20)","Late (21-23)")))))</f>
        <v/>
      </c>
    </row>
    <row r="1080" customFormat="false" ht="15" hidden="false" customHeight="false" outlineLevel="0" collapsed="false">
      <c r="L1080" s="37" t="str">
        <f aca="false">IF(C1080="","",IF(C1080&lt;=5,"Night (00-05)",IF(C1080&lt;=11,"Morning (06-11)",IF(C1080&lt;=16,"Afternoon (12-16)",IF(C1080&lt;=20,"Evening (17-20)","Late (21-23)")))))</f>
        <v/>
      </c>
    </row>
    <row r="1081" customFormat="false" ht="15" hidden="false" customHeight="false" outlineLevel="0" collapsed="false">
      <c r="L1081" s="37" t="str">
        <f aca="false">IF(C1081="","",IF(C1081&lt;=5,"Night (00-05)",IF(C1081&lt;=11,"Morning (06-11)",IF(C1081&lt;=16,"Afternoon (12-16)",IF(C1081&lt;=20,"Evening (17-20)","Late (21-23)")))))</f>
        <v/>
      </c>
    </row>
    <row r="1082" customFormat="false" ht="15" hidden="false" customHeight="false" outlineLevel="0" collapsed="false">
      <c r="L1082" s="37" t="str">
        <f aca="false">IF(C1082="","",IF(C1082&lt;=5,"Night (00-05)",IF(C1082&lt;=11,"Morning (06-11)",IF(C1082&lt;=16,"Afternoon (12-16)",IF(C1082&lt;=20,"Evening (17-20)","Late (21-23)")))))</f>
        <v/>
      </c>
    </row>
    <row r="1083" customFormat="false" ht="15" hidden="false" customHeight="false" outlineLevel="0" collapsed="false">
      <c r="L1083" s="37" t="str">
        <f aca="false">IF(C1083="","",IF(C1083&lt;=5,"Night (00-05)",IF(C1083&lt;=11,"Morning (06-11)",IF(C1083&lt;=16,"Afternoon (12-16)",IF(C1083&lt;=20,"Evening (17-20)","Late (21-23)")))))</f>
        <v/>
      </c>
    </row>
    <row r="1084" customFormat="false" ht="15" hidden="false" customHeight="false" outlineLevel="0" collapsed="false">
      <c r="L1084" s="37" t="str">
        <f aca="false">IF(C1084="","",IF(C1084&lt;=5,"Night (00-05)",IF(C1084&lt;=11,"Morning (06-11)",IF(C1084&lt;=16,"Afternoon (12-16)",IF(C1084&lt;=20,"Evening (17-20)","Late (21-23)")))))</f>
        <v/>
      </c>
    </row>
    <row r="1085" customFormat="false" ht="15" hidden="false" customHeight="false" outlineLevel="0" collapsed="false">
      <c r="L1085" s="37" t="str">
        <f aca="false">IF(C1085="","",IF(C1085&lt;=5,"Night (00-05)",IF(C1085&lt;=11,"Morning (06-11)",IF(C1085&lt;=16,"Afternoon (12-16)",IF(C1085&lt;=20,"Evening (17-20)","Late (21-23)")))))</f>
        <v/>
      </c>
    </row>
    <row r="1086" customFormat="false" ht="15" hidden="false" customHeight="false" outlineLevel="0" collapsed="false">
      <c r="L1086" s="37" t="str">
        <f aca="false">IF(C1086="","",IF(C1086&lt;=5,"Night (00-05)",IF(C1086&lt;=11,"Morning (06-11)",IF(C1086&lt;=16,"Afternoon (12-16)",IF(C1086&lt;=20,"Evening (17-20)","Late (21-23)")))))</f>
        <v/>
      </c>
    </row>
    <row r="1087" customFormat="false" ht="15" hidden="false" customHeight="false" outlineLevel="0" collapsed="false">
      <c r="L1087" s="37" t="str">
        <f aca="false">IF(C1087="","",IF(C1087&lt;=5,"Night (00-05)",IF(C1087&lt;=11,"Morning (06-11)",IF(C1087&lt;=16,"Afternoon (12-16)",IF(C1087&lt;=20,"Evening (17-20)","Late (21-23)")))))</f>
        <v/>
      </c>
    </row>
    <row r="1088" customFormat="false" ht="15" hidden="false" customHeight="false" outlineLevel="0" collapsed="false">
      <c r="L1088" s="37" t="str">
        <f aca="false">IF(C1088="","",IF(C1088&lt;=5,"Night (00-05)",IF(C1088&lt;=11,"Morning (06-11)",IF(C1088&lt;=16,"Afternoon (12-16)",IF(C1088&lt;=20,"Evening (17-20)","Late (21-23)")))))</f>
        <v/>
      </c>
    </row>
    <row r="1089" customFormat="false" ht="15" hidden="false" customHeight="false" outlineLevel="0" collapsed="false">
      <c r="L1089" s="37" t="str">
        <f aca="false">IF(C1089="","",IF(C1089&lt;=5,"Night (00-05)",IF(C1089&lt;=11,"Morning (06-11)",IF(C1089&lt;=16,"Afternoon (12-16)",IF(C1089&lt;=20,"Evening (17-20)","Late (21-23)")))))</f>
        <v/>
      </c>
    </row>
    <row r="1090" customFormat="false" ht="15" hidden="false" customHeight="false" outlineLevel="0" collapsed="false">
      <c r="L1090" s="37" t="str">
        <f aca="false">IF(C1090="","",IF(C1090&lt;=5,"Night (00-05)",IF(C1090&lt;=11,"Morning (06-11)",IF(C1090&lt;=16,"Afternoon (12-16)",IF(C1090&lt;=20,"Evening (17-20)","Late (21-23)")))))</f>
        <v/>
      </c>
    </row>
    <row r="1091" customFormat="false" ht="15" hidden="false" customHeight="false" outlineLevel="0" collapsed="false">
      <c r="L1091" s="37" t="str">
        <f aca="false">IF(C1091="","",IF(C1091&lt;=5,"Night (00-05)",IF(C1091&lt;=11,"Morning (06-11)",IF(C1091&lt;=16,"Afternoon (12-16)",IF(C1091&lt;=20,"Evening (17-20)","Late (21-23)")))))</f>
        <v/>
      </c>
    </row>
    <row r="1092" customFormat="false" ht="15" hidden="false" customHeight="false" outlineLevel="0" collapsed="false">
      <c r="L1092" s="37" t="str">
        <f aca="false">IF(C1092="","",IF(C1092&lt;=5,"Night (00-05)",IF(C1092&lt;=11,"Morning (06-11)",IF(C1092&lt;=16,"Afternoon (12-16)",IF(C1092&lt;=20,"Evening (17-20)","Late (21-23)")))))</f>
        <v/>
      </c>
    </row>
    <row r="1093" customFormat="false" ht="15" hidden="false" customHeight="false" outlineLevel="0" collapsed="false">
      <c r="L1093" s="37" t="str">
        <f aca="false">IF(C1093="","",IF(C1093&lt;=5,"Night (00-05)",IF(C1093&lt;=11,"Morning (06-11)",IF(C1093&lt;=16,"Afternoon (12-16)",IF(C1093&lt;=20,"Evening (17-20)","Late (21-23)")))))</f>
        <v/>
      </c>
    </row>
    <row r="1094" customFormat="false" ht="15" hidden="false" customHeight="false" outlineLevel="0" collapsed="false">
      <c r="L1094" s="37" t="str">
        <f aca="false">IF(C1094="","",IF(C1094&lt;=5,"Night (00-05)",IF(C1094&lt;=11,"Morning (06-11)",IF(C1094&lt;=16,"Afternoon (12-16)",IF(C1094&lt;=20,"Evening (17-20)","Late (21-23)")))))</f>
        <v/>
      </c>
    </row>
    <row r="1095" customFormat="false" ht="15" hidden="false" customHeight="false" outlineLevel="0" collapsed="false">
      <c r="L1095" s="37" t="str">
        <f aca="false">IF(C1095="","",IF(C1095&lt;=5,"Night (00-05)",IF(C1095&lt;=11,"Morning (06-11)",IF(C1095&lt;=16,"Afternoon (12-16)",IF(C1095&lt;=20,"Evening (17-20)","Late (21-23)")))))</f>
        <v/>
      </c>
    </row>
    <row r="1096" customFormat="false" ht="15" hidden="false" customHeight="false" outlineLevel="0" collapsed="false">
      <c r="L1096" s="37" t="str">
        <f aca="false">IF(C1096="","",IF(C1096&lt;=5,"Night (00-05)",IF(C1096&lt;=11,"Morning (06-11)",IF(C1096&lt;=16,"Afternoon (12-16)",IF(C1096&lt;=20,"Evening (17-20)","Late (21-23)")))))</f>
        <v/>
      </c>
    </row>
    <row r="1097" customFormat="false" ht="15" hidden="false" customHeight="false" outlineLevel="0" collapsed="false">
      <c r="L1097" s="37" t="str">
        <f aca="false">IF(C1097="","",IF(C1097&lt;=5,"Night (00-05)",IF(C1097&lt;=11,"Morning (06-11)",IF(C1097&lt;=16,"Afternoon (12-16)",IF(C1097&lt;=20,"Evening (17-20)","Late (21-23)")))))</f>
        <v/>
      </c>
    </row>
    <row r="1098" customFormat="false" ht="15" hidden="false" customHeight="false" outlineLevel="0" collapsed="false">
      <c r="L1098" s="37" t="str">
        <f aca="false">IF(C1098="","",IF(C1098&lt;=5,"Night (00-05)",IF(C1098&lt;=11,"Morning (06-11)",IF(C1098&lt;=16,"Afternoon (12-16)",IF(C1098&lt;=20,"Evening (17-20)","Late (21-23)")))))</f>
        <v/>
      </c>
    </row>
    <row r="1099" customFormat="false" ht="15" hidden="false" customHeight="false" outlineLevel="0" collapsed="false">
      <c r="L1099" s="37" t="str">
        <f aca="false">IF(C1099="","",IF(C1099&lt;=5,"Night (00-05)",IF(C1099&lt;=11,"Morning (06-11)",IF(C1099&lt;=16,"Afternoon (12-16)",IF(C1099&lt;=20,"Evening (17-20)","Late (21-23)")))))</f>
        <v/>
      </c>
    </row>
    <row r="1100" customFormat="false" ht="15" hidden="false" customHeight="false" outlineLevel="0" collapsed="false">
      <c r="L1100" s="37" t="str">
        <f aca="false">IF(C1100="","",IF(C1100&lt;=5,"Night (00-05)",IF(C1100&lt;=11,"Morning (06-11)",IF(C1100&lt;=16,"Afternoon (12-16)",IF(C1100&lt;=20,"Evening (17-20)","Late (21-23)")))))</f>
        <v/>
      </c>
    </row>
    <row r="1101" customFormat="false" ht="15" hidden="false" customHeight="false" outlineLevel="0" collapsed="false">
      <c r="L1101" s="37" t="str">
        <f aca="false">IF(C1101="","",IF(C1101&lt;=5,"Night (00-05)",IF(C1101&lt;=11,"Morning (06-11)",IF(C1101&lt;=16,"Afternoon (12-16)",IF(C1101&lt;=20,"Evening (17-20)","Late (21-23)")))))</f>
        <v/>
      </c>
    </row>
    <row r="1102" customFormat="false" ht="15" hidden="false" customHeight="false" outlineLevel="0" collapsed="false">
      <c r="L1102" s="37" t="str">
        <f aca="false">IF(C1102="","",IF(C1102&lt;=5,"Night (00-05)",IF(C1102&lt;=11,"Morning (06-11)",IF(C1102&lt;=16,"Afternoon (12-16)",IF(C1102&lt;=20,"Evening (17-20)","Late (21-23)")))))</f>
        <v/>
      </c>
    </row>
    <row r="1103" customFormat="false" ht="15" hidden="false" customHeight="false" outlineLevel="0" collapsed="false">
      <c r="L1103" s="37" t="str">
        <f aca="false">IF(C1103="","",IF(C1103&lt;=5,"Night (00-05)",IF(C1103&lt;=11,"Morning (06-11)",IF(C1103&lt;=16,"Afternoon (12-16)",IF(C1103&lt;=20,"Evening (17-20)","Late (21-23)")))))</f>
        <v/>
      </c>
    </row>
    <row r="1104" customFormat="false" ht="15" hidden="false" customHeight="false" outlineLevel="0" collapsed="false">
      <c r="L1104" s="37" t="str">
        <f aca="false">IF(C1104="","",IF(C1104&lt;=5,"Night (00-05)",IF(C1104&lt;=11,"Morning (06-11)",IF(C1104&lt;=16,"Afternoon (12-16)",IF(C1104&lt;=20,"Evening (17-20)","Late (21-23)")))))</f>
        <v/>
      </c>
    </row>
    <row r="1105" customFormat="false" ht="15" hidden="false" customHeight="false" outlineLevel="0" collapsed="false">
      <c r="L1105" s="37" t="str">
        <f aca="false">IF(C1105="","",IF(C1105&lt;=5,"Night (00-05)",IF(C1105&lt;=11,"Morning (06-11)",IF(C1105&lt;=16,"Afternoon (12-16)",IF(C1105&lt;=20,"Evening (17-20)","Late (21-23)")))))</f>
        <v/>
      </c>
    </row>
    <row r="1106" customFormat="false" ht="15" hidden="false" customHeight="false" outlineLevel="0" collapsed="false">
      <c r="L1106" s="37" t="str">
        <f aca="false">IF(C1106="","",IF(C1106&lt;=5,"Night (00-05)",IF(C1106&lt;=11,"Morning (06-11)",IF(C1106&lt;=16,"Afternoon (12-16)",IF(C1106&lt;=20,"Evening (17-20)","Late (21-23)")))))</f>
        <v/>
      </c>
    </row>
    <row r="1107" customFormat="false" ht="15" hidden="false" customHeight="false" outlineLevel="0" collapsed="false">
      <c r="L1107" s="37" t="str">
        <f aca="false">IF(C1107="","",IF(C1107&lt;=5,"Night (00-05)",IF(C1107&lt;=11,"Morning (06-11)",IF(C1107&lt;=16,"Afternoon (12-16)",IF(C1107&lt;=20,"Evening (17-20)","Late (21-23)")))))</f>
        <v/>
      </c>
    </row>
    <row r="1108" customFormat="false" ht="15" hidden="false" customHeight="false" outlineLevel="0" collapsed="false">
      <c r="L1108" s="37" t="str">
        <f aca="false">IF(C1108="","",IF(C1108&lt;=5,"Night (00-05)",IF(C1108&lt;=11,"Morning (06-11)",IF(C1108&lt;=16,"Afternoon (12-16)",IF(C1108&lt;=20,"Evening (17-20)","Late (21-23)")))))</f>
        <v/>
      </c>
    </row>
    <row r="1109" customFormat="false" ht="15" hidden="false" customHeight="false" outlineLevel="0" collapsed="false">
      <c r="L1109" s="37" t="str">
        <f aca="false">IF(C1109="","",IF(C1109&lt;=5,"Night (00-05)",IF(C1109&lt;=11,"Morning (06-11)",IF(C1109&lt;=16,"Afternoon (12-16)",IF(C1109&lt;=20,"Evening (17-20)","Late (21-23)")))))</f>
        <v/>
      </c>
    </row>
    <row r="1110" customFormat="false" ht="15" hidden="false" customHeight="false" outlineLevel="0" collapsed="false">
      <c r="L1110" s="37" t="str">
        <f aca="false">IF(C1110="","",IF(C1110&lt;=5,"Night (00-05)",IF(C1110&lt;=11,"Morning (06-11)",IF(C1110&lt;=16,"Afternoon (12-16)",IF(C1110&lt;=20,"Evening (17-20)","Late (21-23)")))))</f>
        <v/>
      </c>
    </row>
    <row r="1111" customFormat="false" ht="15" hidden="false" customHeight="false" outlineLevel="0" collapsed="false">
      <c r="L1111" s="37" t="str">
        <f aca="false">IF(C1111="","",IF(C1111&lt;=5,"Night (00-05)",IF(C1111&lt;=11,"Morning (06-11)",IF(C1111&lt;=16,"Afternoon (12-16)",IF(C1111&lt;=20,"Evening (17-20)","Late (21-23)")))))</f>
        <v/>
      </c>
    </row>
    <row r="1112" customFormat="false" ht="15" hidden="false" customHeight="false" outlineLevel="0" collapsed="false">
      <c r="L1112" s="37" t="str">
        <f aca="false">IF(C1112="","",IF(C1112&lt;=5,"Night (00-05)",IF(C1112&lt;=11,"Morning (06-11)",IF(C1112&lt;=16,"Afternoon (12-16)",IF(C1112&lt;=20,"Evening (17-20)","Late (21-23)")))))</f>
        <v/>
      </c>
    </row>
    <row r="1113" customFormat="false" ht="15" hidden="false" customHeight="false" outlineLevel="0" collapsed="false">
      <c r="L1113" s="37" t="str">
        <f aca="false">IF(C1113="","",IF(C1113&lt;=5,"Night (00-05)",IF(C1113&lt;=11,"Morning (06-11)",IF(C1113&lt;=16,"Afternoon (12-16)",IF(C1113&lt;=20,"Evening (17-20)","Late (21-23)")))))</f>
        <v/>
      </c>
    </row>
    <row r="1114" customFormat="false" ht="15" hidden="false" customHeight="false" outlineLevel="0" collapsed="false">
      <c r="L1114" s="37" t="str">
        <f aca="false">IF(C1114="","",IF(C1114&lt;=5,"Night (00-05)",IF(C1114&lt;=11,"Morning (06-11)",IF(C1114&lt;=16,"Afternoon (12-16)",IF(C1114&lt;=20,"Evening (17-20)","Late (21-23)")))))</f>
        <v/>
      </c>
    </row>
    <row r="1115" customFormat="false" ht="15" hidden="false" customHeight="false" outlineLevel="0" collapsed="false">
      <c r="L1115" s="37" t="str">
        <f aca="false">IF(C1115="","",IF(C1115&lt;=5,"Night (00-05)",IF(C1115&lt;=11,"Morning (06-11)",IF(C1115&lt;=16,"Afternoon (12-16)",IF(C1115&lt;=20,"Evening (17-20)","Late (21-23)")))))</f>
        <v/>
      </c>
    </row>
    <row r="1116" customFormat="false" ht="15" hidden="false" customHeight="false" outlineLevel="0" collapsed="false">
      <c r="L1116" s="37" t="str">
        <f aca="false">IF(C1116="","",IF(C1116&lt;=5,"Night (00-05)",IF(C1116&lt;=11,"Morning (06-11)",IF(C1116&lt;=16,"Afternoon (12-16)",IF(C1116&lt;=20,"Evening (17-20)","Late (21-23)")))))</f>
        <v/>
      </c>
    </row>
    <row r="1117" customFormat="false" ht="15" hidden="false" customHeight="false" outlineLevel="0" collapsed="false">
      <c r="L1117" s="37" t="str">
        <f aca="false">IF(C1117="","",IF(C1117&lt;=5,"Night (00-05)",IF(C1117&lt;=11,"Morning (06-11)",IF(C1117&lt;=16,"Afternoon (12-16)",IF(C1117&lt;=20,"Evening (17-20)","Late (21-23)")))))</f>
        <v/>
      </c>
    </row>
    <row r="1118" customFormat="false" ht="15" hidden="false" customHeight="false" outlineLevel="0" collapsed="false">
      <c r="L1118" s="37" t="str">
        <f aca="false">IF(C1118="","",IF(C1118&lt;=5,"Night (00-05)",IF(C1118&lt;=11,"Morning (06-11)",IF(C1118&lt;=16,"Afternoon (12-16)",IF(C1118&lt;=20,"Evening (17-20)","Late (21-23)")))))</f>
        <v/>
      </c>
    </row>
    <row r="1119" customFormat="false" ht="15" hidden="false" customHeight="false" outlineLevel="0" collapsed="false">
      <c r="L1119" s="37" t="str">
        <f aca="false">IF(C1119="","",IF(C1119&lt;=5,"Night (00-05)",IF(C1119&lt;=11,"Morning (06-11)",IF(C1119&lt;=16,"Afternoon (12-16)",IF(C1119&lt;=20,"Evening (17-20)","Late (21-23)")))))</f>
        <v/>
      </c>
    </row>
    <row r="1120" customFormat="false" ht="15" hidden="false" customHeight="false" outlineLevel="0" collapsed="false">
      <c r="L1120" s="37" t="str">
        <f aca="false">IF(C1120="","",IF(C1120&lt;=5,"Night (00-05)",IF(C1120&lt;=11,"Morning (06-11)",IF(C1120&lt;=16,"Afternoon (12-16)",IF(C1120&lt;=20,"Evening (17-20)","Late (21-23)")))))</f>
        <v/>
      </c>
    </row>
    <row r="1121" customFormat="false" ht="15" hidden="false" customHeight="false" outlineLevel="0" collapsed="false">
      <c r="L1121" s="37" t="str">
        <f aca="false">IF(C1121="","",IF(C1121&lt;=5,"Night (00-05)",IF(C1121&lt;=11,"Morning (06-11)",IF(C1121&lt;=16,"Afternoon (12-16)",IF(C1121&lt;=20,"Evening (17-20)","Late (21-23)")))))</f>
        <v/>
      </c>
    </row>
    <row r="1122" customFormat="false" ht="15" hidden="false" customHeight="false" outlineLevel="0" collapsed="false">
      <c r="L1122" s="37" t="str">
        <f aca="false">IF(C1122="","",IF(C1122&lt;=5,"Night (00-05)",IF(C1122&lt;=11,"Morning (06-11)",IF(C1122&lt;=16,"Afternoon (12-16)",IF(C1122&lt;=20,"Evening (17-20)","Late (21-23)")))))</f>
        <v/>
      </c>
    </row>
    <row r="1123" customFormat="false" ht="15" hidden="false" customHeight="false" outlineLevel="0" collapsed="false">
      <c r="L1123" s="37" t="str">
        <f aca="false">IF(C1123="","",IF(C1123&lt;=5,"Night (00-05)",IF(C1123&lt;=11,"Morning (06-11)",IF(C1123&lt;=16,"Afternoon (12-16)",IF(C1123&lt;=20,"Evening (17-20)","Late (21-23)")))))</f>
        <v/>
      </c>
    </row>
    <row r="1124" customFormat="false" ht="15" hidden="false" customHeight="false" outlineLevel="0" collapsed="false">
      <c r="L1124" s="37" t="str">
        <f aca="false">IF(C1124="","",IF(C1124&lt;=5,"Night (00-05)",IF(C1124&lt;=11,"Morning (06-11)",IF(C1124&lt;=16,"Afternoon (12-16)",IF(C1124&lt;=20,"Evening (17-20)","Late (21-23)")))))</f>
        <v/>
      </c>
    </row>
    <row r="1125" customFormat="false" ht="15" hidden="false" customHeight="false" outlineLevel="0" collapsed="false">
      <c r="L1125" s="37" t="str">
        <f aca="false">IF(C1125="","",IF(C1125&lt;=5,"Night (00-05)",IF(C1125&lt;=11,"Morning (06-11)",IF(C1125&lt;=16,"Afternoon (12-16)",IF(C1125&lt;=20,"Evening (17-20)","Late (21-23)")))))</f>
        <v/>
      </c>
    </row>
    <row r="1126" customFormat="false" ht="15" hidden="false" customHeight="false" outlineLevel="0" collapsed="false">
      <c r="L1126" s="37" t="str">
        <f aca="false">IF(C1126="","",IF(C1126&lt;=5,"Night (00-05)",IF(C1126&lt;=11,"Morning (06-11)",IF(C1126&lt;=16,"Afternoon (12-16)",IF(C1126&lt;=20,"Evening (17-20)","Late (21-23)")))))</f>
        <v/>
      </c>
    </row>
    <row r="1127" customFormat="false" ht="15" hidden="false" customHeight="false" outlineLevel="0" collapsed="false">
      <c r="L1127" s="37" t="str">
        <f aca="false">IF(C1127="","",IF(C1127&lt;=5,"Night (00-05)",IF(C1127&lt;=11,"Morning (06-11)",IF(C1127&lt;=16,"Afternoon (12-16)",IF(C1127&lt;=20,"Evening (17-20)","Late (21-23)")))))</f>
        <v/>
      </c>
    </row>
    <row r="1128" customFormat="false" ht="15" hidden="false" customHeight="false" outlineLevel="0" collapsed="false">
      <c r="L1128" s="37" t="str">
        <f aca="false">IF(C1128="","",IF(C1128&lt;=5,"Night (00-05)",IF(C1128&lt;=11,"Morning (06-11)",IF(C1128&lt;=16,"Afternoon (12-16)",IF(C1128&lt;=20,"Evening (17-20)","Late (21-23)")))))</f>
        <v/>
      </c>
    </row>
    <row r="1129" customFormat="false" ht="15" hidden="false" customHeight="false" outlineLevel="0" collapsed="false">
      <c r="L1129" s="37" t="str">
        <f aca="false">IF(C1129="","",IF(C1129&lt;=5,"Night (00-05)",IF(C1129&lt;=11,"Morning (06-11)",IF(C1129&lt;=16,"Afternoon (12-16)",IF(C1129&lt;=20,"Evening (17-20)","Late (21-23)")))))</f>
        <v/>
      </c>
    </row>
    <row r="1130" customFormat="false" ht="15" hidden="false" customHeight="false" outlineLevel="0" collapsed="false">
      <c r="L1130" s="37" t="str">
        <f aca="false">IF(C1130="","",IF(C1130&lt;=5,"Night (00-05)",IF(C1130&lt;=11,"Morning (06-11)",IF(C1130&lt;=16,"Afternoon (12-16)",IF(C1130&lt;=20,"Evening (17-20)","Late (21-23)")))))</f>
        <v/>
      </c>
    </row>
    <row r="1131" customFormat="false" ht="15" hidden="false" customHeight="false" outlineLevel="0" collapsed="false">
      <c r="L1131" s="37" t="str">
        <f aca="false">IF(C1131="","",IF(C1131&lt;=5,"Night (00-05)",IF(C1131&lt;=11,"Morning (06-11)",IF(C1131&lt;=16,"Afternoon (12-16)",IF(C1131&lt;=20,"Evening (17-20)","Late (21-23)")))))</f>
        <v/>
      </c>
    </row>
    <row r="1132" customFormat="false" ht="15" hidden="false" customHeight="false" outlineLevel="0" collapsed="false">
      <c r="L1132" s="37" t="str">
        <f aca="false">IF(C1132="","",IF(C1132&lt;=5,"Night (00-05)",IF(C1132&lt;=11,"Morning (06-11)",IF(C1132&lt;=16,"Afternoon (12-16)",IF(C1132&lt;=20,"Evening (17-20)","Late (21-23)")))))</f>
        <v/>
      </c>
    </row>
    <row r="1133" customFormat="false" ht="15" hidden="false" customHeight="false" outlineLevel="0" collapsed="false">
      <c r="L1133" s="37" t="str">
        <f aca="false">IF(C1133="","",IF(C1133&lt;=5,"Night (00-05)",IF(C1133&lt;=11,"Morning (06-11)",IF(C1133&lt;=16,"Afternoon (12-16)",IF(C1133&lt;=20,"Evening (17-20)","Late (21-23)")))))</f>
        <v/>
      </c>
    </row>
    <row r="1134" customFormat="false" ht="15" hidden="false" customHeight="false" outlineLevel="0" collapsed="false">
      <c r="L1134" s="37" t="str">
        <f aca="false">IF(C1134="","",IF(C1134&lt;=5,"Night (00-05)",IF(C1134&lt;=11,"Morning (06-11)",IF(C1134&lt;=16,"Afternoon (12-16)",IF(C1134&lt;=20,"Evening (17-20)","Late (21-23)")))))</f>
        <v/>
      </c>
    </row>
    <row r="1135" customFormat="false" ht="15" hidden="false" customHeight="false" outlineLevel="0" collapsed="false">
      <c r="L1135" s="37" t="str">
        <f aca="false">IF(C1135="","",IF(C1135&lt;=5,"Night (00-05)",IF(C1135&lt;=11,"Morning (06-11)",IF(C1135&lt;=16,"Afternoon (12-16)",IF(C1135&lt;=20,"Evening (17-20)","Late (21-23)")))))</f>
        <v/>
      </c>
    </row>
    <row r="1136" customFormat="false" ht="15" hidden="false" customHeight="false" outlineLevel="0" collapsed="false">
      <c r="L1136" s="37" t="str">
        <f aca="false">IF(C1136="","",IF(C1136&lt;=5,"Night (00-05)",IF(C1136&lt;=11,"Morning (06-11)",IF(C1136&lt;=16,"Afternoon (12-16)",IF(C1136&lt;=20,"Evening (17-20)","Late (21-23)")))))</f>
        <v/>
      </c>
    </row>
    <row r="1137" customFormat="false" ht="15" hidden="false" customHeight="false" outlineLevel="0" collapsed="false">
      <c r="L1137" s="37" t="str">
        <f aca="false">IF(C1137="","",IF(C1137&lt;=5,"Night (00-05)",IF(C1137&lt;=11,"Morning (06-11)",IF(C1137&lt;=16,"Afternoon (12-16)",IF(C1137&lt;=20,"Evening (17-20)","Late (21-23)")))))</f>
        <v/>
      </c>
    </row>
    <row r="1138" customFormat="false" ht="15" hidden="false" customHeight="false" outlineLevel="0" collapsed="false">
      <c r="L1138" s="37" t="str">
        <f aca="false">IF(C1138="","",IF(C1138&lt;=5,"Night (00-05)",IF(C1138&lt;=11,"Morning (06-11)",IF(C1138&lt;=16,"Afternoon (12-16)",IF(C1138&lt;=20,"Evening (17-20)","Late (21-23)")))))</f>
        <v/>
      </c>
    </row>
    <row r="1139" customFormat="false" ht="15" hidden="false" customHeight="false" outlineLevel="0" collapsed="false">
      <c r="L1139" s="37" t="str">
        <f aca="false">IF(C1139="","",IF(C1139&lt;=5,"Night (00-05)",IF(C1139&lt;=11,"Morning (06-11)",IF(C1139&lt;=16,"Afternoon (12-16)",IF(C1139&lt;=20,"Evening (17-20)","Late (21-23)")))))</f>
        <v/>
      </c>
    </row>
    <row r="1140" customFormat="false" ht="15" hidden="false" customHeight="false" outlineLevel="0" collapsed="false">
      <c r="L1140" s="37" t="str">
        <f aca="false">IF(C1140="","",IF(C1140&lt;=5,"Night (00-05)",IF(C1140&lt;=11,"Morning (06-11)",IF(C1140&lt;=16,"Afternoon (12-16)",IF(C1140&lt;=20,"Evening (17-20)","Late (21-23)")))))</f>
        <v/>
      </c>
    </row>
    <row r="1141" customFormat="false" ht="15" hidden="false" customHeight="false" outlineLevel="0" collapsed="false">
      <c r="L1141" s="37" t="str">
        <f aca="false">IF(C1141="","",IF(C1141&lt;=5,"Night (00-05)",IF(C1141&lt;=11,"Morning (06-11)",IF(C1141&lt;=16,"Afternoon (12-16)",IF(C1141&lt;=20,"Evening (17-20)","Late (21-23)")))))</f>
        <v/>
      </c>
    </row>
    <row r="1142" customFormat="false" ht="15" hidden="false" customHeight="false" outlineLevel="0" collapsed="false">
      <c r="L1142" s="37" t="str">
        <f aca="false">IF(C1142="","",IF(C1142&lt;=5,"Night (00-05)",IF(C1142&lt;=11,"Morning (06-11)",IF(C1142&lt;=16,"Afternoon (12-16)",IF(C1142&lt;=20,"Evening (17-20)","Late (21-23)")))))</f>
        <v/>
      </c>
    </row>
    <row r="1143" customFormat="false" ht="15" hidden="false" customHeight="false" outlineLevel="0" collapsed="false">
      <c r="L1143" s="37" t="str">
        <f aca="false">IF(C1143="","",IF(C1143&lt;=5,"Night (00-05)",IF(C1143&lt;=11,"Morning (06-11)",IF(C1143&lt;=16,"Afternoon (12-16)",IF(C1143&lt;=20,"Evening (17-20)","Late (21-23)")))))</f>
        <v/>
      </c>
    </row>
    <row r="1144" customFormat="false" ht="15" hidden="false" customHeight="false" outlineLevel="0" collapsed="false">
      <c r="L1144" s="37" t="str">
        <f aca="false">IF(C1144="","",IF(C1144&lt;=5,"Night (00-05)",IF(C1144&lt;=11,"Morning (06-11)",IF(C1144&lt;=16,"Afternoon (12-16)",IF(C1144&lt;=20,"Evening (17-20)","Late (21-23)")))))</f>
        <v/>
      </c>
    </row>
    <row r="1145" customFormat="false" ht="15" hidden="false" customHeight="false" outlineLevel="0" collapsed="false">
      <c r="L1145" s="37" t="str">
        <f aca="false">IF(C1145="","",IF(C1145&lt;=5,"Night (00-05)",IF(C1145&lt;=11,"Morning (06-11)",IF(C1145&lt;=16,"Afternoon (12-16)",IF(C1145&lt;=20,"Evening (17-20)","Late (21-23)")))))</f>
        <v/>
      </c>
    </row>
    <row r="1146" customFormat="false" ht="15" hidden="false" customHeight="false" outlineLevel="0" collapsed="false">
      <c r="L1146" s="37" t="str">
        <f aca="false">IF(C1146="","",IF(C1146&lt;=5,"Night (00-05)",IF(C1146&lt;=11,"Morning (06-11)",IF(C1146&lt;=16,"Afternoon (12-16)",IF(C1146&lt;=20,"Evening (17-20)","Late (21-23)")))))</f>
        <v/>
      </c>
    </row>
    <row r="1147" customFormat="false" ht="15" hidden="false" customHeight="false" outlineLevel="0" collapsed="false">
      <c r="L1147" s="37" t="str">
        <f aca="false">IF(C1147="","",IF(C1147&lt;=5,"Night (00-05)",IF(C1147&lt;=11,"Morning (06-11)",IF(C1147&lt;=16,"Afternoon (12-16)",IF(C1147&lt;=20,"Evening (17-20)","Late (21-23)")))))</f>
        <v/>
      </c>
    </row>
    <row r="1148" customFormat="false" ht="15" hidden="false" customHeight="false" outlineLevel="0" collapsed="false">
      <c r="L1148" s="37" t="str">
        <f aca="false">IF(C1148="","",IF(C1148&lt;=5,"Night (00-05)",IF(C1148&lt;=11,"Morning (06-11)",IF(C1148&lt;=16,"Afternoon (12-16)",IF(C1148&lt;=20,"Evening (17-20)","Late (21-23)")))))</f>
        <v/>
      </c>
    </row>
    <row r="1149" customFormat="false" ht="15" hidden="false" customHeight="false" outlineLevel="0" collapsed="false">
      <c r="L1149" s="37" t="str">
        <f aca="false">IF(C1149="","",IF(C1149&lt;=5,"Night (00-05)",IF(C1149&lt;=11,"Morning (06-11)",IF(C1149&lt;=16,"Afternoon (12-16)",IF(C1149&lt;=20,"Evening (17-20)","Late (21-23)")))))</f>
        <v/>
      </c>
    </row>
    <row r="1150" customFormat="false" ht="15" hidden="false" customHeight="false" outlineLevel="0" collapsed="false">
      <c r="L1150" s="37" t="str">
        <f aca="false">IF(C1150="","",IF(C1150&lt;=5,"Night (00-05)",IF(C1150&lt;=11,"Morning (06-11)",IF(C1150&lt;=16,"Afternoon (12-16)",IF(C1150&lt;=20,"Evening (17-20)","Late (21-23)")))))</f>
        <v/>
      </c>
    </row>
    <row r="1151" customFormat="false" ht="15" hidden="false" customHeight="false" outlineLevel="0" collapsed="false">
      <c r="L1151" s="37" t="str">
        <f aca="false">IF(C1151="","",IF(C1151&lt;=5,"Night (00-05)",IF(C1151&lt;=11,"Morning (06-11)",IF(C1151&lt;=16,"Afternoon (12-16)",IF(C1151&lt;=20,"Evening (17-20)","Late (21-23)")))))</f>
        <v/>
      </c>
    </row>
    <row r="1152" customFormat="false" ht="15" hidden="false" customHeight="false" outlineLevel="0" collapsed="false">
      <c r="L1152" s="37" t="str">
        <f aca="false">IF(C1152="","",IF(C1152&lt;=5,"Night (00-05)",IF(C1152&lt;=11,"Morning (06-11)",IF(C1152&lt;=16,"Afternoon (12-16)",IF(C1152&lt;=20,"Evening (17-20)","Late (21-23)")))))</f>
        <v/>
      </c>
    </row>
    <row r="1153" customFormat="false" ht="15" hidden="false" customHeight="false" outlineLevel="0" collapsed="false">
      <c r="L1153" s="37" t="str">
        <f aca="false">IF(C1153="","",IF(C1153&lt;=5,"Night (00-05)",IF(C1153&lt;=11,"Morning (06-11)",IF(C1153&lt;=16,"Afternoon (12-16)",IF(C1153&lt;=20,"Evening (17-20)","Late (21-23)")))))</f>
        <v/>
      </c>
    </row>
    <row r="1154" customFormat="false" ht="15" hidden="false" customHeight="false" outlineLevel="0" collapsed="false">
      <c r="L1154" s="37" t="str">
        <f aca="false">IF(C1154="","",IF(C1154&lt;=5,"Night (00-05)",IF(C1154&lt;=11,"Morning (06-11)",IF(C1154&lt;=16,"Afternoon (12-16)",IF(C1154&lt;=20,"Evening (17-20)","Late (21-23)")))))</f>
        <v/>
      </c>
    </row>
    <row r="1155" customFormat="false" ht="15" hidden="false" customHeight="false" outlineLevel="0" collapsed="false">
      <c r="L1155" s="37" t="str">
        <f aca="false">IF(C1155="","",IF(C1155&lt;=5,"Night (00-05)",IF(C1155&lt;=11,"Morning (06-11)",IF(C1155&lt;=16,"Afternoon (12-16)",IF(C1155&lt;=20,"Evening (17-20)","Late (21-23)")))))</f>
        <v/>
      </c>
    </row>
    <row r="1156" customFormat="false" ht="15" hidden="false" customHeight="false" outlineLevel="0" collapsed="false">
      <c r="L1156" s="37" t="str">
        <f aca="false">IF(C1156="","",IF(C1156&lt;=5,"Night (00-05)",IF(C1156&lt;=11,"Morning (06-11)",IF(C1156&lt;=16,"Afternoon (12-16)",IF(C1156&lt;=20,"Evening (17-20)","Late (21-23)")))))</f>
        <v/>
      </c>
    </row>
    <row r="1157" customFormat="false" ht="15" hidden="false" customHeight="false" outlineLevel="0" collapsed="false">
      <c r="L1157" s="37" t="str">
        <f aca="false">IF(C1157="","",IF(C1157&lt;=5,"Night (00-05)",IF(C1157&lt;=11,"Morning (06-11)",IF(C1157&lt;=16,"Afternoon (12-16)",IF(C1157&lt;=20,"Evening (17-20)","Late (21-23)")))))</f>
        <v/>
      </c>
    </row>
    <row r="1158" customFormat="false" ht="15" hidden="false" customHeight="false" outlineLevel="0" collapsed="false">
      <c r="L1158" s="37" t="str">
        <f aca="false">IF(C1158="","",IF(C1158&lt;=5,"Night (00-05)",IF(C1158&lt;=11,"Morning (06-11)",IF(C1158&lt;=16,"Afternoon (12-16)",IF(C1158&lt;=20,"Evening (17-20)","Late (21-23)")))))</f>
        <v/>
      </c>
    </row>
    <row r="1159" customFormat="false" ht="15" hidden="false" customHeight="false" outlineLevel="0" collapsed="false">
      <c r="L1159" s="37" t="str">
        <f aca="false">IF(C1159="","",IF(C1159&lt;=5,"Night (00-05)",IF(C1159&lt;=11,"Morning (06-11)",IF(C1159&lt;=16,"Afternoon (12-16)",IF(C1159&lt;=20,"Evening (17-20)","Late (21-23)")))))</f>
        <v/>
      </c>
    </row>
    <row r="1160" customFormat="false" ht="15" hidden="false" customHeight="false" outlineLevel="0" collapsed="false">
      <c r="L1160" s="37" t="str">
        <f aca="false">IF(C1160="","",IF(C1160&lt;=5,"Night (00-05)",IF(C1160&lt;=11,"Morning (06-11)",IF(C1160&lt;=16,"Afternoon (12-16)",IF(C1160&lt;=20,"Evening (17-20)","Late (21-23)")))))</f>
        <v/>
      </c>
    </row>
    <row r="1161" customFormat="false" ht="15" hidden="false" customHeight="false" outlineLevel="0" collapsed="false">
      <c r="L1161" s="37" t="str">
        <f aca="false">IF(C1161="","",IF(C1161&lt;=5,"Night (00-05)",IF(C1161&lt;=11,"Morning (06-11)",IF(C1161&lt;=16,"Afternoon (12-16)",IF(C1161&lt;=20,"Evening (17-20)","Late (21-23)")))))</f>
        <v/>
      </c>
    </row>
    <row r="1162" customFormat="false" ht="15" hidden="false" customHeight="false" outlineLevel="0" collapsed="false">
      <c r="L1162" s="37" t="str">
        <f aca="false">IF(C1162="","",IF(C1162&lt;=5,"Night (00-05)",IF(C1162&lt;=11,"Morning (06-11)",IF(C1162&lt;=16,"Afternoon (12-16)",IF(C1162&lt;=20,"Evening (17-20)","Late (21-23)")))))</f>
        <v/>
      </c>
    </row>
    <row r="1163" customFormat="false" ht="15" hidden="false" customHeight="false" outlineLevel="0" collapsed="false">
      <c r="L1163" s="37" t="str">
        <f aca="false">IF(C1163="","",IF(C1163&lt;=5,"Night (00-05)",IF(C1163&lt;=11,"Morning (06-11)",IF(C1163&lt;=16,"Afternoon (12-16)",IF(C1163&lt;=20,"Evening (17-20)","Late (21-23)")))))</f>
        <v/>
      </c>
    </row>
    <row r="1164" customFormat="false" ht="15" hidden="false" customHeight="false" outlineLevel="0" collapsed="false">
      <c r="L1164" s="37" t="str">
        <f aca="false">IF(C1164="","",IF(C1164&lt;=5,"Night (00-05)",IF(C1164&lt;=11,"Morning (06-11)",IF(C1164&lt;=16,"Afternoon (12-16)",IF(C1164&lt;=20,"Evening (17-20)","Late (21-23)")))))</f>
        <v/>
      </c>
    </row>
    <row r="1165" customFormat="false" ht="15" hidden="false" customHeight="false" outlineLevel="0" collapsed="false">
      <c r="L1165" s="37" t="str">
        <f aca="false">IF(C1165="","",IF(C1165&lt;=5,"Night (00-05)",IF(C1165&lt;=11,"Morning (06-11)",IF(C1165&lt;=16,"Afternoon (12-16)",IF(C1165&lt;=20,"Evening (17-20)","Late (21-23)")))))</f>
        <v/>
      </c>
    </row>
    <row r="1166" customFormat="false" ht="15" hidden="false" customHeight="false" outlineLevel="0" collapsed="false">
      <c r="L1166" s="37" t="str">
        <f aca="false">IF(C1166="","",IF(C1166&lt;=5,"Night (00-05)",IF(C1166&lt;=11,"Morning (06-11)",IF(C1166&lt;=16,"Afternoon (12-16)",IF(C1166&lt;=20,"Evening (17-20)","Late (21-23)")))))</f>
        <v/>
      </c>
    </row>
    <row r="1167" customFormat="false" ht="15" hidden="false" customHeight="false" outlineLevel="0" collapsed="false">
      <c r="L1167" s="37" t="str">
        <f aca="false">IF(C1167="","",IF(C1167&lt;=5,"Night (00-05)",IF(C1167&lt;=11,"Morning (06-11)",IF(C1167&lt;=16,"Afternoon (12-16)",IF(C1167&lt;=20,"Evening (17-20)","Late (21-23)")))))</f>
        <v/>
      </c>
    </row>
    <row r="1168" customFormat="false" ht="15" hidden="false" customHeight="false" outlineLevel="0" collapsed="false">
      <c r="L1168" s="37" t="str">
        <f aca="false">IF(C1168="","",IF(C1168&lt;=5,"Night (00-05)",IF(C1168&lt;=11,"Morning (06-11)",IF(C1168&lt;=16,"Afternoon (12-16)",IF(C1168&lt;=20,"Evening (17-20)","Late (21-23)")))))</f>
        <v/>
      </c>
    </row>
    <row r="1169" customFormat="false" ht="15" hidden="false" customHeight="false" outlineLevel="0" collapsed="false">
      <c r="L1169" s="37" t="str">
        <f aca="false">IF(C1169="","",IF(C1169&lt;=5,"Night (00-05)",IF(C1169&lt;=11,"Morning (06-11)",IF(C1169&lt;=16,"Afternoon (12-16)",IF(C1169&lt;=20,"Evening (17-20)","Late (21-23)")))))</f>
        <v/>
      </c>
    </row>
    <row r="1170" customFormat="false" ht="15" hidden="false" customHeight="false" outlineLevel="0" collapsed="false">
      <c r="L1170" s="37" t="str">
        <f aca="false">IF(C1170="","",IF(C1170&lt;=5,"Night (00-05)",IF(C1170&lt;=11,"Morning (06-11)",IF(C1170&lt;=16,"Afternoon (12-16)",IF(C1170&lt;=20,"Evening (17-20)","Late (21-23)")))))</f>
        <v/>
      </c>
    </row>
    <row r="1171" customFormat="false" ht="15" hidden="false" customHeight="false" outlineLevel="0" collapsed="false">
      <c r="L1171" s="37" t="str">
        <f aca="false">IF(C1171="","",IF(C1171&lt;=5,"Night (00-05)",IF(C1171&lt;=11,"Morning (06-11)",IF(C1171&lt;=16,"Afternoon (12-16)",IF(C1171&lt;=20,"Evening (17-20)","Late (21-23)")))))</f>
        <v/>
      </c>
    </row>
    <row r="1172" customFormat="false" ht="15" hidden="false" customHeight="false" outlineLevel="0" collapsed="false">
      <c r="L1172" s="37" t="str">
        <f aca="false">IF(C1172="","",IF(C1172&lt;=5,"Night (00-05)",IF(C1172&lt;=11,"Morning (06-11)",IF(C1172&lt;=16,"Afternoon (12-16)",IF(C1172&lt;=20,"Evening (17-20)","Late (21-23)")))))</f>
        <v/>
      </c>
    </row>
    <row r="1173" customFormat="false" ht="15" hidden="false" customHeight="false" outlineLevel="0" collapsed="false">
      <c r="L1173" s="37" t="str">
        <f aca="false">IF(C1173="","",IF(C1173&lt;=5,"Night (00-05)",IF(C1173&lt;=11,"Morning (06-11)",IF(C1173&lt;=16,"Afternoon (12-16)",IF(C1173&lt;=20,"Evening (17-20)","Late (21-23)")))))</f>
        <v/>
      </c>
    </row>
    <row r="1174" customFormat="false" ht="15" hidden="false" customHeight="false" outlineLevel="0" collapsed="false">
      <c r="L1174" s="37" t="str">
        <f aca="false">IF(C1174="","",IF(C1174&lt;=5,"Night (00-05)",IF(C1174&lt;=11,"Morning (06-11)",IF(C1174&lt;=16,"Afternoon (12-16)",IF(C1174&lt;=20,"Evening (17-20)","Late (21-23)")))))</f>
        <v/>
      </c>
    </row>
    <row r="1175" customFormat="false" ht="15" hidden="false" customHeight="false" outlineLevel="0" collapsed="false">
      <c r="L1175" s="37" t="str">
        <f aca="false">IF(C1175="","",IF(C1175&lt;=5,"Night (00-05)",IF(C1175&lt;=11,"Morning (06-11)",IF(C1175&lt;=16,"Afternoon (12-16)",IF(C1175&lt;=20,"Evening (17-20)","Late (21-23)")))))</f>
        <v/>
      </c>
    </row>
    <row r="1176" customFormat="false" ht="15" hidden="false" customHeight="false" outlineLevel="0" collapsed="false">
      <c r="L1176" s="37" t="str">
        <f aca="false">IF(C1176="","",IF(C1176&lt;=5,"Night (00-05)",IF(C1176&lt;=11,"Morning (06-11)",IF(C1176&lt;=16,"Afternoon (12-16)",IF(C1176&lt;=20,"Evening (17-20)","Late (21-23)")))))</f>
        <v/>
      </c>
    </row>
    <row r="1177" customFormat="false" ht="15" hidden="false" customHeight="false" outlineLevel="0" collapsed="false">
      <c r="L1177" s="37" t="str">
        <f aca="false">IF(C1177="","",IF(C1177&lt;=5,"Night (00-05)",IF(C1177&lt;=11,"Morning (06-11)",IF(C1177&lt;=16,"Afternoon (12-16)",IF(C1177&lt;=20,"Evening (17-20)","Late (21-23)")))))</f>
        <v/>
      </c>
    </row>
    <row r="1178" customFormat="false" ht="15" hidden="false" customHeight="false" outlineLevel="0" collapsed="false">
      <c r="L1178" s="37" t="str">
        <f aca="false">IF(C1178="","",IF(C1178&lt;=5,"Night (00-05)",IF(C1178&lt;=11,"Morning (06-11)",IF(C1178&lt;=16,"Afternoon (12-16)",IF(C1178&lt;=20,"Evening (17-20)","Late (21-23)")))))</f>
        <v/>
      </c>
    </row>
    <row r="1179" customFormat="false" ht="15" hidden="false" customHeight="false" outlineLevel="0" collapsed="false">
      <c r="L1179" s="37" t="str">
        <f aca="false">IF(C1179="","",IF(C1179&lt;=5,"Night (00-05)",IF(C1179&lt;=11,"Morning (06-11)",IF(C1179&lt;=16,"Afternoon (12-16)",IF(C1179&lt;=20,"Evening (17-20)","Late (21-23)")))))</f>
        <v/>
      </c>
    </row>
    <row r="1180" customFormat="false" ht="15" hidden="false" customHeight="false" outlineLevel="0" collapsed="false">
      <c r="L1180" s="37" t="str">
        <f aca="false">IF(C1180="","",IF(C1180&lt;=5,"Night (00-05)",IF(C1180&lt;=11,"Morning (06-11)",IF(C1180&lt;=16,"Afternoon (12-16)",IF(C1180&lt;=20,"Evening (17-20)","Late (21-23)")))))</f>
        <v/>
      </c>
    </row>
    <row r="1181" customFormat="false" ht="15" hidden="false" customHeight="false" outlineLevel="0" collapsed="false">
      <c r="L1181" s="37" t="str">
        <f aca="false">IF(C1181="","",IF(C1181&lt;=5,"Night (00-05)",IF(C1181&lt;=11,"Morning (06-11)",IF(C1181&lt;=16,"Afternoon (12-16)",IF(C1181&lt;=20,"Evening (17-20)","Late (21-23)")))))</f>
        <v/>
      </c>
    </row>
    <row r="1182" customFormat="false" ht="15" hidden="false" customHeight="false" outlineLevel="0" collapsed="false">
      <c r="L1182" s="37" t="str">
        <f aca="false">IF(C1182="","",IF(C1182&lt;=5,"Night (00-05)",IF(C1182&lt;=11,"Morning (06-11)",IF(C1182&lt;=16,"Afternoon (12-16)",IF(C1182&lt;=20,"Evening (17-20)","Late (21-23)")))))</f>
        <v/>
      </c>
    </row>
    <row r="1183" customFormat="false" ht="15" hidden="false" customHeight="false" outlineLevel="0" collapsed="false">
      <c r="L1183" s="37" t="str">
        <f aca="false">IF(C1183="","",IF(C1183&lt;=5,"Night (00-05)",IF(C1183&lt;=11,"Morning (06-11)",IF(C1183&lt;=16,"Afternoon (12-16)",IF(C1183&lt;=20,"Evening (17-20)","Late (21-23)")))))</f>
        <v/>
      </c>
    </row>
    <row r="1184" customFormat="false" ht="15" hidden="false" customHeight="false" outlineLevel="0" collapsed="false">
      <c r="L1184" s="37" t="str">
        <f aca="false">IF(C1184="","",IF(C1184&lt;=5,"Night (00-05)",IF(C1184&lt;=11,"Morning (06-11)",IF(C1184&lt;=16,"Afternoon (12-16)",IF(C1184&lt;=20,"Evening (17-20)","Late (21-23)")))))</f>
        <v/>
      </c>
    </row>
    <row r="1185" customFormat="false" ht="15" hidden="false" customHeight="false" outlineLevel="0" collapsed="false">
      <c r="L1185" s="37" t="str">
        <f aca="false">IF(C1185="","",IF(C1185&lt;=5,"Night (00-05)",IF(C1185&lt;=11,"Morning (06-11)",IF(C1185&lt;=16,"Afternoon (12-16)",IF(C1185&lt;=20,"Evening (17-20)","Late (21-23)")))))</f>
        <v/>
      </c>
    </row>
    <row r="1186" customFormat="false" ht="15" hidden="false" customHeight="false" outlineLevel="0" collapsed="false">
      <c r="L1186" s="37" t="str">
        <f aca="false">IF(C1186="","",IF(C1186&lt;=5,"Night (00-05)",IF(C1186&lt;=11,"Morning (06-11)",IF(C1186&lt;=16,"Afternoon (12-16)",IF(C1186&lt;=20,"Evening (17-20)","Late (21-23)")))))</f>
        <v/>
      </c>
    </row>
    <row r="1187" customFormat="false" ht="15" hidden="false" customHeight="false" outlineLevel="0" collapsed="false">
      <c r="L1187" s="37" t="str">
        <f aca="false">IF(C1187="","",IF(C1187&lt;=5,"Night (00-05)",IF(C1187&lt;=11,"Morning (06-11)",IF(C1187&lt;=16,"Afternoon (12-16)",IF(C1187&lt;=20,"Evening (17-20)","Late (21-23)")))))</f>
        <v/>
      </c>
    </row>
    <row r="1188" customFormat="false" ht="15" hidden="false" customHeight="false" outlineLevel="0" collapsed="false">
      <c r="L1188" s="37" t="str">
        <f aca="false">IF(C1188="","",IF(C1188&lt;=5,"Night (00-05)",IF(C1188&lt;=11,"Morning (06-11)",IF(C1188&lt;=16,"Afternoon (12-16)",IF(C1188&lt;=20,"Evening (17-20)","Late (21-23)")))))</f>
        <v/>
      </c>
    </row>
    <row r="1189" customFormat="false" ht="15" hidden="false" customHeight="false" outlineLevel="0" collapsed="false">
      <c r="L1189" s="37" t="str">
        <f aca="false">IF(C1189="","",IF(C1189&lt;=5,"Night (00-05)",IF(C1189&lt;=11,"Morning (06-11)",IF(C1189&lt;=16,"Afternoon (12-16)",IF(C1189&lt;=20,"Evening (17-20)","Late (21-23)")))))</f>
        <v/>
      </c>
    </row>
    <row r="1190" customFormat="false" ht="15" hidden="false" customHeight="false" outlineLevel="0" collapsed="false">
      <c r="L1190" s="37" t="str">
        <f aca="false">IF(C1190="","",IF(C1190&lt;=5,"Night (00-05)",IF(C1190&lt;=11,"Morning (06-11)",IF(C1190&lt;=16,"Afternoon (12-16)",IF(C1190&lt;=20,"Evening (17-20)","Late (21-23)")))))</f>
        <v/>
      </c>
    </row>
    <row r="1191" customFormat="false" ht="15" hidden="false" customHeight="false" outlineLevel="0" collapsed="false">
      <c r="L1191" s="37" t="str">
        <f aca="false">IF(C1191="","",IF(C1191&lt;=5,"Night (00-05)",IF(C1191&lt;=11,"Morning (06-11)",IF(C1191&lt;=16,"Afternoon (12-16)",IF(C1191&lt;=20,"Evening (17-20)","Late (21-23)")))))</f>
        <v/>
      </c>
    </row>
    <row r="1192" customFormat="false" ht="15" hidden="false" customHeight="false" outlineLevel="0" collapsed="false">
      <c r="L1192" s="37" t="str">
        <f aca="false">IF(C1192="","",IF(C1192&lt;=5,"Night (00-05)",IF(C1192&lt;=11,"Morning (06-11)",IF(C1192&lt;=16,"Afternoon (12-16)",IF(C1192&lt;=20,"Evening (17-20)","Late (21-23)")))))</f>
        <v/>
      </c>
    </row>
    <row r="1193" customFormat="false" ht="15" hidden="false" customHeight="false" outlineLevel="0" collapsed="false">
      <c r="L1193" s="37" t="str">
        <f aca="false">IF(C1193="","",IF(C1193&lt;=5,"Night (00-05)",IF(C1193&lt;=11,"Morning (06-11)",IF(C1193&lt;=16,"Afternoon (12-16)",IF(C1193&lt;=20,"Evening (17-20)","Late (21-23)")))))</f>
        <v/>
      </c>
    </row>
    <row r="1194" customFormat="false" ht="15" hidden="false" customHeight="false" outlineLevel="0" collapsed="false">
      <c r="L1194" s="37" t="str">
        <f aca="false">IF(C1194="","",IF(C1194&lt;=5,"Night (00-05)",IF(C1194&lt;=11,"Morning (06-11)",IF(C1194&lt;=16,"Afternoon (12-16)",IF(C1194&lt;=20,"Evening (17-20)","Late (21-23)")))))</f>
        <v/>
      </c>
    </row>
    <row r="1195" customFormat="false" ht="15" hidden="false" customHeight="false" outlineLevel="0" collapsed="false">
      <c r="L1195" s="37" t="str">
        <f aca="false">IF(C1195="","",IF(C1195&lt;=5,"Night (00-05)",IF(C1195&lt;=11,"Morning (06-11)",IF(C1195&lt;=16,"Afternoon (12-16)",IF(C1195&lt;=20,"Evening (17-20)","Late (21-23)")))))</f>
        <v/>
      </c>
    </row>
    <row r="1196" customFormat="false" ht="15" hidden="false" customHeight="false" outlineLevel="0" collapsed="false">
      <c r="L1196" s="37" t="str">
        <f aca="false">IF(C1196="","",IF(C1196&lt;=5,"Night (00-05)",IF(C1196&lt;=11,"Morning (06-11)",IF(C1196&lt;=16,"Afternoon (12-16)",IF(C1196&lt;=20,"Evening (17-20)","Late (21-23)")))))</f>
        <v/>
      </c>
    </row>
    <row r="1197" customFormat="false" ht="15" hidden="false" customHeight="false" outlineLevel="0" collapsed="false">
      <c r="L1197" s="37" t="str">
        <f aca="false">IF(C1197="","",IF(C1197&lt;=5,"Night (00-05)",IF(C1197&lt;=11,"Morning (06-11)",IF(C1197&lt;=16,"Afternoon (12-16)",IF(C1197&lt;=20,"Evening (17-20)","Late (21-23)")))))</f>
        <v/>
      </c>
    </row>
    <row r="1198" customFormat="false" ht="15" hidden="false" customHeight="false" outlineLevel="0" collapsed="false">
      <c r="L1198" s="37" t="str">
        <f aca="false">IF(C1198="","",IF(C1198&lt;=5,"Night (00-05)",IF(C1198&lt;=11,"Morning (06-11)",IF(C1198&lt;=16,"Afternoon (12-16)",IF(C1198&lt;=20,"Evening (17-20)","Late (21-23)")))))</f>
        <v/>
      </c>
    </row>
    <row r="1199" customFormat="false" ht="15" hidden="false" customHeight="false" outlineLevel="0" collapsed="false">
      <c r="L1199" s="37" t="str">
        <f aca="false">IF(C1199="","",IF(C1199&lt;=5,"Night (00-05)",IF(C1199&lt;=11,"Morning (06-11)",IF(C1199&lt;=16,"Afternoon (12-16)",IF(C1199&lt;=20,"Evening (17-20)","Late (21-23)")))))</f>
        <v/>
      </c>
    </row>
    <row r="1200" customFormat="false" ht="15" hidden="false" customHeight="false" outlineLevel="0" collapsed="false">
      <c r="L1200" s="37" t="str">
        <f aca="false">IF(C1200="","",IF(C1200&lt;=5,"Night (00-05)",IF(C1200&lt;=11,"Morning (06-11)",IF(C1200&lt;=16,"Afternoon (12-16)",IF(C1200&lt;=20,"Evening (17-20)","Late (21-23)")))))</f>
        <v/>
      </c>
    </row>
    <row r="1201" customFormat="false" ht="15" hidden="false" customHeight="false" outlineLevel="0" collapsed="false">
      <c r="L1201" s="37" t="str">
        <f aca="false">IF(C1201="","",IF(C1201&lt;=5,"Night (00-05)",IF(C1201&lt;=11,"Morning (06-11)",IF(C1201&lt;=16,"Afternoon (12-16)",IF(C1201&lt;=20,"Evening (17-20)","Late (21-23)")))))</f>
        <v/>
      </c>
    </row>
    <row r="1202" customFormat="false" ht="15" hidden="false" customHeight="false" outlineLevel="0" collapsed="false">
      <c r="L1202" s="37" t="str">
        <f aca="false">IF(C1202="","",IF(C1202&lt;=5,"Night (00-05)",IF(C1202&lt;=11,"Morning (06-11)",IF(C1202&lt;=16,"Afternoon (12-16)",IF(C1202&lt;=20,"Evening (17-20)","Late (21-23)")))))</f>
        <v/>
      </c>
    </row>
    <row r="1203" customFormat="false" ht="15" hidden="false" customHeight="false" outlineLevel="0" collapsed="false">
      <c r="L1203" s="37" t="str">
        <f aca="false">IF(C1203="","",IF(C1203&lt;=5,"Night (00-05)",IF(C1203&lt;=11,"Morning (06-11)",IF(C1203&lt;=16,"Afternoon (12-16)",IF(C1203&lt;=20,"Evening (17-20)","Late (21-23)")))))</f>
        <v/>
      </c>
    </row>
    <row r="1204" customFormat="false" ht="15" hidden="false" customHeight="false" outlineLevel="0" collapsed="false">
      <c r="L1204" s="37" t="str">
        <f aca="false">IF(C1204="","",IF(C1204&lt;=5,"Night (00-05)",IF(C1204&lt;=11,"Morning (06-11)",IF(C1204&lt;=16,"Afternoon (12-16)",IF(C1204&lt;=20,"Evening (17-20)","Late (21-23)")))))</f>
        <v/>
      </c>
    </row>
    <row r="1205" customFormat="false" ht="15" hidden="false" customHeight="false" outlineLevel="0" collapsed="false">
      <c r="L1205" s="37" t="str">
        <f aca="false">IF(C1205="","",IF(C1205&lt;=5,"Night (00-05)",IF(C1205&lt;=11,"Morning (06-11)",IF(C1205&lt;=16,"Afternoon (12-16)",IF(C1205&lt;=20,"Evening (17-20)","Late (21-23)")))))</f>
        <v/>
      </c>
    </row>
    <row r="1206" customFormat="false" ht="15" hidden="false" customHeight="false" outlineLevel="0" collapsed="false">
      <c r="L1206" s="37" t="str">
        <f aca="false">IF(C1206="","",IF(C1206&lt;=5,"Night (00-05)",IF(C1206&lt;=11,"Morning (06-11)",IF(C1206&lt;=16,"Afternoon (12-16)",IF(C1206&lt;=20,"Evening (17-20)","Late (21-23)")))))</f>
        <v/>
      </c>
    </row>
    <row r="1207" customFormat="false" ht="15" hidden="false" customHeight="false" outlineLevel="0" collapsed="false">
      <c r="L1207" s="37" t="str">
        <f aca="false">IF(C1207="","",IF(C1207&lt;=5,"Night (00-05)",IF(C1207&lt;=11,"Morning (06-11)",IF(C1207&lt;=16,"Afternoon (12-16)",IF(C1207&lt;=20,"Evening (17-20)","Late (21-23)")))))</f>
        <v/>
      </c>
    </row>
    <row r="1208" customFormat="false" ht="15" hidden="false" customHeight="false" outlineLevel="0" collapsed="false">
      <c r="L1208" s="37" t="str">
        <f aca="false">IF(C1208="","",IF(C1208&lt;=5,"Night (00-05)",IF(C1208&lt;=11,"Morning (06-11)",IF(C1208&lt;=16,"Afternoon (12-16)",IF(C1208&lt;=20,"Evening (17-20)","Late (21-23)")))))</f>
        <v/>
      </c>
    </row>
    <row r="1209" customFormat="false" ht="15" hidden="false" customHeight="false" outlineLevel="0" collapsed="false">
      <c r="L1209" s="37" t="str">
        <f aca="false">IF(C1209="","",IF(C1209&lt;=5,"Night (00-05)",IF(C1209&lt;=11,"Morning (06-11)",IF(C1209&lt;=16,"Afternoon (12-16)",IF(C1209&lt;=20,"Evening (17-20)","Late (21-23)")))))</f>
        <v/>
      </c>
    </row>
    <row r="1210" customFormat="false" ht="15" hidden="false" customHeight="false" outlineLevel="0" collapsed="false">
      <c r="L1210" s="37" t="str">
        <f aca="false">IF(C1210="","",IF(C1210&lt;=5,"Night (00-05)",IF(C1210&lt;=11,"Morning (06-11)",IF(C1210&lt;=16,"Afternoon (12-16)",IF(C1210&lt;=20,"Evening (17-20)","Late (21-23)")))))</f>
        <v/>
      </c>
    </row>
    <row r="1211" customFormat="false" ht="15" hidden="false" customHeight="false" outlineLevel="0" collapsed="false">
      <c r="L1211" s="37" t="str">
        <f aca="false">IF(C1211="","",IF(C1211&lt;=5,"Night (00-05)",IF(C1211&lt;=11,"Morning (06-11)",IF(C1211&lt;=16,"Afternoon (12-16)",IF(C1211&lt;=20,"Evening (17-20)","Late (21-23)")))))</f>
        <v/>
      </c>
    </row>
    <row r="1212" customFormat="false" ht="15" hidden="false" customHeight="false" outlineLevel="0" collapsed="false">
      <c r="L1212" s="37" t="str">
        <f aca="false">IF(C1212="","",IF(C1212&lt;=5,"Night (00-05)",IF(C1212&lt;=11,"Morning (06-11)",IF(C1212&lt;=16,"Afternoon (12-16)",IF(C1212&lt;=20,"Evening (17-20)","Late (21-23)")))))</f>
        <v/>
      </c>
    </row>
    <row r="1213" customFormat="false" ht="15" hidden="false" customHeight="false" outlineLevel="0" collapsed="false">
      <c r="L1213" s="37" t="str">
        <f aca="false">IF(C1213="","",IF(C1213&lt;=5,"Night (00-05)",IF(C1213&lt;=11,"Morning (06-11)",IF(C1213&lt;=16,"Afternoon (12-16)",IF(C1213&lt;=20,"Evening (17-20)","Late (21-23)")))))</f>
        <v/>
      </c>
    </row>
    <row r="1214" customFormat="false" ht="15" hidden="false" customHeight="false" outlineLevel="0" collapsed="false">
      <c r="L1214" s="37" t="str">
        <f aca="false">IF(C1214="","",IF(C1214&lt;=5,"Night (00-05)",IF(C1214&lt;=11,"Morning (06-11)",IF(C1214&lt;=16,"Afternoon (12-16)",IF(C1214&lt;=20,"Evening (17-20)","Late (21-23)")))))</f>
        <v/>
      </c>
    </row>
    <row r="1215" customFormat="false" ht="15" hidden="false" customHeight="false" outlineLevel="0" collapsed="false">
      <c r="L1215" s="37" t="str">
        <f aca="false">IF(C1215="","",IF(C1215&lt;=5,"Night (00-05)",IF(C1215&lt;=11,"Morning (06-11)",IF(C1215&lt;=16,"Afternoon (12-16)",IF(C1215&lt;=20,"Evening (17-20)","Late (21-23)")))))</f>
        <v/>
      </c>
    </row>
    <row r="1216" customFormat="false" ht="15" hidden="false" customHeight="false" outlineLevel="0" collapsed="false">
      <c r="L1216" s="37" t="str">
        <f aca="false">IF(C1216="","",IF(C1216&lt;=5,"Night (00-05)",IF(C1216&lt;=11,"Morning (06-11)",IF(C1216&lt;=16,"Afternoon (12-16)",IF(C1216&lt;=20,"Evening (17-20)","Late (21-23)")))))</f>
        <v/>
      </c>
    </row>
    <row r="1217" customFormat="false" ht="15" hidden="false" customHeight="false" outlineLevel="0" collapsed="false">
      <c r="L1217" s="37" t="str">
        <f aca="false">IF(C1217="","",IF(C1217&lt;=5,"Night (00-05)",IF(C1217&lt;=11,"Morning (06-11)",IF(C1217&lt;=16,"Afternoon (12-16)",IF(C1217&lt;=20,"Evening (17-20)","Late (21-23)")))))</f>
        <v/>
      </c>
    </row>
    <row r="1218" customFormat="false" ht="15" hidden="false" customHeight="false" outlineLevel="0" collapsed="false">
      <c r="L1218" s="37" t="str">
        <f aca="false">IF(C1218="","",IF(C1218&lt;=5,"Night (00-05)",IF(C1218&lt;=11,"Morning (06-11)",IF(C1218&lt;=16,"Afternoon (12-16)",IF(C1218&lt;=20,"Evening (17-20)","Late (21-23)")))))</f>
        <v/>
      </c>
    </row>
    <row r="1219" customFormat="false" ht="15" hidden="false" customHeight="false" outlineLevel="0" collapsed="false">
      <c r="L1219" s="37" t="str">
        <f aca="false">IF(C1219="","",IF(C1219&lt;=5,"Night (00-05)",IF(C1219&lt;=11,"Morning (06-11)",IF(C1219&lt;=16,"Afternoon (12-16)",IF(C1219&lt;=20,"Evening (17-20)","Late (21-23)")))))</f>
        <v/>
      </c>
    </row>
    <row r="1220" customFormat="false" ht="15" hidden="false" customHeight="false" outlineLevel="0" collapsed="false">
      <c r="L1220" s="37" t="str">
        <f aca="false">IF(C1220="","",IF(C1220&lt;=5,"Night (00-05)",IF(C1220&lt;=11,"Morning (06-11)",IF(C1220&lt;=16,"Afternoon (12-16)",IF(C1220&lt;=20,"Evening (17-20)","Late (21-23)")))))</f>
        <v/>
      </c>
    </row>
    <row r="1221" customFormat="false" ht="15" hidden="false" customHeight="false" outlineLevel="0" collapsed="false">
      <c r="L1221" s="37" t="str">
        <f aca="false">IF(C1221="","",IF(C1221&lt;=5,"Night (00-05)",IF(C1221&lt;=11,"Morning (06-11)",IF(C1221&lt;=16,"Afternoon (12-16)",IF(C1221&lt;=20,"Evening (17-20)","Late (21-23)")))))</f>
        <v/>
      </c>
    </row>
    <row r="1222" customFormat="false" ht="15" hidden="false" customHeight="false" outlineLevel="0" collapsed="false">
      <c r="L1222" s="37" t="str">
        <f aca="false">IF(C1222="","",IF(C1222&lt;=5,"Night (00-05)",IF(C1222&lt;=11,"Morning (06-11)",IF(C1222&lt;=16,"Afternoon (12-16)",IF(C1222&lt;=20,"Evening (17-20)","Late (21-23)")))))</f>
        <v/>
      </c>
    </row>
    <row r="1223" customFormat="false" ht="15" hidden="false" customHeight="false" outlineLevel="0" collapsed="false">
      <c r="L1223" s="37" t="str">
        <f aca="false">IF(C1223="","",IF(C1223&lt;=5,"Night (00-05)",IF(C1223&lt;=11,"Morning (06-11)",IF(C1223&lt;=16,"Afternoon (12-16)",IF(C1223&lt;=20,"Evening (17-20)","Late (21-23)")))))</f>
        <v/>
      </c>
    </row>
    <row r="1224" customFormat="false" ht="15" hidden="false" customHeight="false" outlineLevel="0" collapsed="false">
      <c r="L1224" s="37" t="str">
        <f aca="false">IF(C1224="","",IF(C1224&lt;=5,"Night (00-05)",IF(C1224&lt;=11,"Morning (06-11)",IF(C1224&lt;=16,"Afternoon (12-16)",IF(C1224&lt;=20,"Evening (17-20)","Late (21-23)")))))</f>
        <v/>
      </c>
    </row>
    <row r="1225" customFormat="false" ht="15" hidden="false" customHeight="false" outlineLevel="0" collapsed="false">
      <c r="L1225" s="37" t="str">
        <f aca="false">IF(C1225="","",IF(C1225&lt;=5,"Night (00-05)",IF(C1225&lt;=11,"Morning (06-11)",IF(C1225&lt;=16,"Afternoon (12-16)",IF(C1225&lt;=20,"Evening (17-20)","Late (21-23)")))))</f>
        <v/>
      </c>
    </row>
    <row r="1226" customFormat="false" ht="15" hidden="false" customHeight="false" outlineLevel="0" collapsed="false">
      <c r="L1226" s="37" t="str">
        <f aca="false">IF(C1226="","",IF(C1226&lt;=5,"Night (00-05)",IF(C1226&lt;=11,"Morning (06-11)",IF(C1226&lt;=16,"Afternoon (12-16)",IF(C1226&lt;=20,"Evening (17-20)","Late (21-23)")))))</f>
        <v/>
      </c>
    </row>
    <row r="1227" customFormat="false" ht="15" hidden="false" customHeight="false" outlineLevel="0" collapsed="false">
      <c r="L1227" s="37" t="str">
        <f aca="false">IF(C1227="","",IF(C1227&lt;=5,"Night (00-05)",IF(C1227&lt;=11,"Morning (06-11)",IF(C1227&lt;=16,"Afternoon (12-16)",IF(C1227&lt;=20,"Evening (17-20)","Late (21-23)")))))</f>
        <v/>
      </c>
    </row>
    <row r="1228" customFormat="false" ht="15" hidden="false" customHeight="false" outlineLevel="0" collapsed="false">
      <c r="L1228" s="37" t="str">
        <f aca="false">IF(C1228="","",IF(C1228&lt;=5,"Night (00-05)",IF(C1228&lt;=11,"Morning (06-11)",IF(C1228&lt;=16,"Afternoon (12-16)",IF(C1228&lt;=20,"Evening (17-20)","Late (21-23)")))))</f>
        <v/>
      </c>
    </row>
    <row r="1229" customFormat="false" ht="15" hidden="false" customHeight="false" outlineLevel="0" collapsed="false">
      <c r="L1229" s="37" t="str">
        <f aca="false">IF(C1229="","",IF(C1229&lt;=5,"Night (00-05)",IF(C1229&lt;=11,"Morning (06-11)",IF(C1229&lt;=16,"Afternoon (12-16)",IF(C1229&lt;=20,"Evening (17-20)","Late (21-23)")))))</f>
        <v/>
      </c>
    </row>
    <row r="1230" customFormat="false" ht="15" hidden="false" customHeight="false" outlineLevel="0" collapsed="false">
      <c r="L1230" s="37" t="str">
        <f aca="false">IF(C1230="","",IF(C1230&lt;=5,"Night (00-05)",IF(C1230&lt;=11,"Morning (06-11)",IF(C1230&lt;=16,"Afternoon (12-16)",IF(C1230&lt;=20,"Evening (17-20)","Late (21-23)")))))</f>
        <v/>
      </c>
    </row>
    <row r="1231" customFormat="false" ht="15" hidden="false" customHeight="false" outlineLevel="0" collapsed="false">
      <c r="L1231" s="37" t="str">
        <f aca="false">IF(C1231="","",IF(C1231&lt;=5,"Night (00-05)",IF(C1231&lt;=11,"Morning (06-11)",IF(C1231&lt;=16,"Afternoon (12-16)",IF(C1231&lt;=20,"Evening (17-20)","Late (21-23)")))))</f>
        <v/>
      </c>
    </row>
    <row r="1232" customFormat="false" ht="15" hidden="false" customHeight="false" outlineLevel="0" collapsed="false">
      <c r="L1232" s="37" t="str">
        <f aca="false">IF(C1232="","",IF(C1232&lt;=5,"Night (00-05)",IF(C1232&lt;=11,"Morning (06-11)",IF(C1232&lt;=16,"Afternoon (12-16)",IF(C1232&lt;=20,"Evening (17-20)","Late (21-23)")))))</f>
        <v/>
      </c>
    </row>
    <row r="1233" customFormat="false" ht="15" hidden="false" customHeight="false" outlineLevel="0" collapsed="false">
      <c r="L1233" s="37" t="str">
        <f aca="false">IF(C1233="","",IF(C1233&lt;=5,"Night (00-05)",IF(C1233&lt;=11,"Morning (06-11)",IF(C1233&lt;=16,"Afternoon (12-16)",IF(C1233&lt;=20,"Evening (17-20)","Late (21-23)")))))</f>
        <v/>
      </c>
    </row>
    <row r="1234" customFormat="false" ht="15" hidden="false" customHeight="false" outlineLevel="0" collapsed="false">
      <c r="L1234" s="37" t="str">
        <f aca="false">IF(C1234="","",IF(C1234&lt;=5,"Night (00-05)",IF(C1234&lt;=11,"Morning (06-11)",IF(C1234&lt;=16,"Afternoon (12-16)",IF(C1234&lt;=20,"Evening (17-20)","Late (21-23)")))))</f>
        <v/>
      </c>
    </row>
    <row r="1235" customFormat="false" ht="15" hidden="false" customHeight="false" outlineLevel="0" collapsed="false">
      <c r="L1235" s="37" t="str">
        <f aca="false">IF(C1235="","",IF(C1235&lt;=5,"Night (00-05)",IF(C1235&lt;=11,"Morning (06-11)",IF(C1235&lt;=16,"Afternoon (12-16)",IF(C1235&lt;=20,"Evening (17-20)","Late (21-23)")))))</f>
        <v/>
      </c>
    </row>
    <row r="1236" customFormat="false" ht="15" hidden="false" customHeight="false" outlineLevel="0" collapsed="false">
      <c r="L1236" s="37" t="str">
        <f aca="false">IF(C1236="","",IF(C1236&lt;=5,"Night (00-05)",IF(C1236&lt;=11,"Morning (06-11)",IF(C1236&lt;=16,"Afternoon (12-16)",IF(C1236&lt;=20,"Evening (17-20)","Late (21-23)")))))</f>
        <v/>
      </c>
    </row>
    <row r="1237" customFormat="false" ht="15" hidden="false" customHeight="false" outlineLevel="0" collapsed="false">
      <c r="L1237" s="37" t="str">
        <f aca="false">IF(C1237="","",IF(C1237&lt;=5,"Night (00-05)",IF(C1237&lt;=11,"Morning (06-11)",IF(C1237&lt;=16,"Afternoon (12-16)",IF(C1237&lt;=20,"Evening (17-20)","Late (21-23)")))))</f>
        <v/>
      </c>
    </row>
    <row r="1238" customFormat="false" ht="15" hidden="false" customHeight="false" outlineLevel="0" collapsed="false">
      <c r="L1238" s="37" t="str">
        <f aca="false">IF(C1238="","",IF(C1238&lt;=5,"Night (00-05)",IF(C1238&lt;=11,"Morning (06-11)",IF(C1238&lt;=16,"Afternoon (12-16)",IF(C1238&lt;=20,"Evening (17-20)","Late (21-23)")))))</f>
        <v/>
      </c>
    </row>
    <row r="1239" customFormat="false" ht="15" hidden="false" customHeight="false" outlineLevel="0" collapsed="false">
      <c r="L1239" s="37" t="str">
        <f aca="false">IF(C1239="","",IF(C1239&lt;=5,"Night (00-05)",IF(C1239&lt;=11,"Morning (06-11)",IF(C1239&lt;=16,"Afternoon (12-16)",IF(C1239&lt;=20,"Evening (17-20)","Late (21-23)")))))</f>
        <v/>
      </c>
    </row>
    <row r="1240" customFormat="false" ht="15" hidden="false" customHeight="false" outlineLevel="0" collapsed="false">
      <c r="L1240" s="37" t="str">
        <f aca="false">IF(C1240="","",IF(C1240&lt;=5,"Night (00-05)",IF(C1240&lt;=11,"Morning (06-11)",IF(C1240&lt;=16,"Afternoon (12-16)",IF(C1240&lt;=20,"Evening (17-20)","Late (21-23)")))))</f>
        <v/>
      </c>
    </row>
    <row r="1241" customFormat="false" ht="15" hidden="false" customHeight="false" outlineLevel="0" collapsed="false">
      <c r="L1241" s="37" t="str">
        <f aca="false">IF(C1241="","",IF(C1241&lt;=5,"Night (00-05)",IF(C1241&lt;=11,"Morning (06-11)",IF(C1241&lt;=16,"Afternoon (12-16)",IF(C1241&lt;=20,"Evening (17-20)","Late (21-23)")))))</f>
        <v/>
      </c>
    </row>
    <row r="1242" customFormat="false" ht="15" hidden="false" customHeight="false" outlineLevel="0" collapsed="false">
      <c r="L1242" s="37" t="str">
        <f aca="false">IF(C1242="","",IF(C1242&lt;=5,"Night (00-05)",IF(C1242&lt;=11,"Morning (06-11)",IF(C1242&lt;=16,"Afternoon (12-16)",IF(C1242&lt;=20,"Evening (17-20)","Late (21-23)")))))</f>
        <v/>
      </c>
    </row>
    <row r="1243" customFormat="false" ht="15" hidden="false" customHeight="false" outlineLevel="0" collapsed="false">
      <c r="L1243" s="37" t="str">
        <f aca="false">IF(C1243="","",IF(C1243&lt;=5,"Night (00-05)",IF(C1243&lt;=11,"Morning (06-11)",IF(C1243&lt;=16,"Afternoon (12-16)",IF(C1243&lt;=20,"Evening (17-20)","Late (21-23)")))))</f>
        <v/>
      </c>
    </row>
    <row r="1244" customFormat="false" ht="15" hidden="false" customHeight="false" outlineLevel="0" collapsed="false">
      <c r="L1244" s="37" t="str">
        <f aca="false">IF(C1244="","",IF(C1244&lt;=5,"Night (00-05)",IF(C1244&lt;=11,"Morning (06-11)",IF(C1244&lt;=16,"Afternoon (12-16)",IF(C1244&lt;=20,"Evening (17-20)","Late (21-23)")))))</f>
        <v/>
      </c>
    </row>
    <row r="1245" customFormat="false" ht="15" hidden="false" customHeight="false" outlineLevel="0" collapsed="false">
      <c r="L1245" s="37" t="str">
        <f aca="false">IF(C1245="","",IF(C1245&lt;=5,"Night (00-05)",IF(C1245&lt;=11,"Morning (06-11)",IF(C1245&lt;=16,"Afternoon (12-16)",IF(C1245&lt;=20,"Evening (17-20)","Late (21-23)")))))</f>
        <v/>
      </c>
    </row>
    <row r="1246" customFormat="false" ht="15" hidden="false" customHeight="false" outlineLevel="0" collapsed="false">
      <c r="L1246" s="37" t="str">
        <f aca="false">IF(C1246="","",IF(C1246&lt;=5,"Night (00-05)",IF(C1246&lt;=11,"Morning (06-11)",IF(C1246&lt;=16,"Afternoon (12-16)",IF(C1246&lt;=20,"Evening (17-20)","Late (21-23)")))))</f>
        <v/>
      </c>
    </row>
    <row r="1247" customFormat="false" ht="15" hidden="false" customHeight="false" outlineLevel="0" collapsed="false">
      <c r="L1247" s="37" t="str">
        <f aca="false">IF(C1247="","",IF(C1247&lt;=5,"Night (00-05)",IF(C1247&lt;=11,"Morning (06-11)",IF(C1247&lt;=16,"Afternoon (12-16)",IF(C1247&lt;=20,"Evening (17-20)","Late (21-23)")))))</f>
        <v/>
      </c>
    </row>
    <row r="1248" customFormat="false" ht="15" hidden="false" customHeight="false" outlineLevel="0" collapsed="false">
      <c r="L1248" s="37" t="str">
        <f aca="false">IF(C1248="","",IF(C1248&lt;=5,"Night (00-05)",IF(C1248&lt;=11,"Morning (06-11)",IF(C1248&lt;=16,"Afternoon (12-16)",IF(C1248&lt;=20,"Evening (17-20)","Late (21-23)")))))</f>
        <v/>
      </c>
    </row>
    <row r="1249" customFormat="false" ht="15" hidden="false" customHeight="false" outlineLevel="0" collapsed="false">
      <c r="L1249" s="37" t="str">
        <f aca="false">IF(C1249="","",IF(C1249&lt;=5,"Night (00-05)",IF(C1249&lt;=11,"Morning (06-11)",IF(C1249&lt;=16,"Afternoon (12-16)",IF(C1249&lt;=20,"Evening (17-20)","Late (21-23)")))))</f>
        <v/>
      </c>
    </row>
    <row r="1250" customFormat="false" ht="15" hidden="false" customHeight="false" outlineLevel="0" collapsed="false">
      <c r="L1250" s="37" t="str">
        <f aca="false">IF(C1250="","",IF(C1250&lt;=5,"Night (00-05)",IF(C1250&lt;=11,"Morning (06-11)",IF(C1250&lt;=16,"Afternoon (12-16)",IF(C1250&lt;=20,"Evening (17-20)","Late (21-23)")))))</f>
        <v/>
      </c>
    </row>
    <row r="1251" customFormat="false" ht="15" hidden="false" customHeight="false" outlineLevel="0" collapsed="false">
      <c r="L1251" s="37" t="str">
        <f aca="false">IF(C1251="","",IF(C1251&lt;=5,"Night (00-05)",IF(C1251&lt;=11,"Morning (06-11)",IF(C1251&lt;=16,"Afternoon (12-16)",IF(C1251&lt;=20,"Evening (17-20)","Late (21-23)")))))</f>
        <v/>
      </c>
    </row>
    <row r="1252" customFormat="false" ht="15" hidden="false" customHeight="false" outlineLevel="0" collapsed="false">
      <c r="L1252" s="37" t="str">
        <f aca="false">IF(C1252="","",IF(C1252&lt;=5,"Night (00-05)",IF(C1252&lt;=11,"Morning (06-11)",IF(C1252&lt;=16,"Afternoon (12-16)",IF(C1252&lt;=20,"Evening (17-20)","Late (21-23)")))))</f>
        <v/>
      </c>
    </row>
    <row r="1253" customFormat="false" ht="15" hidden="false" customHeight="false" outlineLevel="0" collapsed="false">
      <c r="L1253" s="37" t="str">
        <f aca="false">IF(C1253="","",IF(C1253&lt;=5,"Night (00-05)",IF(C1253&lt;=11,"Morning (06-11)",IF(C1253&lt;=16,"Afternoon (12-16)",IF(C1253&lt;=20,"Evening (17-20)","Late (21-23)")))))</f>
        <v/>
      </c>
    </row>
    <row r="1254" customFormat="false" ht="15" hidden="false" customHeight="false" outlineLevel="0" collapsed="false">
      <c r="L1254" s="37" t="str">
        <f aca="false">IF(C1254="","",IF(C1254&lt;=5,"Night (00-05)",IF(C1254&lt;=11,"Morning (06-11)",IF(C1254&lt;=16,"Afternoon (12-16)",IF(C1254&lt;=20,"Evening (17-20)","Late (21-23)")))))</f>
        <v/>
      </c>
    </row>
    <row r="1255" customFormat="false" ht="15" hidden="false" customHeight="false" outlineLevel="0" collapsed="false">
      <c r="L1255" s="37" t="str">
        <f aca="false">IF(C1255="","",IF(C1255&lt;=5,"Night (00-05)",IF(C1255&lt;=11,"Morning (06-11)",IF(C1255&lt;=16,"Afternoon (12-16)",IF(C1255&lt;=20,"Evening (17-20)","Late (21-23)")))))</f>
        <v/>
      </c>
    </row>
    <row r="1256" customFormat="false" ht="15" hidden="false" customHeight="false" outlineLevel="0" collapsed="false">
      <c r="L1256" s="37" t="str">
        <f aca="false">IF(C1256="","",IF(C1256&lt;=5,"Night (00-05)",IF(C1256&lt;=11,"Morning (06-11)",IF(C1256&lt;=16,"Afternoon (12-16)",IF(C1256&lt;=20,"Evening (17-20)","Late (21-23)")))))</f>
        <v/>
      </c>
    </row>
    <row r="1257" customFormat="false" ht="15" hidden="false" customHeight="false" outlineLevel="0" collapsed="false">
      <c r="L1257" s="37" t="str">
        <f aca="false">IF(C1257="","",IF(C1257&lt;=5,"Night (00-05)",IF(C1257&lt;=11,"Morning (06-11)",IF(C1257&lt;=16,"Afternoon (12-16)",IF(C1257&lt;=20,"Evening (17-20)","Late (21-23)")))))</f>
        <v/>
      </c>
    </row>
    <row r="1258" customFormat="false" ht="15" hidden="false" customHeight="false" outlineLevel="0" collapsed="false">
      <c r="L1258" s="37" t="str">
        <f aca="false">IF(C1258="","",IF(C1258&lt;=5,"Night (00-05)",IF(C1258&lt;=11,"Morning (06-11)",IF(C1258&lt;=16,"Afternoon (12-16)",IF(C1258&lt;=20,"Evening (17-20)","Late (21-23)")))))</f>
        <v/>
      </c>
    </row>
    <row r="1259" customFormat="false" ht="15" hidden="false" customHeight="false" outlineLevel="0" collapsed="false">
      <c r="L1259" s="37" t="str">
        <f aca="false">IF(C1259="","",IF(C1259&lt;=5,"Night (00-05)",IF(C1259&lt;=11,"Morning (06-11)",IF(C1259&lt;=16,"Afternoon (12-16)",IF(C1259&lt;=20,"Evening (17-20)","Late (21-23)")))))</f>
        <v/>
      </c>
    </row>
    <row r="1260" customFormat="false" ht="15" hidden="false" customHeight="false" outlineLevel="0" collapsed="false">
      <c r="L1260" s="37" t="str">
        <f aca="false">IF(C1260="","",IF(C1260&lt;=5,"Night (00-05)",IF(C1260&lt;=11,"Morning (06-11)",IF(C1260&lt;=16,"Afternoon (12-16)",IF(C1260&lt;=20,"Evening (17-20)","Late (21-23)")))))</f>
        <v/>
      </c>
    </row>
    <row r="1261" customFormat="false" ht="15" hidden="false" customHeight="false" outlineLevel="0" collapsed="false">
      <c r="L1261" s="37" t="str">
        <f aca="false">IF(C1261="","",IF(C1261&lt;=5,"Night (00-05)",IF(C1261&lt;=11,"Morning (06-11)",IF(C1261&lt;=16,"Afternoon (12-16)",IF(C1261&lt;=20,"Evening (17-20)","Late (21-23)")))))</f>
        <v/>
      </c>
    </row>
    <row r="1262" customFormat="false" ht="15" hidden="false" customHeight="false" outlineLevel="0" collapsed="false">
      <c r="L1262" s="37" t="str">
        <f aca="false">IF(C1262="","",IF(C1262&lt;=5,"Night (00-05)",IF(C1262&lt;=11,"Morning (06-11)",IF(C1262&lt;=16,"Afternoon (12-16)",IF(C1262&lt;=20,"Evening (17-20)","Late (21-23)")))))</f>
        <v/>
      </c>
    </row>
    <row r="1263" customFormat="false" ht="15" hidden="false" customHeight="false" outlineLevel="0" collapsed="false">
      <c r="L1263" s="37" t="str">
        <f aca="false">IF(C1263="","",IF(C1263&lt;=5,"Night (00-05)",IF(C1263&lt;=11,"Morning (06-11)",IF(C1263&lt;=16,"Afternoon (12-16)",IF(C1263&lt;=20,"Evening (17-20)","Late (21-23)")))))</f>
        <v/>
      </c>
    </row>
    <row r="1264" customFormat="false" ht="15" hidden="false" customHeight="false" outlineLevel="0" collapsed="false">
      <c r="L1264" s="37" t="str">
        <f aca="false">IF(C1264="","",IF(C1264&lt;=5,"Night (00-05)",IF(C1264&lt;=11,"Morning (06-11)",IF(C1264&lt;=16,"Afternoon (12-16)",IF(C1264&lt;=20,"Evening (17-20)","Late (21-23)")))))</f>
        <v/>
      </c>
    </row>
    <row r="1265" customFormat="false" ht="15" hidden="false" customHeight="false" outlineLevel="0" collapsed="false">
      <c r="L1265" s="37" t="str">
        <f aca="false">IF(C1265="","",IF(C1265&lt;=5,"Night (00-05)",IF(C1265&lt;=11,"Morning (06-11)",IF(C1265&lt;=16,"Afternoon (12-16)",IF(C1265&lt;=20,"Evening (17-20)","Late (21-23)")))))</f>
        <v/>
      </c>
    </row>
    <row r="1266" customFormat="false" ht="15" hidden="false" customHeight="false" outlineLevel="0" collapsed="false">
      <c r="L1266" s="37" t="str">
        <f aca="false">IF(C1266="","",IF(C1266&lt;=5,"Night (00-05)",IF(C1266&lt;=11,"Morning (06-11)",IF(C1266&lt;=16,"Afternoon (12-16)",IF(C1266&lt;=20,"Evening (17-20)","Late (21-23)")))))</f>
        <v/>
      </c>
    </row>
    <row r="1267" customFormat="false" ht="15" hidden="false" customHeight="false" outlineLevel="0" collapsed="false">
      <c r="L1267" s="37" t="str">
        <f aca="false">IF(C1267="","",IF(C1267&lt;=5,"Night (00-05)",IF(C1267&lt;=11,"Morning (06-11)",IF(C1267&lt;=16,"Afternoon (12-16)",IF(C1267&lt;=20,"Evening (17-20)","Late (21-23)")))))</f>
        <v/>
      </c>
    </row>
    <row r="1268" customFormat="false" ht="15" hidden="false" customHeight="false" outlineLevel="0" collapsed="false">
      <c r="L1268" s="37" t="str">
        <f aca="false">IF(C1268="","",IF(C1268&lt;=5,"Night (00-05)",IF(C1268&lt;=11,"Morning (06-11)",IF(C1268&lt;=16,"Afternoon (12-16)",IF(C1268&lt;=20,"Evening (17-20)","Late (21-23)")))))</f>
        <v/>
      </c>
    </row>
    <row r="1269" customFormat="false" ht="15" hidden="false" customHeight="false" outlineLevel="0" collapsed="false">
      <c r="L1269" s="37" t="str">
        <f aca="false">IF(C1269="","",IF(C1269&lt;=5,"Night (00-05)",IF(C1269&lt;=11,"Morning (06-11)",IF(C1269&lt;=16,"Afternoon (12-16)",IF(C1269&lt;=20,"Evening (17-20)","Late (21-23)")))))</f>
        <v/>
      </c>
    </row>
    <row r="1270" customFormat="false" ht="15" hidden="false" customHeight="false" outlineLevel="0" collapsed="false">
      <c r="L1270" s="37" t="str">
        <f aca="false">IF(C1270="","",IF(C1270&lt;=5,"Night (00-05)",IF(C1270&lt;=11,"Morning (06-11)",IF(C1270&lt;=16,"Afternoon (12-16)",IF(C1270&lt;=20,"Evening (17-20)","Late (21-23)")))))</f>
        <v/>
      </c>
    </row>
    <row r="1271" customFormat="false" ht="15" hidden="false" customHeight="false" outlineLevel="0" collapsed="false">
      <c r="L1271" s="37" t="str">
        <f aca="false">IF(C1271="","",IF(C1271&lt;=5,"Night (00-05)",IF(C1271&lt;=11,"Morning (06-11)",IF(C1271&lt;=16,"Afternoon (12-16)",IF(C1271&lt;=20,"Evening (17-20)","Late (21-23)")))))</f>
        <v/>
      </c>
    </row>
    <row r="1272" customFormat="false" ht="15" hidden="false" customHeight="false" outlineLevel="0" collapsed="false">
      <c r="L1272" s="37" t="str">
        <f aca="false">IF(C1272="","",IF(C1272&lt;=5,"Night (00-05)",IF(C1272&lt;=11,"Morning (06-11)",IF(C1272&lt;=16,"Afternoon (12-16)",IF(C1272&lt;=20,"Evening (17-20)","Late (21-23)")))))</f>
        <v/>
      </c>
    </row>
    <row r="1273" customFormat="false" ht="15" hidden="false" customHeight="false" outlineLevel="0" collapsed="false">
      <c r="L1273" s="37" t="str">
        <f aca="false">IF(C1273="","",IF(C1273&lt;=5,"Night (00-05)",IF(C1273&lt;=11,"Morning (06-11)",IF(C1273&lt;=16,"Afternoon (12-16)",IF(C1273&lt;=20,"Evening (17-20)","Late (21-23)")))))</f>
        <v/>
      </c>
    </row>
    <row r="1274" customFormat="false" ht="15" hidden="false" customHeight="false" outlineLevel="0" collapsed="false">
      <c r="L1274" s="37" t="str">
        <f aca="false">IF(C1274="","",IF(C1274&lt;=5,"Night (00-05)",IF(C1274&lt;=11,"Morning (06-11)",IF(C1274&lt;=16,"Afternoon (12-16)",IF(C1274&lt;=20,"Evening (17-20)","Late (21-23)")))))</f>
        <v/>
      </c>
    </row>
    <row r="1275" customFormat="false" ht="15" hidden="false" customHeight="false" outlineLevel="0" collapsed="false">
      <c r="L1275" s="37" t="str">
        <f aca="false">IF(C1275="","",IF(C1275&lt;=5,"Night (00-05)",IF(C1275&lt;=11,"Morning (06-11)",IF(C1275&lt;=16,"Afternoon (12-16)",IF(C1275&lt;=20,"Evening (17-20)","Late (21-23)")))))</f>
        <v/>
      </c>
    </row>
    <row r="1276" customFormat="false" ht="15" hidden="false" customHeight="false" outlineLevel="0" collapsed="false">
      <c r="L1276" s="37" t="str">
        <f aca="false">IF(C1276="","",IF(C1276&lt;=5,"Night (00-05)",IF(C1276&lt;=11,"Morning (06-11)",IF(C1276&lt;=16,"Afternoon (12-16)",IF(C1276&lt;=20,"Evening (17-20)","Late (21-23)")))))</f>
        <v/>
      </c>
    </row>
    <row r="1277" customFormat="false" ht="15" hidden="false" customHeight="false" outlineLevel="0" collapsed="false">
      <c r="L1277" s="37" t="str">
        <f aca="false">IF(C1277="","",IF(C1277&lt;=5,"Night (00-05)",IF(C1277&lt;=11,"Morning (06-11)",IF(C1277&lt;=16,"Afternoon (12-16)",IF(C1277&lt;=20,"Evening (17-20)","Late (21-23)")))))</f>
        <v/>
      </c>
    </row>
    <row r="1278" customFormat="false" ht="15" hidden="false" customHeight="false" outlineLevel="0" collapsed="false">
      <c r="L1278" s="37" t="str">
        <f aca="false">IF(C1278="","",IF(C1278&lt;=5,"Night (00-05)",IF(C1278&lt;=11,"Morning (06-11)",IF(C1278&lt;=16,"Afternoon (12-16)",IF(C1278&lt;=20,"Evening (17-20)","Late (21-23)")))))</f>
        <v/>
      </c>
    </row>
    <row r="1279" customFormat="false" ht="15" hidden="false" customHeight="false" outlineLevel="0" collapsed="false">
      <c r="L1279" s="37" t="str">
        <f aca="false">IF(C1279="","",IF(C1279&lt;=5,"Night (00-05)",IF(C1279&lt;=11,"Morning (06-11)",IF(C1279&lt;=16,"Afternoon (12-16)",IF(C1279&lt;=20,"Evening (17-20)","Late (21-23)")))))</f>
        <v/>
      </c>
    </row>
    <row r="1280" customFormat="false" ht="15" hidden="false" customHeight="false" outlineLevel="0" collapsed="false">
      <c r="L1280" s="37" t="str">
        <f aca="false">IF(C1280="","",IF(C1280&lt;=5,"Night (00-05)",IF(C1280&lt;=11,"Morning (06-11)",IF(C1280&lt;=16,"Afternoon (12-16)",IF(C1280&lt;=20,"Evening (17-20)","Late (21-23)")))))</f>
        <v/>
      </c>
    </row>
    <row r="1281" customFormat="false" ht="15" hidden="false" customHeight="false" outlineLevel="0" collapsed="false">
      <c r="L1281" s="37" t="str">
        <f aca="false">IF(C1281="","",IF(C1281&lt;=5,"Night (00-05)",IF(C1281&lt;=11,"Morning (06-11)",IF(C1281&lt;=16,"Afternoon (12-16)",IF(C1281&lt;=20,"Evening (17-20)","Late (21-23)")))))</f>
        <v/>
      </c>
    </row>
    <row r="1282" customFormat="false" ht="15" hidden="false" customHeight="false" outlineLevel="0" collapsed="false">
      <c r="L1282" s="37" t="str">
        <f aca="false">IF(C1282="","",IF(C1282&lt;=5,"Night (00-05)",IF(C1282&lt;=11,"Morning (06-11)",IF(C1282&lt;=16,"Afternoon (12-16)",IF(C1282&lt;=20,"Evening (17-20)","Late (21-23)")))))</f>
        <v/>
      </c>
    </row>
    <row r="1283" customFormat="false" ht="15" hidden="false" customHeight="false" outlineLevel="0" collapsed="false">
      <c r="L1283" s="37" t="str">
        <f aca="false">IF(C1283="","",IF(C1283&lt;=5,"Night (00-05)",IF(C1283&lt;=11,"Morning (06-11)",IF(C1283&lt;=16,"Afternoon (12-16)",IF(C1283&lt;=20,"Evening (17-20)","Late (21-23)")))))</f>
        <v/>
      </c>
    </row>
    <row r="1284" customFormat="false" ht="15" hidden="false" customHeight="false" outlineLevel="0" collapsed="false">
      <c r="L1284" s="37" t="str">
        <f aca="false">IF(C1284="","",IF(C1284&lt;=5,"Night (00-05)",IF(C1284&lt;=11,"Morning (06-11)",IF(C1284&lt;=16,"Afternoon (12-16)",IF(C1284&lt;=20,"Evening (17-20)","Late (21-23)")))))</f>
        <v/>
      </c>
    </row>
    <row r="1285" customFormat="false" ht="15" hidden="false" customHeight="false" outlineLevel="0" collapsed="false">
      <c r="L1285" s="37" t="str">
        <f aca="false">IF(C1285="","",IF(C1285&lt;=5,"Night (00-05)",IF(C1285&lt;=11,"Morning (06-11)",IF(C1285&lt;=16,"Afternoon (12-16)",IF(C1285&lt;=20,"Evening (17-20)","Late (21-23)")))))</f>
        <v/>
      </c>
    </row>
    <row r="1286" customFormat="false" ht="15" hidden="false" customHeight="false" outlineLevel="0" collapsed="false">
      <c r="L1286" s="37" t="str">
        <f aca="false">IF(C1286="","",IF(C1286&lt;=5,"Night (00-05)",IF(C1286&lt;=11,"Morning (06-11)",IF(C1286&lt;=16,"Afternoon (12-16)",IF(C1286&lt;=20,"Evening (17-20)","Late (21-23)")))))</f>
        <v/>
      </c>
    </row>
    <row r="1287" customFormat="false" ht="15" hidden="false" customHeight="false" outlineLevel="0" collapsed="false">
      <c r="L1287" s="37" t="str">
        <f aca="false">IF(C1287="","",IF(C1287&lt;=5,"Night (00-05)",IF(C1287&lt;=11,"Morning (06-11)",IF(C1287&lt;=16,"Afternoon (12-16)",IF(C1287&lt;=20,"Evening (17-20)","Late (21-23)")))))</f>
        <v/>
      </c>
    </row>
    <row r="1288" customFormat="false" ht="15" hidden="false" customHeight="false" outlineLevel="0" collapsed="false">
      <c r="L1288" s="37" t="str">
        <f aca="false">IF(C1288="","",IF(C1288&lt;=5,"Night (00-05)",IF(C1288&lt;=11,"Morning (06-11)",IF(C1288&lt;=16,"Afternoon (12-16)",IF(C1288&lt;=20,"Evening (17-20)","Late (21-23)")))))</f>
        <v/>
      </c>
    </row>
    <row r="1289" customFormat="false" ht="15" hidden="false" customHeight="false" outlineLevel="0" collapsed="false">
      <c r="L1289" s="37" t="str">
        <f aca="false">IF(C1289="","",IF(C1289&lt;=5,"Night (00-05)",IF(C1289&lt;=11,"Morning (06-11)",IF(C1289&lt;=16,"Afternoon (12-16)",IF(C1289&lt;=20,"Evening (17-20)","Late (21-23)")))))</f>
        <v/>
      </c>
    </row>
    <row r="1290" customFormat="false" ht="15" hidden="false" customHeight="false" outlineLevel="0" collapsed="false">
      <c r="L1290" s="37" t="str">
        <f aca="false">IF(C1290="","",IF(C1290&lt;=5,"Night (00-05)",IF(C1290&lt;=11,"Morning (06-11)",IF(C1290&lt;=16,"Afternoon (12-16)",IF(C1290&lt;=20,"Evening (17-20)","Late (21-23)")))))</f>
        <v/>
      </c>
    </row>
    <row r="1291" customFormat="false" ht="15" hidden="false" customHeight="false" outlineLevel="0" collapsed="false">
      <c r="L1291" s="37" t="str">
        <f aca="false">IF(C1291="","",IF(C1291&lt;=5,"Night (00-05)",IF(C1291&lt;=11,"Morning (06-11)",IF(C1291&lt;=16,"Afternoon (12-16)",IF(C1291&lt;=20,"Evening (17-20)","Late (21-23)")))))</f>
        <v/>
      </c>
    </row>
    <row r="1292" customFormat="false" ht="15" hidden="false" customHeight="false" outlineLevel="0" collapsed="false">
      <c r="L1292" s="37" t="str">
        <f aca="false">IF(C1292="","",IF(C1292&lt;=5,"Night (00-05)",IF(C1292&lt;=11,"Morning (06-11)",IF(C1292&lt;=16,"Afternoon (12-16)",IF(C1292&lt;=20,"Evening (17-20)","Late (21-23)")))))</f>
        <v/>
      </c>
    </row>
    <row r="1293" customFormat="false" ht="15" hidden="false" customHeight="false" outlineLevel="0" collapsed="false">
      <c r="L1293" s="37" t="str">
        <f aca="false">IF(C1293="","",IF(C1293&lt;=5,"Night (00-05)",IF(C1293&lt;=11,"Morning (06-11)",IF(C1293&lt;=16,"Afternoon (12-16)",IF(C1293&lt;=20,"Evening (17-20)","Late (21-23)")))))</f>
        <v/>
      </c>
    </row>
    <row r="1294" customFormat="false" ht="15" hidden="false" customHeight="false" outlineLevel="0" collapsed="false">
      <c r="L1294" s="37" t="str">
        <f aca="false">IF(C1294="","",IF(C1294&lt;=5,"Night (00-05)",IF(C1294&lt;=11,"Morning (06-11)",IF(C1294&lt;=16,"Afternoon (12-16)",IF(C1294&lt;=20,"Evening (17-20)","Late (21-23)")))))</f>
        <v/>
      </c>
    </row>
    <row r="1295" customFormat="false" ht="15" hidden="false" customHeight="false" outlineLevel="0" collapsed="false">
      <c r="L1295" s="37" t="str">
        <f aca="false">IF(C1295="","",IF(C1295&lt;=5,"Night (00-05)",IF(C1295&lt;=11,"Morning (06-11)",IF(C1295&lt;=16,"Afternoon (12-16)",IF(C1295&lt;=20,"Evening (17-20)","Late (21-23)")))))</f>
        <v/>
      </c>
    </row>
    <row r="1296" customFormat="false" ht="15" hidden="false" customHeight="false" outlineLevel="0" collapsed="false">
      <c r="L1296" s="37" t="str">
        <f aca="false">IF(C1296="","",IF(C1296&lt;=5,"Night (00-05)",IF(C1296&lt;=11,"Morning (06-11)",IF(C1296&lt;=16,"Afternoon (12-16)",IF(C1296&lt;=20,"Evening (17-20)","Late (21-23)")))))</f>
        <v/>
      </c>
    </row>
    <row r="1297" customFormat="false" ht="15" hidden="false" customHeight="false" outlineLevel="0" collapsed="false">
      <c r="L1297" s="37" t="str">
        <f aca="false">IF(C1297="","",IF(C1297&lt;=5,"Night (00-05)",IF(C1297&lt;=11,"Morning (06-11)",IF(C1297&lt;=16,"Afternoon (12-16)",IF(C1297&lt;=20,"Evening (17-20)","Late (21-23)")))))</f>
        <v/>
      </c>
    </row>
    <row r="1298" customFormat="false" ht="15" hidden="false" customHeight="false" outlineLevel="0" collapsed="false">
      <c r="L1298" s="37" t="str">
        <f aca="false">IF(C1298="","",IF(C1298&lt;=5,"Night (00-05)",IF(C1298&lt;=11,"Morning (06-11)",IF(C1298&lt;=16,"Afternoon (12-16)",IF(C1298&lt;=20,"Evening (17-20)","Late (21-23)")))))</f>
        <v/>
      </c>
    </row>
    <row r="1299" customFormat="false" ht="15" hidden="false" customHeight="false" outlineLevel="0" collapsed="false">
      <c r="L1299" s="37" t="str">
        <f aca="false">IF(C1299="","",IF(C1299&lt;=5,"Night (00-05)",IF(C1299&lt;=11,"Morning (06-11)",IF(C1299&lt;=16,"Afternoon (12-16)",IF(C1299&lt;=20,"Evening (17-20)","Late (21-23)")))))</f>
        <v/>
      </c>
    </row>
    <row r="1300" customFormat="false" ht="15" hidden="false" customHeight="false" outlineLevel="0" collapsed="false">
      <c r="L1300" s="37" t="str">
        <f aca="false">IF(C1300="","",IF(C1300&lt;=5,"Night (00-05)",IF(C1300&lt;=11,"Morning (06-11)",IF(C1300&lt;=16,"Afternoon (12-16)",IF(C1300&lt;=20,"Evening (17-20)","Late (21-23)")))))</f>
        <v/>
      </c>
    </row>
    <row r="1301" customFormat="false" ht="15" hidden="false" customHeight="false" outlineLevel="0" collapsed="false">
      <c r="L1301" s="37" t="str">
        <f aca="false">IF(C1301="","",IF(C1301&lt;=5,"Night (00-05)",IF(C1301&lt;=11,"Morning (06-11)",IF(C1301&lt;=16,"Afternoon (12-16)",IF(C1301&lt;=20,"Evening (17-20)","Late (21-23)")))))</f>
        <v/>
      </c>
    </row>
    <row r="1302" customFormat="false" ht="15" hidden="false" customHeight="false" outlineLevel="0" collapsed="false">
      <c r="L1302" s="37" t="str">
        <f aca="false">IF(C1302="","",IF(C1302&lt;=5,"Night (00-05)",IF(C1302&lt;=11,"Morning (06-11)",IF(C1302&lt;=16,"Afternoon (12-16)",IF(C1302&lt;=20,"Evening (17-20)","Late (21-23)")))))</f>
        <v/>
      </c>
    </row>
    <row r="1303" customFormat="false" ht="15" hidden="false" customHeight="false" outlineLevel="0" collapsed="false">
      <c r="L1303" s="37" t="str">
        <f aca="false">IF(C1303="","",IF(C1303&lt;=5,"Night (00-05)",IF(C1303&lt;=11,"Morning (06-11)",IF(C1303&lt;=16,"Afternoon (12-16)",IF(C1303&lt;=20,"Evening (17-20)","Late (21-23)")))))</f>
        <v/>
      </c>
    </row>
    <row r="1304" customFormat="false" ht="15" hidden="false" customHeight="false" outlineLevel="0" collapsed="false">
      <c r="L1304" s="37" t="str">
        <f aca="false">IF(C1304="","",IF(C1304&lt;=5,"Night (00-05)",IF(C1304&lt;=11,"Morning (06-11)",IF(C1304&lt;=16,"Afternoon (12-16)",IF(C1304&lt;=20,"Evening (17-20)","Late (21-23)")))))</f>
        <v/>
      </c>
    </row>
    <row r="1305" customFormat="false" ht="15" hidden="false" customHeight="false" outlineLevel="0" collapsed="false">
      <c r="L1305" s="37" t="str">
        <f aca="false">IF(C1305="","",IF(C1305&lt;=5,"Night (00-05)",IF(C1305&lt;=11,"Morning (06-11)",IF(C1305&lt;=16,"Afternoon (12-16)",IF(C1305&lt;=20,"Evening (17-20)","Late (21-23)")))))</f>
        <v/>
      </c>
    </row>
    <row r="1306" customFormat="false" ht="15" hidden="false" customHeight="false" outlineLevel="0" collapsed="false">
      <c r="L1306" s="37" t="str">
        <f aca="false">IF(C1306="","",IF(C1306&lt;=5,"Night (00-05)",IF(C1306&lt;=11,"Morning (06-11)",IF(C1306&lt;=16,"Afternoon (12-16)",IF(C1306&lt;=20,"Evening (17-20)","Late (21-23)")))))</f>
        <v/>
      </c>
    </row>
    <row r="1307" customFormat="false" ht="15" hidden="false" customHeight="false" outlineLevel="0" collapsed="false">
      <c r="L1307" s="37" t="str">
        <f aca="false">IF(C1307="","",IF(C1307&lt;=5,"Night (00-05)",IF(C1307&lt;=11,"Morning (06-11)",IF(C1307&lt;=16,"Afternoon (12-16)",IF(C1307&lt;=20,"Evening (17-20)","Late (21-23)")))))</f>
        <v/>
      </c>
    </row>
    <row r="1308" customFormat="false" ht="15" hidden="false" customHeight="false" outlineLevel="0" collapsed="false">
      <c r="L1308" s="37" t="str">
        <f aca="false">IF(C1308="","",IF(C1308&lt;=5,"Night (00-05)",IF(C1308&lt;=11,"Morning (06-11)",IF(C1308&lt;=16,"Afternoon (12-16)",IF(C1308&lt;=20,"Evening (17-20)","Late (21-23)")))))</f>
        <v/>
      </c>
    </row>
    <row r="1309" customFormat="false" ht="15" hidden="false" customHeight="false" outlineLevel="0" collapsed="false">
      <c r="L1309" s="37" t="str">
        <f aca="false">IF(C1309="","",IF(C1309&lt;=5,"Night (00-05)",IF(C1309&lt;=11,"Morning (06-11)",IF(C1309&lt;=16,"Afternoon (12-16)",IF(C1309&lt;=20,"Evening (17-20)","Late (21-23)")))))</f>
        <v/>
      </c>
    </row>
    <row r="1310" customFormat="false" ht="15" hidden="false" customHeight="false" outlineLevel="0" collapsed="false">
      <c r="L1310" s="37" t="str">
        <f aca="false">IF(C1310="","",IF(C1310&lt;=5,"Night (00-05)",IF(C1310&lt;=11,"Morning (06-11)",IF(C1310&lt;=16,"Afternoon (12-16)",IF(C1310&lt;=20,"Evening (17-20)","Late (21-23)")))))</f>
        <v/>
      </c>
    </row>
    <row r="1311" customFormat="false" ht="15" hidden="false" customHeight="false" outlineLevel="0" collapsed="false">
      <c r="L1311" s="37" t="str">
        <f aca="false">IF(C1311="","",IF(C1311&lt;=5,"Night (00-05)",IF(C1311&lt;=11,"Morning (06-11)",IF(C1311&lt;=16,"Afternoon (12-16)",IF(C1311&lt;=20,"Evening (17-20)","Late (21-23)")))))</f>
        <v/>
      </c>
    </row>
    <row r="1312" customFormat="false" ht="15" hidden="false" customHeight="false" outlineLevel="0" collapsed="false">
      <c r="L1312" s="37" t="str">
        <f aca="false">IF(C1312="","",IF(C1312&lt;=5,"Night (00-05)",IF(C1312&lt;=11,"Morning (06-11)",IF(C1312&lt;=16,"Afternoon (12-16)",IF(C1312&lt;=20,"Evening (17-20)","Late (21-23)")))))</f>
        <v/>
      </c>
    </row>
    <row r="1313" customFormat="false" ht="15" hidden="false" customHeight="false" outlineLevel="0" collapsed="false">
      <c r="L1313" s="37" t="str">
        <f aca="false">IF(C1313="","",IF(C1313&lt;=5,"Night (00-05)",IF(C1313&lt;=11,"Morning (06-11)",IF(C1313&lt;=16,"Afternoon (12-16)",IF(C1313&lt;=20,"Evening (17-20)","Late (21-23)")))))</f>
        <v/>
      </c>
    </row>
    <row r="1314" customFormat="false" ht="15" hidden="false" customHeight="false" outlineLevel="0" collapsed="false">
      <c r="L1314" s="37" t="str">
        <f aca="false">IF(C1314="","",IF(C1314&lt;=5,"Night (00-05)",IF(C1314&lt;=11,"Morning (06-11)",IF(C1314&lt;=16,"Afternoon (12-16)",IF(C1314&lt;=20,"Evening (17-20)","Late (21-23)")))))</f>
        <v/>
      </c>
    </row>
    <row r="1315" customFormat="false" ht="15" hidden="false" customHeight="false" outlineLevel="0" collapsed="false">
      <c r="L1315" s="37" t="str">
        <f aca="false">IF(C1315="","",IF(C1315&lt;=5,"Night (00-05)",IF(C1315&lt;=11,"Morning (06-11)",IF(C1315&lt;=16,"Afternoon (12-16)",IF(C1315&lt;=20,"Evening (17-20)","Late (21-23)")))))</f>
        <v/>
      </c>
    </row>
    <row r="1316" customFormat="false" ht="15" hidden="false" customHeight="false" outlineLevel="0" collapsed="false">
      <c r="L1316" s="37" t="str">
        <f aca="false">IF(C1316="","",IF(C1316&lt;=5,"Night (00-05)",IF(C1316&lt;=11,"Morning (06-11)",IF(C1316&lt;=16,"Afternoon (12-16)",IF(C1316&lt;=20,"Evening (17-20)","Late (21-23)")))))</f>
        <v/>
      </c>
    </row>
    <row r="1317" customFormat="false" ht="15" hidden="false" customHeight="false" outlineLevel="0" collapsed="false">
      <c r="L1317" s="37" t="str">
        <f aca="false">IF(C1317="","",IF(C1317&lt;=5,"Night (00-05)",IF(C1317&lt;=11,"Morning (06-11)",IF(C1317&lt;=16,"Afternoon (12-16)",IF(C1317&lt;=20,"Evening (17-20)","Late (21-23)")))))</f>
        <v/>
      </c>
    </row>
    <row r="1318" customFormat="false" ht="15" hidden="false" customHeight="false" outlineLevel="0" collapsed="false">
      <c r="L1318" s="37" t="str">
        <f aca="false">IF(C1318="","",IF(C1318&lt;=5,"Night (00-05)",IF(C1318&lt;=11,"Morning (06-11)",IF(C1318&lt;=16,"Afternoon (12-16)",IF(C1318&lt;=20,"Evening (17-20)","Late (21-23)")))))</f>
        <v/>
      </c>
    </row>
    <row r="1319" customFormat="false" ht="15" hidden="false" customHeight="false" outlineLevel="0" collapsed="false">
      <c r="L1319" s="37" t="str">
        <f aca="false">IF(C1319="","",IF(C1319&lt;=5,"Night (00-05)",IF(C1319&lt;=11,"Morning (06-11)",IF(C1319&lt;=16,"Afternoon (12-16)",IF(C1319&lt;=20,"Evening (17-20)","Late (21-23)")))))</f>
        <v/>
      </c>
    </row>
    <row r="1320" customFormat="false" ht="15" hidden="false" customHeight="false" outlineLevel="0" collapsed="false">
      <c r="L1320" s="37" t="str">
        <f aca="false">IF(C1320="","",IF(C1320&lt;=5,"Night (00-05)",IF(C1320&lt;=11,"Morning (06-11)",IF(C1320&lt;=16,"Afternoon (12-16)",IF(C1320&lt;=20,"Evening (17-20)","Late (21-23)")))))</f>
        <v/>
      </c>
    </row>
    <row r="1321" customFormat="false" ht="15" hidden="false" customHeight="false" outlineLevel="0" collapsed="false">
      <c r="L1321" s="37" t="str">
        <f aca="false">IF(C1321="","",IF(C1321&lt;=5,"Night (00-05)",IF(C1321&lt;=11,"Morning (06-11)",IF(C1321&lt;=16,"Afternoon (12-16)",IF(C1321&lt;=20,"Evening (17-20)","Late (21-23)")))))</f>
        <v/>
      </c>
    </row>
    <row r="1322" customFormat="false" ht="15" hidden="false" customHeight="false" outlineLevel="0" collapsed="false">
      <c r="L1322" s="37" t="str">
        <f aca="false">IF(C1322="","",IF(C1322&lt;=5,"Night (00-05)",IF(C1322&lt;=11,"Morning (06-11)",IF(C1322&lt;=16,"Afternoon (12-16)",IF(C1322&lt;=20,"Evening (17-20)","Late (21-23)")))))</f>
        <v/>
      </c>
    </row>
    <row r="1323" customFormat="false" ht="15" hidden="false" customHeight="false" outlineLevel="0" collapsed="false">
      <c r="L1323" s="37" t="str">
        <f aca="false">IF(C1323="","",IF(C1323&lt;=5,"Night (00-05)",IF(C1323&lt;=11,"Morning (06-11)",IF(C1323&lt;=16,"Afternoon (12-16)",IF(C1323&lt;=20,"Evening (17-20)","Late (21-23)")))))</f>
        <v/>
      </c>
    </row>
    <row r="1324" customFormat="false" ht="15" hidden="false" customHeight="false" outlineLevel="0" collapsed="false">
      <c r="L1324" s="37" t="str">
        <f aca="false">IF(C1324="","",IF(C1324&lt;=5,"Night (00-05)",IF(C1324&lt;=11,"Morning (06-11)",IF(C1324&lt;=16,"Afternoon (12-16)",IF(C1324&lt;=20,"Evening (17-20)","Late (21-23)")))))</f>
        <v/>
      </c>
    </row>
    <row r="1325" customFormat="false" ht="15" hidden="false" customHeight="false" outlineLevel="0" collapsed="false">
      <c r="L1325" s="37" t="str">
        <f aca="false">IF(C1325="","",IF(C1325&lt;=5,"Night (00-05)",IF(C1325&lt;=11,"Morning (06-11)",IF(C1325&lt;=16,"Afternoon (12-16)",IF(C1325&lt;=20,"Evening (17-20)","Late (21-23)")))))</f>
        <v/>
      </c>
    </row>
    <row r="1326" customFormat="false" ht="15" hidden="false" customHeight="false" outlineLevel="0" collapsed="false">
      <c r="L1326" s="37" t="str">
        <f aca="false">IF(C1326="","",IF(C1326&lt;=5,"Night (00-05)",IF(C1326&lt;=11,"Morning (06-11)",IF(C1326&lt;=16,"Afternoon (12-16)",IF(C1326&lt;=20,"Evening (17-20)","Late (21-23)")))))</f>
        <v/>
      </c>
    </row>
    <row r="1327" customFormat="false" ht="15" hidden="false" customHeight="false" outlineLevel="0" collapsed="false">
      <c r="L1327" s="37" t="str">
        <f aca="false">IF(C1327="","",IF(C1327&lt;=5,"Night (00-05)",IF(C1327&lt;=11,"Morning (06-11)",IF(C1327&lt;=16,"Afternoon (12-16)",IF(C1327&lt;=20,"Evening (17-20)","Late (21-23)")))))</f>
        <v/>
      </c>
    </row>
    <row r="1328" customFormat="false" ht="15" hidden="false" customHeight="false" outlineLevel="0" collapsed="false">
      <c r="L1328" s="37" t="str">
        <f aca="false">IF(C1328="","",IF(C1328&lt;=5,"Night (00-05)",IF(C1328&lt;=11,"Morning (06-11)",IF(C1328&lt;=16,"Afternoon (12-16)",IF(C1328&lt;=20,"Evening (17-20)","Late (21-23)")))))</f>
        <v/>
      </c>
    </row>
    <row r="1329" customFormat="false" ht="15" hidden="false" customHeight="false" outlineLevel="0" collapsed="false">
      <c r="L1329" s="37" t="str">
        <f aca="false">IF(C1329="","",IF(C1329&lt;=5,"Night (00-05)",IF(C1329&lt;=11,"Morning (06-11)",IF(C1329&lt;=16,"Afternoon (12-16)",IF(C1329&lt;=20,"Evening (17-20)","Late (21-23)")))))</f>
        <v/>
      </c>
    </row>
    <row r="1330" customFormat="false" ht="15" hidden="false" customHeight="false" outlineLevel="0" collapsed="false">
      <c r="L1330" s="37" t="str">
        <f aca="false">IF(C1330="","",IF(C1330&lt;=5,"Night (00-05)",IF(C1330&lt;=11,"Morning (06-11)",IF(C1330&lt;=16,"Afternoon (12-16)",IF(C1330&lt;=20,"Evening (17-20)","Late (21-23)")))))</f>
        <v/>
      </c>
    </row>
    <row r="1331" customFormat="false" ht="15" hidden="false" customHeight="false" outlineLevel="0" collapsed="false">
      <c r="L1331" s="37" t="str">
        <f aca="false">IF(C1331="","",IF(C1331&lt;=5,"Night (00-05)",IF(C1331&lt;=11,"Morning (06-11)",IF(C1331&lt;=16,"Afternoon (12-16)",IF(C1331&lt;=20,"Evening (17-20)","Late (21-23)")))))</f>
        <v/>
      </c>
    </row>
    <row r="1332" customFormat="false" ht="15" hidden="false" customHeight="false" outlineLevel="0" collapsed="false">
      <c r="L1332" s="37" t="str">
        <f aca="false">IF(C1332="","",IF(C1332&lt;=5,"Night (00-05)",IF(C1332&lt;=11,"Morning (06-11)",IF(C1332&lt;=16,"Afternoon (12-16)",IF(C1332&lt;=20,"Evening (17-20)","Late (21-23)")))))</f>
        <v/>
      </c>
    </row>
    <row r="1333" customFormat="false" ht="15" hidden="false" customHeight="false" outlineLevel="0" collapsed="false">
      <c r="L1333" s="37" t="str">
        <f aca="false">IF(C1333="","",IF(C1333&lt;=5,"Night (00-05)",IF(C1333&lt;=11,"Morning (06-11)",IF(C1333&lt;=16,"Afternoon (12-16)",IF(C1333&lt;=20,"Evening (17-20)","Late (21-23)")))))</f>
        <v/>
      </c>
    </row>
    <row r="1334" customFormat="false" ht="15" hidden="false" customHeight="false" outlineLevel="0" collapsed="false">
      <c r="L1334" s="37" t="str">
        <f aca="false">IF(C1334="","",IF(C1334&lt;=5,"Night (00-05)",IF(C1334&lt;=11,"Morning (06-11)",IF(C1334&lt;=16,"Afternoon (12-16)",IF(C1334&lt;=20,"Evening (17-20)","Late (21-23)")))))</f>
        <v/>
      </c>
    </row>
    <row r="1335" customFormat="false" ht="15" hidden="false" customHeight="false" outlineLevel="0" collapsed="false">
      <c r="L1335" s="37" t="str">
        <f aca="false">IF(C1335="","",IF(C1335&lt;=5,"Night (00-05)",IF(C1335&lt;=11,"Morning (06-11)",IF(C1335&lt;=16,"Afternoon (12-16)",IF(C1335&lt;=20,"Evening (17-20)","Late (21-23)")))))</f>
        <v/>
      </c>
    </row>
    <row r="1336" customFormat="false" ht="15" hidden="false" customHeight="false" outlineLevel="0" collapsed="false">
      <c r="L1336" s="37" t="str">
        <f aca="false">IF(C1336="","",IF(C1336&lt;=5,"Night (00-05)",IF(C1336&lt;=11,"Morning (06-11)",IF(C1336&lt;=16,"Afternoon (12-16)",IF(C1336&lt;=20,"Evening (17-20)","Late (21-23)")))))</f>
        <v/>
      </c>
    </row>
    <row r="1337" customFormat="false" ht="15" hidden="false" customHeight="false" outlineLevel="0" collapsed="false">
      <c r="L1337" s="37" t="str">
        <f aca="false">IF(C1337="","",IF(C1337&lt;=5,"Night (00-05)",IF(C1337&lt;=11,"Morning (06-11)",IF(C1337&lt;=16,"Afternoon (12-16)",IF(C1337&lt;=20,"Evening (17-20)","Late (21-23)")))))</f>
        <v/>
      </c>
    </row>
    <row r="1338" customFormat="false" ht="15" hidden="false" customHeight="false" outlineLevel="0" collapsed="false">
      <c r="L1338" s="37" t="str">
        <f aca="false">IF(C1338="","",IF(C1338&lt;=5,"Night (00-05)",IF(C1338&lt;=11,"Morning (06-11)",IF(C1338&lt;=16,"Afternoon (12-16)",IF(C1338&lt;=20,"Evening (17-20)","Late (21-23)")))))</f>
        <v/>
      </c>
    </row>
    <row r="1339" customFormat="false" ht="15" hidden="false" customHeight="false" outlineLevel="0" collapsed="false">
      <c r="L1339" s="37" t="str">
        <f aca="false">IF(C1339="","",IF(C1339&lt;=5,"Night (00-05)",IF(C1339&lt;=11,"Morning (06-11)",IF(C1339&lt;=16,"Afternoon (12-16)",IF(C1339&lt;=20,"Evening (17-20)","Late (21-23)")))))</f>
        <v/>
      </c>
    </row>
    <row r="1340" customFormat="false" ht="15" hidden="false" customHeight="false" outlineLevel="0" collapsed="false">
      <c r="L1340" s="37" t="str">
        <f aca="false">IF(C1340="","",IF(C1340&lt;=5,"Night (00-05)",IF(C1340&lt;=11,"Morning (06-11)",IF(C1340&lt;=16,"Afternoon (12-16)",IF(C1340&lt;=20,"Evening (17-20)","Late (21-23)")))))</f>
        <v/>
      </c>
    </row>
    <row r="1341" customFormat="false" ht="15" hidden="false" customHeight="false" outlineLevel="0" collapsed="false">
      <c r="L1341" s="37" t="str">
        <f aca="false">IF(C1341="","",IF(C1341&lt;=5,"Night (00-05)",IF(C1341&lt;=11,"Morning (06-11)",IF(C1341&lt;=16,"Afternoon (12-16)",IF(C1341&lt;=20,"Evening (17-20)","Late (21-23)")))))</f>
        <v/>
      </c>
    </row>
    <row r="1342" customFormat="false" ht="15" hidden="false" customHeight="false" outlineLevel="0" collapsed="false">
      <c r="L1342" s="37" t="str">
        <f aca="false">IF(C1342="","",IF(C1342&lt;=5,"Night (00-05)",IF(C1342&lt;=11,"Morning (06-11)",IF(C1342&lt;=16,"Afternoon (12-16)",IF(C1342&lt;=20,"Evening (17-20)","Late (21-23)")))))</f>
        <v/>
      </c>
    </row>
    <row r="1343" customFormat="false" ht="15" hidden="false" customHeight="false" outlineLevel="0" collapsed="false">
      <c r="L1343" s="37" t="str">
        <f aca="false">IF(C1343="","",IF(C1343&lt;=5,"Night (00-05)",IF(C1343&lt;=11,"Morning (06-11)",IF(C1343&lt;=16,"Afternoon (12-16)",IF(C1343&lt;=20,"Evening (17-20)","Late (21-23)")))))</f>
        <v/>
      </c>
    </row>
    <row r="1344" customFormat="false" ht="15" hidden="false" customHeight="false" outlineLevel="0" collapsed="false">
      <c r="L1344" s="37" t="str">
        <f aca="false">IF(C1344="","",IF(C1344&lt;=5,"Night (00-05)",IF(C1344&lt;=11,"Morning (06-11)",IF(C1344&lt;=16,"Afternoon (12-16)",IF(C1344&lt;=20,"Evening (17-20)","Late (21-23)")))))</f>
        <v/>
      </c>
    </row>
    <row r="1345" customFormat="false" ht="15" hidden="false" customHeight="false" outlineLevel="0" collapsed="false">
      <c r="L1345" s="37" t="str">
        <f aca="false">IF(C1345="","",IF(C1345&lt;=5,"Night (00-05)",IF(C1345&lt;=11,"Morning (06-11)",IF(C1345&lt;=16,"Afternoon (12-16)",IF(C1345&lt;=20,"Evening (17-20)","Late (21-23)")))))</f>
        <v/>
      </c>
    </row>
    <row r="1346" customFormat="false" ht="15" hidden="false" customHeight="false" outlineLevel="0" collapsed="false">
      <c r="L1346" s="37" t="str">
        <f aca="false">IF(C1346="","",IF(C1346&lt;=5,"Night (00-05)",IF(C1346&lt;=11,"Morning (06-11)",IF(C1346&lt;=16,"Afternoon (12-16)",IF(C1346&lt;=20,"Evening (17-20)","Late (21-23)")))))</f>
        <v/>
      </c>
    </row>
    <row r="1347" customFormat="false" ht="15" hidden="false" customHeight="false" outlineLevel="0" collapsed="false">
      <c r="L1347" s="37" t="str">
        <f aca="false">IF(C1347="","",IF(C1347&lt;=5,"Night (00-05)",IF(C1347&lt;=11,"Morning (06-11)",IF(C1347&lt;=16,"Afternoon (12-16)",IF(C1347&lt;=20,"Evening (17-20)","Late (21-23)")))))</f>
        <v/>
      </c>
    </row>
    <row r="1348" customFormat="false" ht="15" hidden="false" customHeight="false" outlineLevel="0" collapsed="false">
      <c r="L1348" s="37" t="str">
        <f aca="false">IF(C1348="","",IF(C1348&lt;=5,"Night (00-05)",IF(C1348&lt;=11,"Morning (06-11)",IF(C1348&lt;=16,"Afternoon (12-16)",IF(C1348&lt;=20,"Evening (17-20)","Late (21-23)")))))</f>
        <v/>
      </c>
    </row>
    <row r="1349" customFormat="false" ht="15" hidden="false" customHeight="false" outlineLevel="0" collapsed="false">
      <c r="L1349" s="37" t="str">
        <f aca="false">IF(C1349="","",IF(C1349&lt;=5,"Night (00-05)",IF(C1349&lt;=11,"Morning (06-11)",IF(C1349&lt;=16,"Afternoon (12-16)",IF(C1349&lt;=20,"Evening (17-20)","Late (21-23)")))))</f>
        <v/>
      </c>
    </row>
    <row r="1350" customFormat="false" ht="15" hidden="false" customHeight="false" outlineLevel="0" collapsed="false">
      <c r="L1350" s="37" t="str">
        <f aca="false">IF(C1350="","",IF(C1350&lt;=5,"Night (00-05)",IF(C1350&lt;=11,"Morning (06-11)",IF(C1350&lt;=16,"Afternoon (12-16)",IF(C1350&lt;=20,"Evening (17-20)","Late (21-23)")))))</f>
        <v/>
      </c>
    </row>
    <row r="1351" customFormat="false" ht="15" hidden="false" customHeight="false" outlineLevel="0" collapsed="false">
      <c r="L1351" s="37" t="str">
        <f aca="false">IF(C1351="","",IF(C1351&lt;=5,"Night (00-05)",IF(C1351&lt;=11,"Morning (06-11)",IF(C1351&lt;=16,"Afternoon (12-16)",IF(C1351&lt;=20,"Evening (17-20)","Late (21-23)")))))</f>
        <v/>
      </c>
    </row>
    <row r="1352" customFormat="false" ht="15" hidden="false" customHeight="false" outlineLevel="0" collapsed="false">
      <c r="L1352" s="37" t="str">
        <f aca="false">IF(C1352="","",IF(C1352&lt;=5,"Night (00-05)",IF(C1352&lt;=11,"Morning (06-11)",IF(C1352&lt;=16,"Afternoon (12-16)",IF(C1352&lt;=20,"Evening (17-20)","Late (21-23)")))))</f>
        <v/>
      </c>
    </row>
    <row r="1353" customFormat="false" ht="15" hidden="false" customHeight="false" outlineLevel="0" collapsed="false">
      <c r="L1353" s="37" t="str">
        <f aca="false">IF(C1353="","",IF(C1353&lt;=5,"Night (00-05)",IF(C1353&lt;=11,"Morning (06-11)",IF(C1353&lt;=16,"Afternoon (12-16)",IF(C1353&lt;=20,"Evening (17-20)","Late (21-23)")))))</f>
        <v/>
      </c>
    </row>
    <row r="1354" customFormat="false" ht="15" hidden="false" customHeight="false" outlineLevel="0" collapsed="false">
      <c r="L1354" s="37" t="str">
        <f aca="false">IF(C1354="","",IF(C1354&lt;=5,"Night (00-05)",IF(C1354&lt;=11,"Morning (06-11)",IF(C1354&lt;=16,"Afternoon (12-16)",IF(C1354&lt;=20,"Evening (17-20)","Late (21-23)")))))</f>
        <v/>
      </c>
    </row>
    <row r="1355" customFormat="false" ht="15" hidden="false" customHeight="false" outlineLevel="0" collapsed="false">
      <c r="L1355" s="37" t="str">
        <f aca="false">IF(C1355="","",IF(C1355&lt;=5,"Night (00-05)",IF(C1355&lt;=11,"Morning (06-11)",IF(C1355&lt;=16,"Afternoon (12-16)",IF(C1355&lt;=20,"Evening (17-20)","Late (21-23)")))))</f>
        <v/>
      </c>
    </row>
    <row r="1356" customFormat="false" ht="15" hidden="false" customHeight="false" outlineLevel="0" collapsed="false">
      <c r="L1356" s="37" t="str">
        <f aca="false">IF(C1356="","",IF(C1356&lt;=5,"Night (00-05)",IF(C1356&lt;=11,"Morning (06-11)",IF(C1356&lt;=16,"Afternoon (12-16)",IF(C1356&lt;=20,"Evening (17-20)","Late (21-23)")))))</f>
        <v/>
      </c>
    </row>
    <row r="1357" customFormat="false" ht="15" hidden="false" customHeight="false" outlineLevel="0" collapsed="false">
      <c r="L1357" s="37" t="str">
        <f aca="false">IF(C1357="","",IF(C1357&lt;=5,"Night (00-05)",IF(C1357&lt;=11,"Morning (06-11)",IF(C1357&lt;=16,"Afternoon (12-16)",IF(C1357&lt;=20,"Evening (17-20)","Late (21-23)")))))</f>
        <v/>
      </c>
    </row>
    <row r="1358" customFormat="false" ht="15" hidden="false" customHeight="false" outlineLevel="0" collapsed="false">
      <c r="L1358" s="37" t="str">
        <f aca="false">IF(C1358="","",IF(C1358&lt;=5,"Night (00-05)",IF(C1358&lt;=11,"Morning (06-11)",IF(C1358&lt;=16,"Afternoon (12-16)",IF(C1358&lt;=20,"Evening (17-20)","Late (21-23)")))))</f>
        <v/>
      </c>
    </row>
    <row r="1359" customFormat="false" ht="15" hidden="false" customHeight="false" outlineLevel="0" collapsed="false">
      <c r="L1359" s="37" t="str">
        <f aca="false">IF(C1359="","",IF(C1359&lt;=5,"Night (00-05)",IF(C1359&lt;=11,"Morning (06-11)",IF(C1359&lt;=16,"Afternoon (12-16)",IF(C1359&lt;=20,"Evening (17-20)","Late (21-23)")))))</f>
        <v/>
      </c>
    </row>
    <row r="1360" customFormat="false" ht="15" hidden="false" customHeight="false" outlineLevel="0" collapsed="false">
      <c r="L1360" s="37" t="str">
        <f aca="false">IF(C1360="","",IF(C1360&lt;=5,"Night (00-05)",IF(C1360&lt;=11,"Morning (06-11)",IF(C1360&lt;=16,"Afternoon (12-16)",IF(C1360&lt;=20,"Evening (17-20)","Late (21-23)")))))</f>
        <v/>
      </c>
    </row>
    <row r="1361" customFormat="false" ht="15" hidden="false" customHeight="false" outlineLevel="0" collapsed="false">
      <c r="L1361" s="37" t="str">
        <f aca="false">IF(C1361="","",IF(C1361&lt;=5,"Night (00-05)",IF(C1361&lt;=11,"Morning (06-11)",IF(C1361&lt;=16,"Afternoon (12-16)",IF(C1361&lt;=20,"Evening (17-20)","Late (21-23)")))))</f>
        <v/>
      </c>
    </row>
    <row r="1362" customFormat="false" ht="15" hidden="false" customHeight="false" outlineLevel="0" collapsed="false">
      <c r="L1362" s="37" t="str">
        <f aca="false">IF(C1362="","",IF(C1362&lt;=5,"Night (00-05)",IF(C1362&lt;=11,"Morning (06-11)",IF(C1362&lt;=16,"Afternoon (12-16)",IF(C1362&lt;=20,"Evening (17-20)","Late (21-23)")))))</f>
        <v/>
      </c>
    </row>
    <row r="1363" customFormat="false" ht="15" hidden="false" customHeight="false" outlineLevel="0" collapsed="false">
      <c r="L1363" s="37" t="str">
        <f aca="false">IF(C1363="","",IF(C1363&lt;=5,"Night (00-05)",IF(C1363&lt;=11,"Morning (06-11)",IF(C1363&lt;=16,"Afternoon (12-16)",IF(C1363&lt;=20,"Evening (17-20)","Late (21-23)")))))</f>
        <v/>
      </c>
    </row>
    <row r="1364" customFormat="false" ht="15" hidden="false" customHeight="false" outlineLevel="0" collapsed="false">
      <c r="L1364" s="37" t="str">
        <f aca="false">IF(C1364="","",IF(C1364&lt;=5,"Night (00-05)",IF(C1364&lt;=11,"Morning (06-11)",IF(C1364&lt;=16,"Afternoon (12-16)",IF(C1364&lt;=20,"Evening (17-20)","Late (21-23)")))))</f>
        <v/>
      </c>
    </row>
    <row r="1365" customFormat="false" ht="15" hidden="false" customHeight="false" outlineLevel="0" collapsed="false">
      <c r="L1365" s="37" t="str">
        <f aca="false">IF(C1365="","",IF(C1365&lt;=5,"Night (00-05)",IF(C1365&lt;=11,"Morning (06-11)",IF(C1365&lt;=16,"Afternoon (12-16)",IF(C1365&lt;=20,"Evening (17-20)","Late (21-23)")))))</f>
        <v/>
      </c>
    </row>
    <row r="1366" customFormat="false" ht="15" hidden="false" customHeight="false" outlineLevel="0" collapsed="false">
      <c r="L1366" s="37" t="str">
        <f aca="false">IF(C1366="","",IF(C1366&lt;=5,"Night (00-05)",IF(C1366&lt;=11,"Morning (06-11)",IF(C1366&lt;=16,"Afternoon (12-16)",IF(C1366&lt;=20,"Evening (17-20)","Late (21-23)")))))</f>
        <v/>
      </c>
    </row>
    <row r="1367" customFormat="false" ht="15" hidden="false" customHeight="false" outlineLevel="0" collapsed="false">
      <c r="L1367" s="37" t="str">
        <f aca="false">IF(C1367="","",IF(C1367&lt;=5,"Night (00-05)",IF(C1367&lt;=11,"Morning (06-11)",IF(C1367&lt;=16,"Afternoon (12-16)",IF(C1367&lt;=20,"Evening (17-20)","Late (21-23)")))))</f>
        <v/>
      </c>
    </row>
    <row r="1368" customFormat="false" ht="15" hidden="false" customHeight="false" outlineLevel="0" collapsed="false">
      <c r="L1368" s="37" t="str">
        <f aca="false">IF(C1368="","",IF(C1368&lt;=5,"Night (00-05)",IF(C1368&lt;=11,"Morning (06-11)",IF(C1368&lt;=16,"Afternoon (12-16)",IF(C1368&lt;=20,"Evening (17-20)","Late (21-23)")))))</f>
        <v/>
      </c>
    </row>
    <row r="1369" customFormat="false" ht="15" hidden="false" customHeight="false" outlineLevel="0" collapsed="false">
      <c r="L1369" s="37" t="str">
        <f aca="false">IF(C1369="","",IF(C1369&lt;=5,"Night (00-05)",IF(C1369&lt;=11,"Morning (06-11)",IF(C1369&lt;=16,"Afternoon (12-16)",IF(C1369&lt;=20,"Evening (17-20)","Late (21-23)")))))</f>
        <v/>
      </c>
    </row>
    <row r="1370" customFormat="false" ht="15" hidden="false" customHeight="false" outlineLevel="0" collapsed="false">
      <c r="L1370" s="37" t="str">
        <f aca="false">IF(C1370="","",IF(C1370&lt;=5,"Night (00-05)",IF(C1370&lt;=11,"Morning (06-11)",IF(C1370&lt;=16,"Afternoon (12-16)",IF(C1370&lt;=20,"Evening (17-20)","Late (21-23)")))))</f>
        <v/>
      </c>
    </row>
    <row r="1371" customFormat="false" ht="15" hidden="false" customHeight="false" outlineLevel="0" collapsed="false">
      <c r="L1371" s="37" t="str">
        <f aca="false">IF(C1371="","",IF(C1371&lt;=5,"Night (00-05)",IF(C1371&lt;=11,"Morning (06-11)",IF(C1371&lt;=16,"Afternoon (12-16)",IF(C1371&lt;=20,"Evening (17-20)","Late (21-23)")))))</f>
        <v/>
      </c>
    </row>
    <row r="1372" customFormat="false" ht="15" hidden="false" customHeight="false" outlineLevel="0" collapsed="false">
      <c r="L1372" s="37" t="str">
        <f aca="false">IF(C1372="","",IF(C1372&lt;=5,"Night (00-05)",IF(C1372&lt;=11,"Morning (06-11)",IF(C1372&lt;=16,"Afternoon (12-16)",IF(C1372&lt;=20,"Evening (17-20)","Late (21-23)")))))</f>
        <v/>
      </c>
    </row>
    <row r="1373" customFormat="false" ht="15" hidden="false" customHeight="false" outlineLevel="0" collapsed="false">
      <c r="L1373" s="37" t="str">
        <f aca="false">IF(C1373="","",IF(C1373&lt;=5,"Night (00-05)",IF(C1373&lt;=11,"Morning (06-11)",IF(C1373&lt;=16,"Afternoon (12-16)",IF(C1373&lt;=20,"Evening (17-20)","Late (21-23)")))))</f>
        <v/>
      </c>
    </row>
    <row r="1374" customFormat="false" ht="15" hidden="false" customHeight="false" outlineLevel="0" collapsed="false">
      <c r="L1374" s="37" t="str">
        <f aca="false">IF(C1374="","",IF(C1374&lt;=5,"Night (00-05)",IF(C1374&lt;=11,"Morning (06-11)",IF(C1374&lt;=16,"Afternoon (12-16)",IF(C1374&lt;=20,"Evening (17-20)","Late (21-23)")))))</f>
        <v/>
      </c>
    </row>
    <row r="1375" customFormat="false" ht="15" hidden="false" customHeight="false" outlineLevel="0" collapsed="false">
      <c r="L1375" s="37" t="str">
        <f aca="false">IF(C1375="","",IF(C1375&lt;=5,"Night (00-05)",IF(C1375&lt;=11,"Morning (06-11)",IF(C1375&lt;=16,"Afternoon (12-16)",IF(C1375&lt;=20,"Evening (17-20)","Late (21-23)")))))</f>
        <v/>
      </c>
    </row>
    <row r="1376" customFormat="false" ht="15" hidden="false" customHeight="false" outlineLevel="0" collapsed="false">
      <c r="L1376" s="37" t="str">
        <f aca="false">IF(C1376="","",IF(C1376&lt;=5,"Night (00-05)",IF(C1376&lt;=11,"Morning (06-11)",IF(C1376&lt;=16,"Afternoon (12-16)",IF(C1376&lt;=20,"Evening (17-20)","Late (21-23)")))))</f>
        <v/>
      </c>
    </row>
    <row r="1377" customFormat="false" ht="15" hidden="false" customHeight="false" outlineLevel="0" collapsed="false">
      <c r="L1377" s="37" t="str">
        <f aca="false">IF(C1377="","",IF(C1377&lt;=5,"Night (00-05)",IF(C1377&lt;=11,"Morning (06-11)",IF(C1377&lt;=16,"Afternoon (12-16)",IF(C1377&lt;=20,"Evening (17-20)","Late (21-23)")))))</f>
        <v/>
      </c>
    </row>
    <row r="1378" customFormat="false" ht="15" hidden="false" customHeight="false" outlineLevel="0" collapsed="false">
      <c r="L1378" s="37" t="str">
        <f aca="false">IF(C1378="","",IF(C1378&lt;=5,"Night (00-05)",IF(C1378&lt;=11,"Morning (06-11)",IF(C1378&lt;=16,"Afternoon (12-16)",IF(C1378&lt;=20,"Evening (17-20)","Late (21-23)")))))</f>
        <v/>
      </c>
    </row>
    <row r="1379" customFormat="false" ht="15" hidden="false" customHeight="false" outlineLevel="0" collapsed="false">
      <c r="L1379" s="37" t="str">
        <f aca="false">IF(C1379="","",IF(C1379&lt;=5,"Night (00-05)",IF(C1379&lt;=11,"Morning (06-11)",IF(C1379&lt;=16,"Afternoon (12-16)",IF(C1379&lt;=20,"Evening (17-20)","Late (21-23)")))))</f>
        <v/>
      </c>
    </row>
    <row r="1380" customFormat="false" ht="15" hidden="false" customHeight="false" outlineLevel="0" collapsed="false">
      <c r="L1380" s="37" t="str">
        <f aca="false">IF(C1380="","",IF(C1380&lt;=5,"Night (00-05)",IF(C1380&lt;=11,"Morning (06-11)",IF(C1380&lt;=16,"Afternoon (12-16)",IF(C1380&lt;=20,"Evening (17-20)","Late (21-23)")))))</f>
        <v/>
      </c>
    </row>
    <row r="1381" customFormat="false" ht="15" hidden="false" customHeight="false" outlineLevel="0" collapsed="false">
      <c r="L1381" s="37" t="str">
        <f aca="false">IF(C1381="","",IF(C1381&lt;=5,"Night (00-05)",IF(C1381&lt;=11,"Morning (06-11)",IF(C1381&lt;=16,"Afternoon (12-16)",IF(C1381&lt;=20,"Evening (17-20)","Late (21-23)")))))</f>
        <v/>
      </c>
    </row>
    <row r="1382" customFormat="false" ht="15" hidden="false" customHeight="false" outlineLevel="0" collapsed="false">
      <c r="L1382" s="37" t="str">
        <f aca="false">IF(C1382="","",IF(C1382&lt;=5,"Night (00-05)",IF(C1382&lt;=11,"Morning (06-11)",IF(C1382&lt;=16,"Afternoon (12-16)",IF(C1382&lt;=20,"Evening (17-20)","Late (21-23)")))))</f>
        <v/>
      </c>
    </row>
    <row r="1383" customFormat="false" ht="15" hidden="false" customHeight="false" outlineLevel="0" collapsed="false">
      <c r="L1383" s="37" t="str">
        <f aca="false">IF(C1383="","",IF(C1383&lt;=5,"Night (00-05)",IF(C1383&lt;=11,"Morning (06-11)",IF(C1383&lt;=16,"Afternoon (12-16)",IF(C1383&lt;=20,"Evening (17-20)","Late (21-23)")))))</f>
        <v/>
      </c>
    </row>
    <row r="1384" customFormat="false" ht="15" hidden="false" customHeight="false" outlineLevel="0" collapsed="false">
      <c r="L1384" s="37" t="str">
        <f aca="false">IF(C1384="","",IF(C1384&lt;=5,"Night (00-05)",IF(C1384&lt;=11,"Morning (06-11)",IF(C1384&lt;=16,"Afternoon (12-16)",IF(C1384&lt;=20,"Evening (17-20)","Late (21-23)")))))</f>
        <v/>
      </c>
    </row>
    <row r="1385" customFormat="false" ht="15" hidden="false" customHeight="false" outlineLevel="0" collapsed="false">
      <c r="L1385" s="37" t="str">
        <f aca="false">IF(C1385="","",IF(C1385&lt;=5,"Night (00-05)",IF(C1385&lt;=11,"Morning (06-11)",IF(C1385&lt;=16,"Afternoon (12-16)",IF(C1385&lt;=20,"Evening (17-20)","Late (21-23)")))))</f>
        <v/>
      </c>
    </row>
    <row r="1386" customFormat="false" ht="15" hidden="false" customHeight="false" outlineLevel="0" collapsed="false">
      <c r="L1386" s="37" t="str">
        <f aca="false">IF(C1386="","",IF(C1386&lt;=5,"Night (00-05)",IF(C1386&lt;=11,"Morning (06-11)",IF(C1386&lt;=16,"Afternoon (12-16)",IF(C1386&lt;=20,"Evening (17-20)","Late (21-23)")))))</f>
        <v/>
      </c>
    </row>
    <row r="1387" customFormat="false" ht="15" hidden="false" customHeight="false" outlineLevel="0" collapsed="false">
      <c r="L1387" s="37" t="str">
        <f aca="false">IF(C1387="","",IF(C1387&lt;=5,"Night (00-05)",IF(C1387&lt;=11,"Morning (06-11)",IF(C1387&lt;=16,"Afternoon (12-16)",IF(C1387&lt;=20,"Evening (17-20)","Late (21-23)")))))</f>
        <v/>
      </c>
    </row>
    <row r="1388" customFormat="false" ht="15" hidden="false" customHeight="false" outlineLevel="0" collapsed="false">
      <c r="L1388" s="37" t="str">
        <f aca="false">IF(C1388="","",IF(C1388&lt;=5,"Night (00-05)",IF(C1388&lt;=11,"Morning (06-11)",IF(C1388&lt;=16,"Afternoon (12-16)",IF(C1388&lt;=20,"Evening (17-20)","Late (21-23)")))))</f>
        <v/>
      </c>
    </row>
    <row r="1389" customFormat="false" ht="15" hidden="false" customHeight="false" outlineLevel="0" collapsed="false">
      <c r="L1389" s="37" t="str">
        <f aca="false">IF(C1389="","",IF(C1389&lt;=5,"Night (00-05)",IF(C1389&lt;=11,"Morning (06-11)",IF(C1389&lt;=16,"Afternoon (12-16)",IF(C1389&lt;=20,"Evening (17-20)","Late (21-23)")))))</f>
        <v/>
      </c>
    </row>
    <row r="1390" customFormat="false" ht="15" hidden="false" customHeight="false" outlineLevel="0" collapsed="false">
      <c r="L1390" s="37" t="str">
        <f aca="false">IF(C1390="","",IF(C1390&lt;=5,"Night (00-05)",IF(C1390&lt;=11,"Morning (06-11)",IF(C1390&lt;=16,"Afternoon (12-16)",IF(C1390&lt;=20,"Evening (17-20)","Late (21-23)")))))</f>
        <v/>
      </c>
    </row>
    <row r="1391" customFormat="false" ht="15" hidden="false" customHeight="false" outlineLevel="0" collapsed="false">
      <c r="L1391" s="37" t="str">
        <f aca="false">IF(C1391="","",IF(C1391&lt;=5,"Night (00-05)",IF(C1391&lt;=11,"Morning (06-11)",IF(C1391&lt;=16,"Afternoon (12-16)",IF(C1391&lt;=20,"Evening (17-20)","Late (21-23)")))))</f>
        <v/>
      </c>
    </row>
    <row r="1392" customFormat="false" ht="15" hidden="false" customHeight="false" outlineLevel="0" collapsed="false">
      <c r="L1392" s="37" t="str">
        <f aca="false">IF(C1392="","",IF(C1392&lt;=5,"Night (00-05)",IF(C1392&lt;=11,"Morning (06-11)",IF(C1392&lt;=16,"Afternoon (12-16)",IF(C1392&lt;=20,"Evening (17-20)","Late (21-23)")))))</f>
        <v/>
      </c>
    </row>
    <row r="1393" customFormat="false" ht="15" hidden="false" customHeight="false" outlineLevel="0" collapsed="false">
      <c r="L1393" s="37" t="str">
        <f aca="false">IF(C1393="","",IF(C1393&lt;=5,"Night (00-05)",IF(C1393&lt;=11,"Morning (06-11)",IF(C1393&lt;=16,"Afternoon (12-16)",IF(C1393&lt;=20,"Evening (17-20)","Late (21-23)")))))</f>
        <v/>
      </c>
    </row>
    <row r="1394" customFormat="false" ht="15" hidden="false" customHeight="false" outlineLevel="0" collapsed="false">
      <c r="L1394" s="37" t="str">
        <f aca="false">IF(C1394="","",IF(C1394&lt;=5,"Night (00-05)",IF(C1394&lt;=11,"Morning (06-11)",IF(C1394&lt;=16,"Afternoon (12-16)",IF(C1394&lt;=20,"Evening (17-20)","Late (21-23)")))))</f>
        <v/>
      </c>
    </row>
    <row r="1395" customFormat="false" ht="15" hidden="false" customHeight="false" outlineLevel="0" collapsed="false">
      <c r="L1395" s="37" t="str">
        <f aca="false">IF(C1395="","",IF(C1395&lt;=5,"Night (00-05)",IF(C1395&lt;=11,"Morning (06-11)",IF(C1395&lt;=16,"Afternoon (12-16)",IF(C1395&lt;=20,"Evening (17-20)","Late (21-23)")))))</f>
        <v/>
      </c>
    </row>
    <row r="1396" customFormat="false" ht="15" hidden="false" customHeight="false" outlineLevel="0" collapsed="false">
      <c r="L1396" s="37" t="str">
        <f aca="false">IF(C1396="","",IF(C1396&lt;=5,"Night (00-05)",IF(C1396&lt;=11,"Morning (06-11)",IF(C1396&lt;=16,"Afternoon (12-16)",IF(C1396&lt;=20,"Evening (17-20)","Late (21-23)")))))</f>
        <v/>
      </c>
    </row>
    <row r="1397" customFormat="false" ht="15" hidden="false" customHeight="false" outlineLevel="0" collapsed="false">
      <c r="L1397" s="37" t="str">
        <f aca="false">IF(C1397="","",IF(C1397&lt;=5,"Night (00-05)",IF(C1397&lt;=11,"Morning (06-11)",IF(C1397&lt;=16,"Afternoon (12-16)",IF(C1397&lt;=20,"Evening (17-20)","Late (21-23)")))))</f>
        <v/>
      </c>
    </row>
    <row r="1398" customFormat="false" ht="15" hidden="false" customHeight="false" outlineLevel="0" collapsed="false">
      <c r="L1398" s="37" t="str">
        <f aca="false">IF(C1398="","",IF(C1398&lt;=5,"Night (00-05)",IF(C1398&lt;=11,"Morning (06-11)",IF(C1398&lt;=16,"Afternoon (12-16)",IF(C1398&lt;=20,"Evening (17-20)","Late (21-23)")))))</f>
        <v/>
      </c>
    </row>
    <row r="1399" customFormat="false" ht="15" hidden="false" customHeight="false" outlineLevel="0" collapsed="false">
      <c r="L1399" s="37" t="str">
        <f aca="false">IF(C1399="","",IF(C1399&lt;=5,"Night (00-05)",IF(C1399&lt;=11,"Morning (06-11)",IF(C1399&lt;=16,"Afternoon (12-16)",IF(C1399&lt;=20,"Evening (17-20)","Late (21-23)")))))</f>
        <v/>
      </c>
    </row>
    <row r="1400" customFormat="false" ht="15" hidden="false" customHeight="false" outlineLevel="0" collapsed="false">
      <c r="L1400" s="37" t="str">
        <f aca="false">IF(C1400="","",IF(C1400&lt;=5,"Night (00-05)",IF(C1400&lt;=11,"Morning (06-11)",IF(C1400&lt;=16,"Afternoon (12-16)",IF(C1400&lt;=20,"Evening (17-20)","Late (21-23)")))))</f>
        <v/>
      </c>
    </row>
    <row r="1401" customFormat="false" ht="15" hidden="false" customHeight="false" outlineLevel="0" collapsed="false">
      <c r="L1401" s="37" t="str">
        <f aca="false">IF(C1401="","",IF(C1401&lt;=5,"Night (00-05)",IF(C1401&lt;=11,"Morning (06-11)",IF(C1401&lt;=16,"Afternoon (12-16)",IF(C1401&lt;=20,"Evening (17-20)","Late (21-23)")))))</f>
        <v/>
      </c>
    </row>
    <row r="1402" customFormat="false" ht="15" hidden="false" customHeight="false" outlineLevel="0" collapsed="false">
      <c r="L1402" s="37" t="str">
        <f aca="false">IF(C1402="","",IF(C1402&lt;=5,"Night (00-05)",IF(C1402&lt;=11,"Morning (06-11)",IF(C1402&lt;=16,"Afternoon (12-16)",IF(C1402&lt;=20,"Evening (17-20)","Late (21-23)")))))</f>
        <v/>
      </c>
    </row>
    <row r="1403" customFormat="false" ht="15" hidden="false" customHeight="false" outlineLevel="0" collapsed="false">
      <c r="L1403" s="37" t="str">
        <f aca="false">IF(C1403="","",IF(C1403&lt;=5,"Night (00-05)",IF(C1403&lt;=11,"Morning (06-11)",IF(C1403&lt;=16,"Afternoon (12-16)",IF(C1403&lt;=20,"Evening (17-20)","Late (21-23)")))))</f>
        <v/>
      </c>
    </row>
    <row r="1404" customFormat="false" ht="15" hidden="false" customHeight="false" outlineLevel="0" collapsed="false">
      <c r="L1404" s="37" t="str">
        <f aca="false">IF(C1404="","",IF(C1404&lt;=5,"Night (00-05)",IF(C1404&lt;=11,"Morning (06-11)",IF(C1404&lt;=16,"Afternoon (12-16)",IF(C1404&lt;=20,"Evening (17-20)","Late (21-23)")))))</f>
        <v/>
      </c>
    </row>
    <row r="1405" customFormat="false" ht="15" hidden="false" customHeight="false" outlineLevel="0" collapsed="false">
      <c r="L1405" s="37" t="str">
        <f aca="false">IF(C1405="","",IF(C1405&lt;=5,"Night (00-05)",IF(C1405&lt;=11,"Morning (06-11)",IF(C1405&lt;=16,"Afternoon (12-16)",IF(C1405&lt;=20,"Evening (17-20)","Late (21-23)")))))</f>
        <v/>
      </c>
    </row>
    <row r="1406" customFormat="false" ht="15" hidden="false" customHeight="false" outlineLevel="0" collapsed="false">
      <c r="L1406" s="37" t="str">
        <f aca="false">IF(C1406="","",IF(C1406&lt;=5,"Night (00-05)",IF(C1406&lt;=11,"Morning (06-11)",IF(C1406&lt;=16,"Afternoon (12-16)",IF(C1406&lt;=20,"Evening (17-20)","Late (21-23)")))))</f>
        <v/>
      </c>
    </row>
    <row r="1407" customFormat="false" ht="15" hidden="false" customHeight="false" outlineLevel="0" collapsed="false">
      <c r="L1407" s="37" t="str">
        <f aca="false">IF(C1407="","",IF(C1407&lt;=5,"Night (00-05)",IF(C1407&lt;=11,"Morning (06-11)",IF(C1407&lt;=16,"Afternoon (12-16)",IF(C1407&lt;=20,"Evening (17-20)","Late (21-23)")))))</f>
        <v/>
      </c>
    </row>
    <row r="1408" customFormat="false" ht="15" hidden="false" customHeight="false" outlineLevel="0" collapsed="false">
      <c r="L1408" s="37" t="str">
        <f aca="false">IF(C1408="","",IF(C1408&lt;=5,"Night (00-05)",IF(C1408&lt;=11,"Morning (06-11)",IF(C1408&lt;=16,"Afternoon (12-16)",IF(C1408&lt;=20,"Evening (17-20)","Late (21-23)")))))</f>
        <v/>
      </c>
    </row>
    <row r="1409" customFormat="false" ht="15" hidden="false" customHeight="false" outlineLevel="0" collapsed="false">
      <c r="L1409" s="37" t="str">
        <f aca="false">IF(C1409="","",IF(C1409&lt;=5,"Night (00-05)",IF(C1409&lt;=11,"Morning (06-11)",IF(C1409&lt;=16,"Afternoon (12-16)",IF(C1409&lt;=20,"Evening (17-20)","Late (21-23)")))))</f>
        <v/>
      </c>
    </row>
    <row r="1410" customFormat="false" ht="15" hidden="false" customHeight="false" outlineLevel="0" collapsed="false">
      <c r="L1410" s="37" t="str">
        <f aca="false">IF(C1410="","",IF(C1410&lt;=5,"Night (00-05)",IF(C1410&lt;=11,"Morning (06-11)",IF(C1410&lt;=16,"Afternoon (12-16)",IF(C1410&lt;=20,"Evening (17-20)","Late (21-23)")))))</f>
        <v/>
      </c>
    </row>
    <row r="1411" customFormat="false" ht="15" hidden="false" customHeight="false" outlineLevel="0" collapsed="false">
      <c r="L1411" s="37" t="str">
        <f aca="false">IF(C1411="","",IF(C1411&lt;=5,"Night (00-05)",IF(C1411&lt;=11,"Morning (06-11)",IF(C1411&lt;=16,"Afternoon (12-16)",IF(C1411&lt;=20,"Evening (17-20)","Late (21-23)")))))</f>
        <v/>
      </c>
    </row>
    <row r="1412" customFormat="false" ht="15" hidden="false" customHeight="false" outlineLevel="0" collapsed="false">
      <c r="L1412" s="37" t="str">
        <f aca="false">IF(C1412="","",IF(C1412&lt;=5,"Night (00-05)",IF(C1412&lt;=11,"Morning (06-11)",IF(C1412&lt;=16,"Afternoon (12-16)",IF(C1412&lt;=20,"Evening (17-20)","Late (21-23)")))))</f>
        <v/>
      </c>
    </row>
    <row r="1413" customFormat="false" ht="15" hidden="false" customHeight="false" outlineLevel="0" collapsed="false">
      <c r="L1413" s="37" t="str">
        <f aca="false">IF(C1413="","",IF(C1413&lt;=5,"Night (00-05)",IF(C1413&lt;=11,"Morning (06-11)",IF(C1413&lt;=16,"Afternoon (12-16)",IF(C1413&lt;=20,"Evening (17-20)","Late (21-23)")))))</f>
        <v/>
      </c>
    </row>
    <row r="1414" customFormat="false" ht="15" hidden="false" customHeight="false" outlineLevel="0" collapsed="false">
      <c r="L1414" s="37" t="str">
        <f aca="false">IF(C1414="","",IF(C1414&lt;=5,"Night (00-05)",IF(C1414&lt;=11,"Morning (06-11)",IF(C1414&lt;=16,"Afternoon (12-16)",IF(C1414&lt;=20,"Evening (17-20)","Late (21-23)")))))</f>
        <v/>
      </c>
    </row>
    <row r="1415" customFormat="false" ht="15" hidden="false" customHeight="false" outlineLevel="0" collapsed="false">
      <c r="L1415" s="37" t="str">
        <f aca="false">IF(C1415="","",IF(C1415&lt;=5,"Night (00-05)",IF(C1415&lt;=11,"Morning (06-11)",IF(C1415&lt;=16,"Afternoon (12-16)",IF(C1415&lt;=20,"Evening (17-20)","Late (21-23)")))))</f>
        <v/>
      </c>
    </row>
    <row r="1416" customFormat="false" ht="15" hidden="false" customHeight="false" outlineLevel="0" collapsed="false">
      <c r="L1416" s="37" t="str">
        <f aca="false">IF(C1416="","",IF(C1416&lt;=5,"Night (00-05)",IF(C1416&lt;=11,"Morning (06-11)",IF(C1416&lt;=16,"Afternoon (12-16)",IF(C1416&lt;=20,"Evening (17-20)","Late (21-23)")))))</f>
        <v/>
      </c>
    </row>
    <row r="1417" customFormat="false" ht="15" hidden="false" customHeight="false" outlineLevel="0" collapsed="false">
      <c r="L1417" s="37" t="str">
        <f aca="false">IF(C1417="","",IF(C1417&lt;=5,"Night (00-05)",IF(C1417&lt;=11,"Morning (06-11)",IF(C1417&lt;=16,"Afternoon (12-16)",IF(C1417&lt;=20,"Evening (17-20)","Late (21-23)")))))</f>
        <v/>
      </c>
    </row>
    <row r="1418" customFormat="false" ht="15" hidden="false" customHeight="false" outlineLevel="0" collapsed="false">
      <c r="L1418" s="37" t="str">
        <f aca="false">IF(C1418="","",IF(C1418&lt;=5,"Night (00-05)",IF(C1418&lt;=11,"Morning (06-11)",IF(C1418&lt;=16,"Afternoon (12-16)",IF(C1418&lt;=20,"Evening (17-20)","Late (21-23)")))))</f>
        <v/>
      </c>
    </row>
    <row r="1419" customFormat="false" ht="15" hidden="false" customHeight="false" outlineLevel="0" collapsed="false">
      <c r="L1419" s="37" t="str">
        <f aca="false">IF(C1419="","",IF(C1419&lt;=5,"Night (00-05)",IF(C1419&lt;=11,"Morning (06-11)",IF(C1419&lt;=16,"Afternoon (12-16)",IF(C1419&lt;=20,"Evening (17-20)","Late (21-23)")))))</f>
        <v/>
      </c>
    </row>
    <row r="1420" customFormat="false" ht="15" hidden="false" customHeight="false" outlineLevel="0" collapsed="false">
      <c r="L1420" s="37" t="str">
        <f aca="false">IF(C1420="","",IF(C1420&lt;=5,"Night (00-05)",IF(C1420&lt;=11,"Morning (06-11)",IF(C1420&lt;=16,"Afternoon (12-16)",IF(C1420&lt;=20,"Evening (17-20)","Late (21-23)")))))</f>
        <v/>
      </c>
    </row>
    <row r="1421" customFormat="false" ht="15" hidden="false" customHeight="false" outlineLevel="0" collapsed="false">
      <c r="L1421" s="37" t="str">
        <f aca="false">IF(C1421="","",IF(C1421&lt;=5,"Night (00-05)",IF(C1421&lt;=11,"Morning (06-11)",IF(C1421&lt;=16,"Afternoon (12-16)",IF(C1421&lt;=20,"Evening (17-20)","Late (21-23)")))))</f>
        <v/>
      </c>
    </row>
    <row r="1422" customFormat="false" ht="15" hidden="false" customHeight="false" outlineLevel="0" collapsed="false">
      <c r="L1422" s="37" t="str">
        <f aca="false">IF(C1422="","",IF(C1422&lt;=5,"Night (00-05)",IF(C1422&lt;=11,"Morning (06-11)",IF(C1422&lt;=16,"Afternoon (12-16)",IF(C1422&lt;=20,"Evening (17-20)","Late (21-23)")))))</f>
        <v/>
      </c>
    </row>
    <row r="1423" customFormat="false" ht="15" hidden="false" customHeight="false" outlineLevel="0" collapsed="false">
      <c r="L1423" s="37" t="str">
        <f aca="false">IF(C1423="","",IF(C1423&lt;=5,"Night (00-05)",IF(C1423&lt;=11,"Morning (06-11)",IF(C1423&lt;=16,"Afternoon (12-16)",IF(C1423&lt;=20,"Evening (17-20)","Late (21-23)")))))</f>
        <v/>
      </c>
    </row>
    <row r="1424" customFormat="false" ht="15" hidden="false" customHeight="false" outlineLevel="0" collapsed="false">
      <c r="L1424" s="37" t="str">
        <f aca="false">IF(C1424="","",IF(C1424&lt;=5,"Night (00-05)",IF(C1424&lt;=11,"Morning (06-11)",IF(C1424&lt;=16,"Afternoon (12-16)",IF(C1424&lt;=20,"Evening (17-20)","Late (21-23)")))))</f>
        <v/>
      </c>
    </row>
    <row r="1425" customFormat="false" ht="15" hidden="false" customHeight="false" outlineLevel="0" collapsed="false">
      <c r="L1425" s="37" t="str">
        <f aca="false">IF(C1425="","",IF(C1425&lt;=5,"Night (00-05)",IF(C1425&lt;=11,"Morning (06-11)",IF(C1425&lt;=16,"Afternoon (12-16)",IF(C1425&lt;=20,"Evening (17-20)","Late (21-23)")))))</f>
        <v/>
      </c>
    </row>
    <row r="1426" customFormat="false" ht="15" hidden="false" customHeight="false" outlineLevel="0" collapsed="false">
      <c r="L1426" s="37" t="str">
        <f aca="false">IF(C1426="","",IF(C1426&lt;=5,"Night (00-05)",IF(C1426&lt;=11,"Morning (06-11)",IF(C1426&lt;=16,"Afternoon (12-16)",IF(C1426&lt;=20,"Evening (17-20)","Late (21-23)")))))</f>
        <v/>
      </c>
    </row>
    <row r="1427" customFormat="false" ht="15" hidden="false" customHeight="false" outlineLevel="0" collapsed="false">
      <c r="L1427" s="37" t="str">
        <f aca="false">IF(C1427="","",IF(C1427&lt;=5,"Night (00-05)",IF(C1427&lt;=11,"Morning (06-11)",IF(C1427&lt;=16,"Afternoon (12-16)",IF(C1427&lt;=20,"Evening (17-20)","Late (21-23)")))))</f>
        <v/>
      </c>
    </row>
    <row r="1428" customFormat="false" ht="15" hidden="false" customHeight="false" outlineLevel="0" collapsed="false">
      <c r="L1428" s="37" t="str">
        <f aca="false">IF(C1428="","",IF(C1428&lt;=5,"Night (00-05)",IF(C1428&lt;=11,"Morning (06-11)",IF(C1428&lt;=16,"Afternoon (12-16)",IF(C1428&lt;=20,"Evening (17-20)","Late (21-23)")))))</f>
        <v/>
      </c>
    </row>
    <row r="1429" customFormat="false" ht="15" hidden="false" customHeight="false" outlineLevel="0" collapsed="false">
      <c r="L1429" s="37" t="str">
        <f aca="false">IF(C1429="","",IF(C1429&lt;=5,"Night (00-05)",IF(C1429&lt;=11,"Morning (06-11)",IF(C1429&lt;=16,"Afternoon (12-16)",IF(C1429&lt;=20,"Evening (17-20)","Late (21-23)")))))</f>
        <v/>
      </c>
    </row>
    <row r="1430" customFormat="false" ht="15" hidden="false" customHeight="false" outlineLevel="0" collapsed="false">
      <c r="L1430" s="37" t="str">
        <f aca="false">IF(C1430="","",IF(C1430&lt;=5,"Night (00-05)",IF(C1430&lt;=11,"Morning (06-11)",IF(C1430&lt;=16,"Afternoon (12-16)",IF(C1430&lt;=20,"Evening (17-20)","Late (21-23)")))))</f>
        <v/>
      </c>
    </row>
    <row r="1431" customFormat="false" ht="15" hidden="false" customHeight="false" outlineLevel="0" collapsed="false">
      <c r="L1431" s="37" t="str">
        <f aca="false">IF(C1431="","",IF(C1431&lt;=5,"Night (00-05)",IF(C1431&lt;=11,"Morning (06-11)",IF(C1431&lt;=16,"Afternoon (12-16)",IF(C1431&lt;=20,"Evening (17-20)","Late (21-23)")))))</f>
        <v/>
      </c>
    </row>
    <row r="1432" customFormat="false" ht="15" hidden="false" customHeight="false" outlineLevel="0" collapsed="false">
      <c r="L1432" s="37" t="str">
        <f aca="false">IF(C1432="","",IF(C1432&lt;=5,"Night (00-05)",IF(C1432&lt;=11,"Morning (06-11)",IF(C1432&lt;=16,"Afternoon (12-16)",IF(C1432&lt;=20,"Evening (17-20)","Late (21-23)")))))</f>
        <v/>
      </c>
    </row>
    <row r="1433" customFormat="false" ht="15" hidden="false" customHeight="false" outlineLevel="0" collapsed="false">
      <c r="L1433" s="37" t="str">
        <f aca="false">IF(C1433="","",IF(C1433&lt;=5,"Night (00-05)",IF(C1433&lt;=11,"Morning (06-11)",IF(C1433&lt;=16,"Afternoon (12-16)",IF(C1433&lt;=20,"Evening (17-20)","Late (21-23)")))))</f>
        <v/>
      </c>
    </row>
    <row r="1434" customFormat="false" ht="15" hidden="false" customHeight="false" outlineLevel="0" collapsed="false">
      <c r="L1434" s="37" t="str">
        <f aca="false">IF(C1434="","",IF(C1434&lt;=5,"Night (00-05)",IF(C1434&lt;=11,"Morning (06-11)",IF(C1434&lt;=16,"Afternoon (12-16)",IF(C1434&lt;=20,"Evening (17-20)","Late (21-23)")))))</f>
        <v/>
      </c>
    </row>
    <row r="1435" customFormat="false" ht="15" hidden="false" customHeight="false" outlineLevel="0" collapsed="false">
      <c r="L1435" s="37" t="str">
        <f aca="false">IF(C1435="","",IF(C1435&lt;=5,"Night (00-05)",IF(C1435&lt;=11,"Morning (06-11)",IF(C1435&lt;=16,"Afternoon (12-16)",IF(C1435&lt;=20,"Evening (17-20)","Late (21-23)")))))</f>
        <v/>
      </c>
    </row>
    <row r="1436" customFormat="false" ht="15" hidden="false" customHeight="false" outlineLevel="0" collapsed="false">
      <c r="L1436" s="37" t="str">
        <f aca="false">IF(C1436="","",IF(C1436&lt;=5,"Night (00-05)",IF(C1436&lt;=11,"Morning (06-11)",IF(C1436&lt;=16,"Afternoon (12-16)",IF(C1436&lt;=20,"Evening (17-20)","Late (21-23)")))))</f>
        <v/>
      </c>
    </row>
    <row r="1437" customFormat="false" ht="15" hidden="false" customHeight="false" outlineLevel="0" collapsed="false">
      <c r="L1437" s="37" t="str">
        <f aca="false">IF(C1437="","",IF(C1437&lt;=5,"Night (00-05)",IF(C1437&lt;=11,"Morning (06-11)",IF(C1437&lt;=16,"Afternoon (12-16)",IF(C1437&lt;=20,"Evening (17-20)","Late (21-23)")))))</f>
        <v/>
      </c>
    </row>
    <row r="1438" customFormat="false" ht="15" hidden="false" customHeight="false" outlineLevel="0" collapsed="false">
      <c r="L1438" s="37" t="str">
        <f aca="false">IF(C1438="","",IF(C1438&lt;=5,"Night (00-05)",IF(C1438&lt;=11,"Morning (06-11)",IF(C1438&lt;=16,"Afternoon (12-16)",IF(C1438&lt;=20,"Evening (17-20)","Late (21-23)")))))</f>
        <v/>
      </c>
    </row>
    <row r="1439" customFormat="false" ht="15" hidden="false" customHeight="false" outlineLevel="0" collapsed="false">
      <c r="L1439" s="37" t="str">
        <f aca="false">IF(C1439="","",IF(C1439&lt;=5,"Night (00-05)",IF(C1439&lt;=11,"Morning (06-11)",IF(C1439&lt;=16,"Afternoon (12-16)",IF(C1439&lt;=20,"Evening (17-20)","Late (21-23)")))))</f>
        <v/>
      </c>
    </row>
    <row r="1440" customFormat="false" ht="15" hidden="false" customHeight="false" outlineLevel="0" collapsed="false">
      <c r="L1440" s="37" t="str">
        <f aca="false">IF(C1440="","",IF(C1440&lt;=5,"Night (00-05)",IF(C1440&lt;=11,"Morning (06-11)",IF(C1440&lt;=16,"Afternoon (12-16)",IF(C1440&lt;=20,"Evening (17-20)","Late (21-23)")))))</f>
        <v/>
      </c>
    </row>
    <row r="1441" customFormat="false" ht="15" hidden="false" customHeight="false" outlineLevel="0" collapsed="false">
      <c r="L1441" s="37" t="str">
        <f aca="false">IF(C1441="","",IF(C1441&lt;=5,"Night (00-05)",IF(C1441&lt;=11,"Morning (06-11)",IF(C1441&lt;=16,"Afternoon (12-16)",IF(C1441&lt;=20,"Evening (17-20)","Late (21-23)")))))</f>
        <v/>
      </c>
    </row>
    <row r="1442" customFormat="false" ht="15" hidden="false" customHeight="false" outlineLevel="0" collapsed="false">
      <c r="L1442" s="37" t="str">
        <f aca="false">IF(C1442="","",IF(C1442&lt;=5,"Night (00-05)",IF(C1442&lt;=11,"Morning (06-11)",IF(C1442&lt;=16,"Afternoon (12-16)",IF(C1442&lt;=20,"Evening (17-20)","Late (21-23)")))))</f>
        <v/>
      </c>
    </row>
    <row r="1443" customFormat="false" ht="15" hidden="false" customHeight="false" outlineLevel="0" collapsed="false">
      <c r="L1443" s="37" t="str">
        <f aca="false">IF(C1443="","",IF(C1443&lt;=5,"Night (00-05)",IF(C1443&lt;=11,"Morning (06-11)",IF(C1443&lt;=16,"Afternoon (12-16)",IF(C1443&lt;=20,"Evening (17-20)","Late (21-23)")))))</f>
        <v/>
      </c>
    </row>
    <row r="1444" customFormat="false" ht="15" hidden="false" customHeight="false" outlineLevel="0" collapsed="false">
      <c r="L1444" s="37" t="str">
        <f aca="false">IF(C1444="","",IF(C1444&lt;=5,"Night (00-05)",IF(C1444&lt;=11,"Morning (06-11)",IF(C1444&lt;=16,"Afternoon (12-16)",IF(C1444&lt;=20,"Evening (17-20)","Late (21-23)")))))</f>
        <v/>
      </c>
    </row>
    <row r="1445" customFormat="false" ht="15" hidden="false" customHeight="false" outlineLevel="0" collapsed="false">
      <c r="L1445" s="37" t="str">
        <f aca="false">IF(C1445="","",IF(C1445&lt;=5,"Night (00-05)",IF(C1445&lt;=11,"Morning (06-11)",IF(C1445&lt;=16,"Afternoon (12-16)",IF(C1445&lt;=20,"Evening (17-20)","Late (21-23)")))))</f>
        <v/>
      </c>
    </row>
    <row r="1446" customFormat="false" ht="15" hidden="false" customHeight="false" outlineLevel="0" collapsed="false">
      <c r="L1446" s="37" t="str">
        <f aca="false">IF(C1446="","",IF(C1446&lt;=5,"Night (00-05)",IF(C1446&lt;=11,"Morning (06-11)",IF(C1446&lt;=16,"Afternoon (12-16)",IF(C1446&lt;=20,"Evening (17-20)","Late (21-23)")))))</f>
        <v/>
      </c>
    </row>
    <row r="1447" customFormat="false" ht="15" hidden="false" customHeight="false" outlineLevel="0" collapsed="false">
      <c r="L1447" s="37" t="str">
        <f aca="false">IF(C1447="","",IF(C1447&lt;=5,"Night (00-05)",IF(C1447&lt;=11,"Morning (06-11)",IF(C1447&lt;=16,"Afternoon (12-16)",IF(C1447&lt;=20,"Evening (17-20)","Late (21-23)")))))</f>
        <v/>
      </c>
    </row>
    <row r="1448" customFormat="false" ht="15" hidden="false" customHeight="false" outlineLevel="0" collapsed="false">
      <c r="L1448" s="37" t="str">
        <f aca="false">IF(C1448="","",IF(C1448&lt;=5,"Night (00-05)",IF(C1448&lt;=11,"Morning (06-11)",IF(C1448&lt;=16,"Afternoon (12-16)",IF(C1448&lt;=20,"Evening (17-20)","Late (21-23)")))))</f>
        <v/>
      </c>
    </row>
    <row r="1449" customFormat="false" ht="15" hidden="false" customHeight="false" outlineLevel="0" collapsed="false">
      <c r="L1449" s="37" t="str">
        <f aca="false">IF(C1449="","",IF(C1449&lt;=5,"Night (00-05)",IF(C1449&lt;=11,"Morning (06-11)",IF(C1449&lt;=16,"Afternoon (12-16)",IF(C1449&lt;=20,"Evening (17-20)","Late (21-23)")))))</f>
        <v/>
      </c>
    </row>
    <row r="1450" customFormat="false" ht="15" hidden="false" customHeight="false" outlineLevel="0" collapsed="false">
      <c r="L1450" s="37" t="str">
        <f aca="false">IF(C1450="","",IF(C1450&lt;=5,"Night (00-05)",IF(C1450&lt;=11,"Morning (06-11)",IF(C1450&lt;=16,"Afternoon (12-16)",IF(C1450&lt;=20,"Evening (17-20)","Late (21-23)")))))</f>
        <v/>
      </c>
    </row>
    <row r="1451" customFormat="false" ht="15" hidden="false" customHeight="false" outlineLevel="0" collapsed="false">
      <c r="L1451" s="37" t="str">
        <f aca="false">IF(C1451="","",IF(C1451&lt;=5,"Night (00-05)",IF(C1451&lt;=11,"Morning (06-11)",IF(C1451&lt;=16,"Afternoon (12-16)",IF(C1451&lt;=20,"Evening (17-20)","Late (21-23)")))))</f>
        <v/>
      </c>
    </row>
    <row r="1452" customFormat="false" ht="15" hidden="false" customHeight="false" outlineLevel="0" collapsed="false">
      <c r="L1452" s="37" t="str">
        <f aca="false">IF(C1452="","",IF(C1452&lt;=5,"Night (00-05)",IF(C1452&lt;=11,"Morning (06-11)",IF(C1452&lt;=16,"Afternoon (12-16)",IF(C1452&lt;=20,"Evening (17-20)","Late (21-23)")))))</f>
        <v/>
      </c>
    </row>
    <row r="1453" customFormat="false" ht="15" hidden="false" customHeight="false" outlineLevel="0" collapsed="false">
      <c r="L1453" s="37" t="str">
        <f aca="false">IF(C1453="","",IF(C1453&lt;=5,"Night (00-05)",IF(C1453&lt;=11,"Morning (06-11)",IF(C1453&lt;=16,"Afternoon (12-16)",IF(C1453&lt;=20,"Evening (17-20)","Late (21-23)")))))</f>
        <v/>
      </c>
    </row>
    <row r="1454" customFormat="false" ht="15" hidden="false" customHeight="false" outlineLevel="0" collapsed="false">
      <c r="L1454" s="37" t="str">
        <f aca="false">IF(C1454="","",IF(C1454&lt;=5,"Night (00-05)",IF(C1454&lt;=11,"Morning (06-11)",IF(C1454&lt;=16,"Afternoon (12-16)",IF(C1454&lt;=20,"Evening (17-20)","Late (21-23)")))))</f>
        <v/>
      </c>
    </row>
    <row r="1455" customFormat="false" ht="15" hidden="false" customHeight="false" outlineLevel="0" collapsed="false">
      <c r="L1455" s="37" t="str">
        <f aca="false">IF(C1455="","",IF(C1455&lt;=5,"Night (00-05)",IF(C1455&lt;=11,"Morning (06-11)",IF(C1455&lt;=16,"Afternoon (12-16)",IF(C1455&lt;=20,"Evening (17-20)","Late (21-23)")))))</f>
        <v/>
      </c>
    </row>
    <row r="1456" customFormat="false" ht="15" hidden="false" customHeight="false" outlineLevel="0" collapsed="false">
      <c r="L1456" s="37" t="str">
        <f aca="false">IF(C1456="","",IF(C1456&lt;=5,"Night (00-05)",IF(C1456&lt;=11,"Morning (06-11)",IF(C1456&lt;=16,"Afternoon (12-16)",IF(C1456&lt;=20,"Evening (17-20)","Late (21-23)")))))</f>
        <v/>
      </c>
    </row>
    <row r="1457" customFormat="false" ht="15" hidden="false" customHeight="false" outlineLevel="0" collapsed="false">
      <c r="L1457" s="37" t="str">
        <f aca="false">IF(C1457="","",IF(C1457&lt;=5,"Night (00-05)",IF(C1457&lt;=11,"Morning (06-11)",IF(C1457&lt;=16,"Afternoon (12-16)",IF(C1457&lt;=20,"Evening (17-20)","Late (21-23)")))))</f>
        <v/>
      </c>
    </row>
    <row r="1458" customFormat="false" ht="15" hidden="false" customHeight="false" outlineLevel="0" collapsed="false">
      <c r="L1458" s="37" t="str">
        <f aca="false">IF(C1458="","",IF(C1458&lt;=5,"Night (00-05)",IF(C1458&lt;=11,"Morning (06-11)",IF(C1458&lt;=16,"Afternoon (12-16)",IF(C1458&lt;=20,"Evening (17-20)","Late (21-23)")))))</f>
        <v/>
      </c>
    </row>
    <row r="1459" customFormat="false" ht="15" hidden="false" customHeight="false" outlineLevel="0" collapsed="false">
      <c r="L1459" s="37" t="str">
        <f aca="false">IF(C1459="","",IF(C1459&lt;=5,"Night (00-05)",IF(C1459&lt;=11,"Morning (06-11)",IF(C1459&lt;=16,"Afternoon (12-16)",IF(C1459&lt;=20,"Evening (17-20)","Late (21-23)")))))</f>
        <v/>
      </c>
    </row>
    <row r="1460" customFormat="false" ht="15" hidden="false" customHeight="false" outlineLevel="0" collapsed="false">
      <c r="L1460" s="37" t="str">
        <f aca="false">IF(C1460="","",IF(C1460&lt;=5,"Night (00-05)",IF(C1460&lt;=11,"Morning (06-11)",IF(C1460&lt;=16,"Afternoon (12-16)",IF(C1460&lt;=20,"Evening (17-20)","Late (21-23)")))))</f>
        <v/>
      </c>
    </row>
    <row r="1461" customFormat="false" ht="15" hidden="false" customHeight="false" outlineLevel="0" collapsed="false">
      <c r="L1461" s="37" t="str">
        <f aca="false">IF(C1461="","",IF(C1461&lt;=5,"Night (00-05)",IF(C1461&lt;=11,"Morning (06-11)",IF(C1461&lt;=16,"Afternoon (12-16)",IF(C1461&lt;=20,"Evening (17-20)","Late (21-23)")))))</f>
        <v/>
      </c>
    </row>
    <row r="1462" customFormat="false" ht="15" hidden="false" customHeight="false" outlineLevel="0" collapsed="false">
      <c r="L1462" s="37" t="str">
        <f aca="false">IF(C1462="","",IF(C1462&lt;=5,"Night (00-05)",IF(C1462&lt;=11,"Morning (06-11)",IF(C1462&lt;=16,"Afternoon (12-16)",IF(C1462&lt;=20,"Evening (17-20)","Late (21-23)")))))</f>
        <v/>
      </c>
    </row>
    <row r="1463" customFormat="false" ht="15" hidden="false" customHeight="false" outlineLevel="0" collapsed="false">
      <c r="L1463" s="37" t="str">
        <f aca="false">IF(C1463="","",IF(C1463&lt;=5,"Night (00-05)",IF(C1463&lt;=11,"Morning (06-11)",IF(C1463&lt;=16,"Afternoon (12-16)",IF(C1463&lt;=20,"Evening (17-20)","Late (21-23)")))))</f>
        <v/>
      </c>
    </row>
    <row r="1464" customFormat="false" ht="15" hidden="false" customHeight="false" outlineLevel="0" collapsed="false">
      <c r="L1464" s="37" t="str">
        <f aca="false">IF(C1464="","",IF(C1464&lt;=5,"Night (00-05)",IF(C1464&lt;=11,"Morning (06-11)",IF(C1464&lt;=16,"Afternoon (12-16)",IF(C1464&lt;=20,"Evening (17-20)","Late (21-23)")))))</f>
        <v/>
      </c>
    </row>
    <row r="1465" customFormat="false" ht="15" hidden="false" customHeight="false" outlineLevel="0" collapsed="false">
      <c r="L1465" s="37" t="str">
        <f aca="false">IF(C1465="","",IF(C1465&lt;=5,"Night (00-05)",IF(C1465&lt;=11,"Morning (06-11)",IF(C1465&lt;=16,"Afternoon (12-16)",IF(C1465&lt;=20,"Evening (17-20)","Late (21-23)")))))</f>
        <v/>
      </c>
    </row>
    <row r="1466" customFormat="false" ht="15" hidden="false" customHeight="false" outlineLevel="0" collapsed="false">
      <c r="L1466" s="37" t="str">
        <f aca="false">IF(C1466="","",IF(C1466&lt;=5,"Night (00-05)",IF(C1466&lt;=11,"Morning (06-11)",IF(C1466&lt;=16,"Afternoon (12-16)",IF(C1466&lt;=20,"Evening (17-20)","Late (21-23)")))))</f>
        <v/>
      </c>
    </row>
    <row r="1467" customFormat="false" ht="15" hidden="false" customHeight="false" outlineLevel="0" collapsed="false">
      <c r="L1467" s="37" t="str">
        <f aca="false">IF(C1467="","",IF(C1467&lt;=5,"Night (00-05)",IF(C1467&lt;=11,"Morning (06-11)",IF(C1467&lt;=16,"Afternoon (12-16)",IF(C1467&lt;=20,"Evening (17-20)","Late (21-23)")))))</f>
        <v/>
      </c>
    </row>
    <row r="1468" customFormat="false" ht="15" hidden="false" customHeight="false" outlineLevel="0" collapsed="false">
      <c r="L1468" s="37" t="str">
        <f aca="false">IF(C1468="","",IF(C1468&lt;=5,"Night (00-05)",IF(C1468&lt;=11,"Morning (06-11)",IF(C1468&lt;=16,"Afternoon (12-16)",IF(C1468&lt;=20,"Evening (17-20)","Late (21-23)")))))</f>
        <v/>
      </c>
    </row>
    <row r="1469" customFormat="false" ht="15" hidden="false" customHeight="false" outlineLevel="0" collapsed="false">
      <c r="L1469" s="37" t="str">
        <f aca="false">IF(C1469="","",IF(C1469&lt;=5,"Night (00-05)",IF(C1469&lt;=11,"Morning (06-11)",IF(C1469&lt;=16,"Afternoon (12-16)",IF(C1469&lt;=20,"Evening (17-20)","Late (21-23)")))))</f>
        <v/>
      </c>
    </row>
    <row r="1470" customFormat="false" ht="15" hidden="false" customHeight="false" outlineLevel="0" collapsed="false">
      <c r="L1470" s="37" t="str">
        <f aca="false">IF(C1470="","",IF(C1470&lt;=5,"Night (00-05)",IF(C1470&lt;=11,"Morning (06-11)",IF(C1470&lt;=16,"Afternoon (12-16)",IF(C1470&lt;=20,"Evening (17-20)","Late (21-23)")))))</f>
        <v/>
      </c>
    </row>
    <row r="1471" customFormat="false" ht="15" hidden="false" customHeight="false" outlineLevel="0" collapsed="false">
      <c r="L1471" s="37" t="str">
        <f aca="false">IF(C1471="","",IF(C1471&lt;=5,"Night (00-05)",IF(C1471&lt;=11,"Morning (06-11)",IF(C1471&lt;=16,"Afternoon (12-16)",IF(C1471&lt;=20,"Evening (17-20)","Late (21-23)")))))</f>
        <v/>
      </c>
    </row>
    <row r="1472" customFormat="false" ht="15" hidden="false" customHeight="false" outlineLevel="0" collapsed="false">
      <c r="L1472" s="37" t="str">
        <f aca="false">IF(C1472="","",IF(C1472&lt;=5,"Night (00-05)",IF(C1472&lt;=11,"Morning (06-11)",IF(C1472&lt;=16,"Afternoon (12-16)",IF(C1472&lt;=20,"Evening (17-20)","Late (21-23)")))))</f>
        <v/>
      </c>
    </row>
    <row r="1473" customFormat="false" ht="15" hidden="false" customHeight="false" outlineLevel="0" collapsed="false">
      <c r="L1473" s="37" t="str">
        <f aca="false">IF(C1473="","",IF(C1473&lt;=5,"Night (00-05)",IF(C1473&lt;=11,"Morning (06-11)",IF(C1473&lt;=16,"Afternoon (12-16)",IF(C1473&lt;=20,"Evening (17-20)","Late (21-23)")))))</f>
        <v/>
      </c>
    </row>
    <row r="1474" customFormat="false" ht="15" hidden="false" customHeight="false" outlineLevel="0" collapsed="false">
      <c r="L1474" s="37" t="str">
        <f aca="false">IF(C1474="","",IF(C1474&lt;=5,"Night (00-05)",IF(C1474&lt;=11,"Morning (06-11)",IF(C1474&lt;=16,"Afternoon (12-16)",IF(C1474&lt;=20,"Evening (17-20)","Late (21-23)")))))</f>
        <v/>
      </c>
    </row>
    <row r="1475" customFormat="false" ht="15" hidden="false" customHeight="false" outlineLevel="0" collapsed="false">
      <c r="L1475" s="37" t="str">
        <f aca="false">IF(C1475="","",IF(C1475&lt;=5,"Night (00-05)",IF(C1475&lt;=11,"Morning (06-11)",IF(C1475&lt;=16,"Afternoon (12-16)",IF(C1475&lt;=20,"Evening (17-20)","Late (21-23)")))))</f>
        <v/>
      </c>
    </row>
    <row r="1476" customFormat="false" ht="15" hidden="false" customHeight="false" outlineLevel="0" collapsed="false">
      <c r="L1476" s="37" t="str">
        <f aca="false">IF(C1476="","",IF(C1476&lt;=5,"Night (00-05)",IF(C1476&lt;=11,"Morning (06-11)",IF(C1476&lt;=16,"Afternoon (12-16)",IF(C1476&lt;=20,"Evening (17-20)","Late (21-23)")))))</f>
        <v/>
      </c>
    </row>
    <row r="1477" customFormat="false" ht="15" hidden="false" customHeight="false" outlineLevel="0" collapsed="false">
      <c r="L1477" s="37" t="str">
        <f aca="false">IF(C1477="","",IF(C1477&lt;=5,"Night (00-05)",IF(C1477&lt;=11,"Morning (06-11)",IF(C1477&lt;=16,"Afternoon (12-16)",IF(C1477&lt;=20,"Evening (17-20)","Late (21-23)")))))</f>
        <v/>
      </c>
    </row>
    <row r="1478" customFormat="false" ht="15" hidden="false" customHeight="false" outlineLevel="0" collapsed="false">
      <c r="L1478" s="37" t="str">
        <f aca="false">IF(C1478="","",IF(C1478&lt;=5,"Night (00-05)",IF(C1478&lt;=11,"Morning (06-11)",IF(C1478&lt;=16,"Afternoon (12-16)",IF(C1478&lt;=20,"Evening (17-20)","Late (21-23)")))))</f>
        <v/>
      </c>
    </row>
    <row r="1479" customFormat="false" ht="15" hidden="false" customHeight="false" outlineLevel="0" collapsed="false">
      <c r="L1479" s="37" t="str">
        <f aca="false">IF(C1479="","",IF(C1479&lt;=5,"Night (00-05)",IF(C1479&lt;=11,"Morning (06-11)",IF(C1479&lt;=16,"Afternoon (12-16)",IF(C1479&lt;=20,"Evening (17-20)","Late (21-23)")))))</f>
        <v/>
      </c>
    </row>
    <row r="1480" customFormat="false" ht="15" hidden="false" customHeight="false" outlineLevel="0" collapsed="false">
      <c r="L1480" s="37" t="str">
        <f aca="false">IF(C1480="","",IF(C1480&lt;=5,"Night (00-05)",IF(C1480&lt;=11,"Morning (06-11)",IF(C1480&lt;=16,"Afternoon (12-16)",IF(C1480&lt;=20,"Evening (17-20)","Late (21-23)")))))</f>
        <v/>
      </c>
    </row>
    <row r="1481" customFormat="false" ht="15" hidden="false" customHeight="false" outlineLevel="0" collapsed="false">
      <c r="L1481" s="37" t="str">
        <f aca="false">IF(C1481="","",IF(C1481&lt;=5,"Night (00-05)",IF(C1481&lt;=11,"Morning (06-11)",IF(C1481&lt;=16,"Afternoon (12-16)",IF(C1481&lt;=20,"Evening (17-20)","Late (21-23)")))))</f>
        <v/>
      </c>
    </row>
    <row r="1482" customFormat="false" ht="15" hidden="false" customHeight="false" outlineLevel="0" collapsed="false">
      <c r="L1482" s="37" t="str">
        <f aca="false">IF(C1482="","",IF(C1482&lt;=5,"Night (00-05)",IF(C1482&lt;=11,"Morning (06-11)",IF(C1482&lt;=16,"Afternoon (12-16)",IF(C1482&lt;=20,"Evening (17-20)","Late (21-23)")))))</f>
        <v/>
      </c>
    </row>
    <row r="1483" customFormat="false" ht="15" hidden="false" customHeight="false" outlineLevel="0" collapsed="false">
      <c r="L1483" s="37" t="str">
        <f aca="false">IF(C1483="","",IF(C1483&lt;=5,"Night (00-05)",IF(C1483&lt;=11,"Morning (06-11)",IF(C1483&lt;=16,"Afternoon (12-16)",IF(C1483&lt;=20,"Evening (17-20)","Late (21-23)")))))</f>
        <v/>
      </c>
    </row>
    <row r="1484" customFormat="false" ht="15" hidden="false" customHeight="false" outlineLevel="0" collapsed="false">
      <c r="L1484" s="37" t="str">
        <f aca="false">IF(C1484="","",IF(C1484&lt;=5,"Night (00-05)",IF(C1484&lt;=11,"Morning (06-11)",IF(C1484&lt;=16,"Afternoon (12-16)",IF(C1484&lt;=20,"Evening (17-20)","Late (21-23)")))))</f>
        <v/>
      </c>
    </row>
    <row r="1485" customFormat="false" ht="15" hidden="false" customHeight="false" outlineLevel="0" collapsed="false">
      <c r="L1485" s="37" t="str">
        <f aca="false">IF(C1485="","",IF(C1485&lt;=5,"Night (00-05)",IF(C1485&lt;=11,"Morning (06-11)",IF(C1485&lt;=16,"Afternoon (12-16)",IF(C1485&lt;=20,"Evening (17-20)","Late (21-23)")))))</f>
        <v/>
      </c>
    </row>
    <row r="1486" customFormat="false" ht="15" hidden="false" customHeight="false" outlineLevel="0" collapsed="false">
      <c r="L1486" s="37" t="str">
        <f aca="false">IF(C1486="","",IF(C1486&lt;=5,"Night (00-05)",IF(C1486&lt;=11,"Morning (06-11)",IF(C1486&lt;=16,"Afternoon (12-16)",IF(C1486&lt;=20,"Evening (17-20)","Late (21-23)")))))</f>
        <v/>
      </c>
    </row>
    <row r="1487" customFormat="false" ht="15" hidden="false" customHeight="false" outlineLevel="0" collapsed="false">
      <c r="L1487" s="37" t="str">
        <f aca="false">IF(C1487="","",IF(C1487&lt;=5,"Night (00-05)",IF(C1487&lt;=11,"Morning (06-11)",IF(C1487&lt;=16,"Afternoon (12-16)",IF(C1487&lt;=20,"Evening (17-20)","Late (21-23)")))))</f>
        <v/>
      </c>
    </row>
    <row r="1488" customFormat="false" ht="15" hidden="false" customHeight="false" outlineLevel="0" collapsed="false">
      <c r="L1488" s="37" t="str">
        <f aca="false">IF(C1488="","",IF(C1488&lt;=5,"Night (00-05)",IF(C1488&lt;=11,"Morning (06-11)",IF(C1488&lt;=16,"Afternoon (12-16)",IF(C1488&lt;=20,"Evening (17-20)","Late (21-23)")))))</f>
        <v/>
      </c>
    </row>
    <row r="1489" customFormat="false" ht="15" hidden="false" customHeight="false" outlineLevel="0" collapsed="false">
      <c r="L1489" s="37" t="str">
        <f aca="false">IF(C1489="","",IF(C1489&lt;=5,"Night (00-05)",IF(C1489&lt;=11,"Morning (06-11)",IF(C1489&lt;=16,"Afternoon (12-16)",IF(C1489&lt;=20,"Evening (17-20)","Late (21-23)")))))</f>
        <v/>
      </c>
    </row>
    <row r="1490" customFormat="false" ht="15" hidden="false" customHeight="false" outlineLevel="0" collapsed="false">
      <c r="L1490" s="37" t="str">
        <f aca="false">IF(C1490="","",IF(C1490&lt;=5,"Night (00-05)",IF(C1490&lt;=11,"Morning (06-11)",IF(C1490&lt;=16,"Afternoon (12-16)",IF(C1490&lt;=20,"Evening (17-20)","Late (21-23)")))))</f>
        <v/>
      </c>
    </row>
    <row r="1491" customFormat="false" ht="15" hidden="false" customHeight="false" outlineLevel="0" collapsed="false">
      <c r="L1491" s="37" t="str">
        <f aca="false">IF(C1491="","",IF(C1491&lt;=5,"Night (00-05)",IF(C1491&lt;=11,"Morning (06-11)",IF(C1491&lt;=16,"Afternoon (12-16)",IF(C1491&lt;=20,"Evening (17-20)","Late (21-23)")))))</f>
        <v/>
      </c>
    </row>
    <row r="1492" customFormat="false" ht="15" hidden="false" customHeight="false" outlineLevel="0" collapsed="false">
      <c r="L1492" s="37" t="str">
        <f aca="false">IF(C1492="","",IF(C1492&lt;=5,"Night (00-05)",IF(C1492&lt;=11,"Morning (06-11)",IF(C1492&lt;=16,"Afternoon (12-16)",IF(C1492&lt;=20,"Evening (17-20)","Late (21-23)")))))</f>
        <v/>
      </c>
    </row>
    <row r="1493" customFormat="false" ht="15" hidden="false" customHeight="false" outlineLevel="0" collapsed="false">
      <c r="L1493" s="37" t="str">
        <f aca="false">IF(C1493="","",IF(C1493&lt;=5,"Night (00-05)",IF(C1493&lt;=11,"Morning (06-11)",IF(C1493&lt;=16,"Afternoon (12-16)",IF(C1493&lt;=20,"Evening (17-20)","Late (21-23)")))))</f>
        <v/>
      </c>
    </row>
    <row r="1494" customFormat="false" ht="15" hidden="false" customHeight="false" outlineLevel="0" collapsed="false">
      <c r="L1494" s="37" t="str">
        <f aca="false">IF(C1494="","",IF(C1494&lt;=5,"Night (00-05)",IF(C1494&lt;=11,"Morning (06-11)",IF(C1494&lt;=16,"Afternoon (12-16)",IF(C1494&lt;=20,"Evening (17-20)","Late (21-23)")))))</f>
        <v/>
      </c>
    </row>
    <row r="1495" customFormat="false" ht="15" hidden="false" customHeight="false" outlineLevel="0" collapsed="false">
      <c r="L1495" s="37" t="str">
        <f aca="false">IF(C1495="","",IF(C1495&lt;=5,"Night (00-05)",IF(C1495&lt;=11,"Morning (06-11)",IF(C1495&lt;=16,"Afternoon (12-16)",IF(C1495&lt;=20,"Evening (17-20)","Late (21-23)")))))</f>
        <v/>
      </c>
    </row>
    <row r="1496" customFormat="false" ht="15" hidden="false" customHeight="false" outlineLevel="0" collapsed="false">
      <c r="L1496" s="37" t="str">
        <f aca="false">IF(C1496="","",IF(C1496&lt;=5,"Night (00-05)",IF(C1496&lt;=11,"Morning (06-11)",IF(C1496&lt;=16,"Afternoon (12-16)",IF(C1496&lt;=20,"Evening (17-20)","Late (21-23)")))))</f>
        <v/>
      </c>
    </row>
    <row r="1497" customFormat="false" ht="15" hidden="false" customHeight="false" outlineLevel="0" collapsed="false">
      <c r="L1497" s="37" t="str">
        <f aca="false">IF(C1497="","",IF(C1497&lt;=5,"Night (00-05)",IF(C1497&lt;=11,"Morning (06-11)",IF(C1497&lt;=16,"Afternoon (12-16)",IF(C1497&lt;=20,"Evening (17-20)","Late (21-23)")))))</f>
        <v/>
      </c>
    </row>
    <row r="1498" customFormat="false" ht="15" hidden="false" customHeight="false" outlineLevel="0" collapsed="false">
      <c r="L1498" s="37" t="str">
        <f aca="false">IF(C1498="","",IF(C1498&lt;=5,"Night (00-05)",IF(C1498&lt;=11,"Morning (06-11)",IF(C1498&lt;=16,"Afternoon (12-16)",IF(C1498&lt;=20,"Evening (17-20)","Late (21-23)")))))</f>
        <v/>
      </c>
    </row>
    <row r="1499" customFormat="false" ht="15" hidden="false" customHeight="false" outlineLevel="0" collapsed="false">
      <c r="L1499" s="37" t="str">
        <f aca="false">IF(C1499="","",IF(C1499&lt;=5,"Night (00-05)",IF(C1499&lt;=11,"Morning (06-11)",IF(C1499&lt;=16,"Afternoon (12-16)",IF(C1499&lt;=20,"Evening (17-20)","Late (21-23)")))))</f>
        <v/>
      </c>
    </row>
    <row r="1500" customFormat="false" ht="15" hidden="false" customHeight="false" outlineLevel="0" collapsed="false">
      <c r="L1500" s="37" t="str">
        <f aca="false">IF(C1500="","",IF(C1500&lt;=5,"Night (00-05)",IF(C1500&lt;=11,"Morning (06-11)",IF(C1500&lt;=16,"Afternoon (12-16)",IF(C1500&lt;=20,"Evening (17-20)","Late (21-23)")))))</f>
        <v/>
      </c>
    </row>
    <row r="1501" customFormat="false" ht="15" hidden="false" customHeight="false" outlineLevel="0" collapsed="false">
      <c r="L1501" s="37" t="str">
        <f aca="false">IF(C1501="","",IF(C1501&lt;=5,"Night (00-05)",IF(C1501&lt;=11,"Morning (06-11)",IF(C1501&lt;=16,"Afternoon (12-16)",IF(C1501&lt;=20,"Evening (17-20)","Late (21-23)")))))</f>
        <v/>
      </c>
    </row>
    <row r="1502" customFormat="false" ht="15" hidden="false" customHeight="false" outlineLevel="0" collapsed="false">
      <c r="L1502" s="37" t="str">
        <f aca="false">IF(C1502="","",IF(C1502&lt;=5,"Night (00-05)",IF(C1502&lt;=11,"Morning (06-11)",IF(C1502&lt;=16,"Afternoon (12-16)",IF(C1502&lt;=20,"Evening (17-20)","Late (21-23)")))))</f>
        <v/>
      </c>
    </row>
    <row r="1503" customFormat="false" ht="15" hidden="false" customHeight="false" outlineLevel="0" collapsed="false">
      <c r="L1503" s="37" t="str">
        <f aca="false">IF(C1503="","",IF(C1503&lt;=5,"Night (00-05)",IF(C1503&lt;=11,"Morning (06-11)",IF(C1503&lt;=16,"Afternoon (12-16)",IF(C1503&lt;=20,"Evening (17-20)","Late (21-23)")))))</f>
        <v/>
      </c>
    </row>
    <row r="1504" customFormat="false" ht="15" hidden="false" customHeight="false" outlineLevel="0" collapsed="false">
      <c r="L1504" s="37" t="str">
        <f aca="false">IF(C1504="","",IF(C1504&lt;=5,"Night (00-05)",IF(C1504&lt;=11,"Morning (06-11)",IF(C1504&lt;=16,"Afternoon (12-16)",IF(C1504&lt;=20,"Evening (17-20)","Late (21-23)")))))</f>
        <v/>
      </c>
    </row>
    <row r="1505" customFormat="false" ht="15" hidden="false" customHeight="false" outlineLevel="0" collapsed="false">
      <c r="L1505" s="37" t="str">
        <f aca="false">IF(C1505="","",IF(C1505&lt;=5,"Night (00-05)",IF(C1505&lt;=11,"Morning (06-11)",IF(C1505&lt;=16,"Afternoon (12-16)",IF(C1505&lt;=20,"Evening (17-20)","Late (21-23)")))))</f>
        <v/>
      </c>
    </row>
    <row r="1506" customFormat="false" ht="15" hidden="false" customHeight="false" outlineLevel="0" collapsed="false">
      <c r="L1506" s="37" t="str">
        <f aca="false">IF(C1506="","",IF(C1506&lt;=5,"Night (00-05)",IF(C1506&lt;=11,"Morning (06-11)",IF(C1506&lt;=16,"Afternoon (12-16)",IF(C1506&lt;=20,"Evening (17-20)","Late (21-23)")))))</f>
        <v/>
      </c>
    </row>
    <row r="1507" customFormat="false" ht="15" hidden="false" customHeight="false" outlineLevel="0" collapsed="false">
      <c r="L1507" s="37" t="str">
        <f aca="false">IF(C1507="","",IF(C1507&lt;=5,"Night (00-05)",IF(C1507&lt;=11,"Morning (06-11)",IF(C1507&lt;=16,"Afternoon (12-16)",IF(C1507&lt;=20,"Evening (17-20)","Late (21-23)")))))</f>
        <v/>
      </c>
    </row>
    <row r="1508" customFormat="false" ht="15" hidden="false" customHeight="false" outlineLevel="0" collapsed="false">
      <c r="L1508" s="37" t="str">
        <f aca="false">IF(C1508="","",IF(C1508&lt;=5,"Night (00-05)",IF(C1508&lt;=11,"Morning (06-11)",IF(C1508&lt;=16,"Afternoon (12-16)",IF(C1508&lt;=20,"Evening (17-20)","Late (21-23)")))))</f>
        <v/>
      </c>
    </row>
    <row r="1509" customFormat="false" ht="15" hidden="false" customHeight="false" outlineLevel="0" collapsed="false">
      <c r="L1509" s="37" t="str">
        <f aca="false">IF(C1509="","",IF(C1509&lt;=5,"Night (00-05)",IF(C1509&lt;=11,"Morning (06-11)",IF(C1509&lt;=16,"Afternoon (12-16)",IF(C1509&lt;=20,"Evening (17-20)","Late (21-23)")))))</f>
        <v/>
      </c>
    </row>
    <row r="1510" customFormat="false" ht="15" hidden="false" customHeight="false" outlineLevel="0" collapsed="false">
      <c r="L1510" s="37" t="str">
        <f aca="false">IF(C1510="","",IF(C1510&lt;=5,"Night (00-05)",IF(C1510&lt;=11,"Morning (06-11)",IF(C1510&lt;=16,"Afternoon (12-16)",IF(C1510&lt;=20,"Evening (17-20)","Late (21-23)")))))</f>
        <v/>
      </c>
    </row>
    <row r="1511" customFormat="false" ht="15" hidden="false" customHeight="false" outlineLevel="0" collapsed="false">
      <c r="L1511" s="37" t="str">
        <f aca="false">IF(C1511="","",IF(C1511&lt;=5,"Night (00-05)",IF(C1511&lt;=11,"Morning (06-11)",IF(C1511&lt;=16,"Afternoon (12-16)",IF(C1511&lt;=20,"Evening (17-20)","Late (21-23)")))))</f>
        <v/>
      </c>
    </row>
    <row r="1512" customFormat="false" ht="15" hidden="false" customHeight="false" outlineLevel="0" collapsed="false">
      <c r="L1512" s="37" t="str">
        <f aca="false">IF(C1512="","",IF(C1512&lt;=5,"Night (00-05)",IF(C1512&lt;=11,"Morning (06-11)",IF(C1512&lt;=16,"Afternoon (12-16)",IF(C1512&lt;=20,"Evening (17-20)","Late (21-23)")))))</f>
        <v/>
      </c>
    </row>
    <row r="1513" customFormat="false" ht="15" hidden="false" customHeight="false" outlineLevel="0" collapsed="false">
      <c r="L1513" s="37" t="str">
        <f aca="false">IF(C1513="","",IF(C1513&lt;=5,"Night (00-05)",IF(C1513&lt;=11,"Morning (06-11)",IF(C1513&lt;=16,"Afternoon (12-16)",IF(C1513&lt;=20,"Evening (17-20)","Late (21-23)")))))</f>
        <v/>
      </c>
    </row>
    <row r="1514" customFormat="false" ht="15" hidden="false" customHeight="false" outlineLevel="0" collapsed="false">
      <c r="L1514" s="37" t="str">
        <f aca="false">IF(C1514="","",IF(C1514&lt;=5,"Night (00-05)",IF(C1514&lt;=11,"Morning (06-11)",IF(C1514&lt;=16,"Afternoon (12-16)",IF(C1514&lt;=20,"Evening (17-20)","Late (21-23)")))))</f>
        <v/>
      </c>
    </row>
    <row r="1515" customFormat="false" ht="15" hidden="false" customHeight="false" outlineLevel="0" collapsed="false">
      <c r="L1515" s="37" t="str">
        <f aca="false">IF(C1515="","",IF(C1515&lt;=5,"Night (00-05)",IF(C1515&lt;=11,"Morning (06-11)",IF(C1515&lt;=16,"Afternoon (12-16)",IF(C1515&lt;=20,"Evening (17-20)","Late (21-23)")))))</f>
        <v/>
      </c>
    </row>
    <row r="1516" customFormat="false" ht="15" hidden="false" customHeight="false" outlineLevel="0" collapsed="false">
      <c r="L1516" s="37" t="str">
        <f aca="false">IF(C1516="","",IF(C1516&lt;=5,"Night (00-05)",IF(C1516&lt;=11,"Morning (06-11)",IF(C1516&lt;=16,"Afternoon (12-16)",IF(C1516&lt;=20,"Evening (17-20)","Late (21-23)")))))</f>
        <v/>
      </c>
    </row>
    <row r="1517" customFormat="false" ht="15" hidden="false" customHeight="false" outlineLevel="0" collapsed="false">
      <c r="L1517" s="37" t="str">
        <f aca="false">IF(C1517="","",IF(C1517&lt;=5,"Night (00-05)",IF(C1517&lt;=11,"Morning (06-11)",IF(C1517&lt;=16,"Afternoon (12-16)",IF(C1517&lt;=20,"Evening (17-20)","Late (21-23)")))))</f>
        <v/>
      </c>
    </row>
    <row r="1518" customFormat="false" ht="15" hidden="false" customHeight="false" outlineLevel="0" collapsed="false">
      <c r="L1518" s="37" t="str">
        <f aca="false">IF(C1518="","",IF(C1518&lt;=5,"Night (00-05)",IF(C1518&lt;=11,"Morning (06-11)",IF(C1518&lt;=16,"Afternoon (12-16)",IF(C1518&lt;=20,"Evening (17-20)","Late (21-23)")))))</f>
        <v/>
      </c>
    </row>
    <row r="1519" customFormat="false" ht="15" hidden="false" customHeight="false" outlineLevel="0" collapsed="false">
      <c r="L1519" s="37" t="str">
        <f aca="false">IF(C1519="","",IF(C1519&lt;=5,"Night (00-05)",IF(C1519&lt;=11,"Morning (06-11)",IF(C1519&lt;=16,"Afternoon (12-16)",IF(C1519&lt;=20,"Evening (17-20)","Late (21-23)")))))</f>
        <v/>
      </c>
    </row>
    <row r="1520" customFormat="false" ht="15" hidden="false" customHeight="false" outlineLevel="0" collapsed="false">
      <c r="L1520" s="37" t="str">
        <f aca="false">IF(C1520="","",IF(C1520&lt;=5,"Night (00-05)",IF(C1520&lt;=11,"Morning (06-11)",IF(C1520&lt;=16,"Afternoon (12-16)",IF(C1520&lt;=20,"Evening (17-20)","Late (21-23)")))))</f>
        <v/>
      </c>
    </row>
    <row r="1521" customFormat="false" ht="15" hidden="false" customHeight="false" outlineLevel="0" collapsed="false">
      <c r="L1521" s="37" t="str">
        <f aca="false">IF(C1521="","",IF(C1521&lt;=5,"Night (00-05)",IF(C1521&lt;=11,"Morning (06-11)",IF(C1521&lt;=16,"Afternoon (12-16)",IF(C1521&lt;=20,"Evening (17-20)","Late (21-23)")))))</f>
        <v/>
      </c>
    </row>
    <row r="1522" customFormat="false" ht="15" hidden="false" customHeight="false" outlineLevel="0" collapsed="false">
      <c r="L1522" s="37" t="str">
        <f aca="false">IF(C1522="","",IF(C1522&lt;=5,"Night (00-05)",IF(C1522&lt;=11,"Morning (06-11)",IF(C1522&lt;=16,"Afternoon (12-16)",IF(C1522&lt;=20,"Evening (17-20)","Late (21-23)")))))</f>
        <v/>
      </c>
    </row>
    <row r="1523" customFormat="false" ht="15" hidden="false" customHeight="false" outlineLevel="0" collapsed="false">
      <c r="L1523" s="37" t="str">
        <f aca="false">IF(C1523="","",IF(C1523&lt;=5,"Night (00-05)",IF(C1523&lt;=11,"Morning (06-11)",IF(C1523&lt;=16,"Afternoon (12-16)",IF(C1523&lt;=20,"Evening (17-20)","Late (21-23)")))))</f>
        <v/>
      </c>
    </row>
    <row r="1524" customFormat="false" ht="15" hidden="false" customHeight="false" outlineLevel="0" collapsed="false">
      <c r="L1524" s="37" t="str">
        <f aca="false">IF(C1524="","",IF(C1524&lt;=5,"Night (00-05)",IF(C1524&lt;=11,"Morning (06-11)",IF(C1524&lt;=16,"Afternoon (12-16)",IF(C1524&lt;=20,"Evening (17-20)","Late (21-23)")))))</f>
        <v/>
      </c>
    </row>
    <row r="1525" customFormat="false" ht="15" hidden="false" customHeight="false" outlineLevel="0" collapsed="false">
      <c r="L1525" s="37" t="str">
        <f aca="false">IF(C1525="","",IF(C1525&lt;=5,"Night (00-05)",IF(C1525&lt;=11,"Morning (06-11)",IF(C1525&lt;=16,"Afternoon (12-16)",IF(C1525&lt;=20,"Evening (17-20)","Late (21-23)")))))</f>
        <v/>
      </c>
    </row>
    <row r="1526" customFormat="false" ht="15" hidden="false" customHeight="false" outlineLevel="0" collapsed="false">
      <c r="L1526" s="37" t="str">
        <f aca="false">IF(C1526="","",IF(C1526&lt;=5,"Night (00-05)",IF(C1526&lt;=11,"Morning (06-11)",IF(C1526&lt;=16,"Afternoon (12-16)",IF(C1526&lt;=20,"Evening (17-20)","Late (21-23)")))))</f>
        <v/>
      </c>
    </row>
    <row r="1527" customFormat="false" ht="15" hidden="false" customHeight="false" outlineLevel="0" collapsed="false">
      <c r="L1527" s="37" t="str">
        <f aca="false">IF(C1527="","",IF(C1527&lt;=5,"Night (00-05)",IF(C1527&lt;=11,"Morning (06-11)",IF(C1527&lt;=16,"Afternoon (12-16)",IF(C1527&lt;=20,"Evening (17-20)","Late (21-23)")))))</f>
        <v/>
      </c>
    </row>
    <row r="1528" customFormat="false" ht="15" hidden="false" customHeight="false" outlineLevel="0" collapsed="false">
      <c r="L1528" s="37" t="str">
        <f aca="false">IF(C1528="","",IF(C1528&lt;=5,"Night (00-05)",IF(C1528&lt;=11,"Morning (06-11)",IF(C1528&lt;=16,"Afternoon (12-16)",IF(C1528&lt;=20,"Evening (17-20)","Late (21-23)")))))</f>
        <v/>
      </c>
    </row>
    <row r="1529" customFormat="false" ht="15" hidden="false" customHeight="false" outlineLevel="0" collapsed="false">
      <c r="L1529" s="37" t="str">
        <f aca="false">IF(C1529="","",IF(C1529&lt;=5,"Night (00-05)",IF(C1529&lt;=11,"Morning (06-11)",IF(C1529&lt;=16,"Afternoon (12-16)",IF(C1529&lt;=20,"Evening (17-20)","Late (21-23)")))))</f>
        <v/>
      </c>
    </row>
    <row r="1530" customFormat="false" ht="15" hidden="false" customHeight="false" outlineLevel="0" collapsed="false">
      <c r="L1530" s="37" t="str">
        <f aca="false">IF(C1530="","",IF(C1530&lt;=5,"Night (00-05)",IF(C1530&lt;=11,"Morning (06-11)",IF(C1530&lt;=16,"Afternoon (12-16)",IF(C1530&lt;=20,"Evening (17-20)","Late (21-23)")))))</f>
        <v/>
      </c>
    </row>
    <row r="1531" customFormat="false" ht="15" hidden="false" customHeight="false" outlineLevel="0" collapsed="false">
      <c r="L1531" s="37" t="str">
        <f aca="false">IF(C1531="","",IF(C1531&lt;=5,"Night (00-05)",IF(C1531&lt;=11,"Morning (06-11)",IF(C1531&lt;=16,"Afternoon (12-16)",IF(C1531&lt;=20,"Evening (17-20)","Late (21-23)")))))</f>
        <v/>
      </c>
    </row>
    <row r="1532" customFormat="false" ht="15" hidden="false" customHeight="false" outlineLevel="0" collapsed="false">
      <c r="L1532" s="37" t="str">
        <f aca="false">IF(C1532="","",IF(C1532&lt;=5,"Night (00-05)",IF(C1532&lt;=11,"Morning (06-11)",IF(C1532&lt;=16,"Afternoon (12-16)",IF(C1532&lt;=20,"Evening (17-20)","Late (21-23)")))))</f>
        <v/>
      </c>
    </row>
    <row r="1533" customFormat="false" ht="15" hidden="false" customHeight="false" outlineLevel="0" collapsed="false">
      <c r="L1533" s="37" t="str">
        <f aca="false">IF(C1533="","",IF(C1533&lt;=5,"Night (00-05)",IF(C1533&lt;=11,"Morning (06-11)",IF(C1533&lt;=16,"Afternoon (12-16)",IF(C1533&lt;=20,"Evening (17-20)","Late (21-23)")))))</f>
        <v/>
      </c>
    </row>
    <row r="1534" customFormat="false" ht="15" hidden="false" customHeight="false" outlineLevel="0" collapsed="false">
      <c r="L1534" s="37" t="str">
        <f aca="false">IF(C1534="","",IF(C1534&lt;=5,"Night (00-05)",IF(C1534&lt;=11,"Morning (06-11)",IF(C1534&lt;=16,"Afternoon (12-16)",IF(C1534&lt;=20,"Evening (17-20)","Late (21-23)")))))</f>
        <v/>
      </c>
    </row>
    <row r="1535" customFormat="false" ht="15" hidden="false" customHeight="false" outlineLevel="0" collapsed="false">
      <c r="L1535" s="37" t="str">
        <f aca="false">IF(C1535="","",IF(C1535&lt;=5,"Night (00-05)",IF(C1535&lt;=11,"Morning (06-11)",IF(C1535&lt;=16,"Afternoon (12-16)",IF(C1535&lt;=20,"Evening (17-20)","Late (21-23)")))))</f>
        <v/>
      </c>
    </row>
    <row r="1536" customFormat="false" ht="15" hidden="false" customHeight="false" outlineLevel="0" collapsed="false">
      <c r="L1536" s="37" t="str">
        <f aca="false">IF(C1536="","",IF(C1536&lt;=5,"Night (00-05)",IF(C1536&lt;=11,"Morning (06-11)",IF(C1536&lt;=16,"Afternoon (12-16)",IF(C1536&lt;=20,"Evening (17-20)","Late (21-23)")))))</f>
        <v/>
      </c>
    </row>
    <row r="1537" customFormat="false" ht="15" hidden="false" customHeight="false" outlineLevel="0" collapsed="false">
      <c r="L1537" s="37" t="str">
        <f aca="false">IF(C1537="","",IF(C1537&lt;=5,"Night (00-05)",IF(C1537&lt;=11,"Morning (06-11)",IF(C1537&lt;=16,"Afternoon (12-16)",IF(C1537&lt;=20,"Evening (17-20)","Late (21-23)")))))</f>
        <v/>
      </c>
    </row>
    <row r="1538" customFormat="false" ht="15" hidden="false" customHeight="false" outlineLevel="0" collapsed="false">
      <c r="L1538" s="37" t="str">
        <f aca="false">IF(C1538="","",IF(C1538&lt;=5,"Night (00-05)",IF(C1538&lt;=11,"Morning (06-11)",IF(C1538&lt;=16,"Afternoon (12-16)",IF(C1538&lt;=20,"Evening (17-20)","Late (21-23)")))))</f>
        <v/>
      </c>
    </row>
    <row r="1539" customFormat="false" ht="15" hidden="false" customHeight="false" outlineLevel="0" collapsed="false">
      <c r="L1539" s="37" t="str">
        <f aca="false">IF(C1539="","",IF(C1539&lt;=5,"Night (00-05)",IF(C1539&lt;=11,"Morning (06-11)",IF(C1539&lt;=16,"Afternoon (12-16)",IF(C1539&lt;=20,"Evening (17-20)","Late (21-23)")))))</f>
        <v/>
      </c>
    </row>
    <row r="1540" customFormat="false" ht="15" hidden="false" customHeight="false" outlineLevel="0" collapsed="false">
      <c r="L1540" s="37" t="str">
        <f aca="false">IF(C1540="","",IF(C1540&lt;=5,"Night (00-05)",IF(C1540&lt;=11,"Morning (06-11)",IF(C1540&lt;=16,"Afternoon (12-16)",IF(C1540&lt;=20,"Evening (17-20)","Late (21-23)")))))</f>
        <v/>
      </c>
    </row>
    <row r="1541" customFormat="false" ht="15" hidden="false" customHeight="false" outlineLevel="0" collapsed="false">
      <c r="L1541" s="37" t="str">
        <f aca="false">IF(C1541="","",IF(C1541&lt;=5,"Night (00-05)",IF(C1541&lt;=11,"Morning (06-11)",IF(C1541&lt;=16,"Afternoon (12-16)",IF(C1541&lt;=20,"Evening (17-20)","Late (21-23)")))))</f>
        <v/>
      </c>
    </row>
    <row r="1542" customFormat="false" ht="15" hidden="false" customHeight="false" outlineLevel="0" collapsed="false">
      <c r="L1542" s="37" t="str">
        <f aca="false">IF(C1542="","",IF(C1542&lt;=5,"Night (00-05)",IF(C1542&lt;=11,"Morning (06-11)",IF(C1542&lt;=16,"Afternoon (12-16)",IF(C1542&lt;=20,"Evening (17-20)","Late (21-23)")))))</f>
        <v/>
      </c>
    </row>
    <row r="1543" customFormat="false" ht="15" hidden="false" customHeight="false" outlineLevel="0" collapsed="false">
      <c r="L1543" s="37" t="str">
        <f aca="false">IF(C1543="","",IF(C1543&lt;=5,"Night (00-05)",IF(C1543&lt;=11,"Morning (06-11)",IF(C1543&lt;=16,"Afternoon (12-16)",IF(C1543&lt;=20,"Evening (17-20)","Late (21-23)")))))</f>
        <v/>
      </c>
    </row>
    <row r="1544" customFormat="false" ht="15" hidden="false" customHeight="false" outlineLevel="0" collapsed="false">
      <c r="L1544" s="37" t="str">
        <f aca="false">IF(C1544="","",IF(C1544&lt;=5,"Night (00-05)",IF(C1544&lt;=11,"Morning (06-11)",IF(C1544&lt;=16,"Afternoon (12-16)",IF(C1544&lt;=20,"Evening (17-20)","Late (21-23)")))))</f>
        <v/>
      </c>
    </row>
    <row r="1545" customFormat="false" ht="15" hidden="false" customHeight="false" outlineLevel="0" collapsed="false">
      <c r="L1545" s="37" t="str">
        <f aca="false">IF(C1545="","",IF(C1545&lt;=5,"Night (00-05)",IF(C1545&lt;=11,"Morning (06-11)",IF(C1545&lt;=16,"Afternoon (12-16)",IF(C1545&lt;=20,"Evening (17-20)","Late (21-23)")))))</f>
        <v/>
      </c>
    </row>
    <row r="1546" customFormat="false" ht="15" hidden="false" customHeight="false" outlineLevel="0" collapsed="false">
      <c r="L1546" s="37" t="str">
        <f aca="false">IF(C1546="","",IF(C1546&lt;=5,"Night (00-05)",IF(C1546&lt;=11,"Morning (06-11)",IF(C1546&lt;=16,"Afternoon (12-16)",IF(C1546&lt;=20,"Evening (17-20)","Late (21-23)")))))</f>
        <v/>
      </c>
    </row>
    <row r="1547" customFormat="false" ht="15" hidden="false" customHeight="false" outlineLevel="0" collapsed="false">
      <c r="L1547" s="37" t="str">
        <f aca="false">IF(C1547="","",IF(C1547&lt;=5,"Night (00-05)",IF(C1547&lt;=11,"Morning (06-11)",IF(C1547&lt;=16,"Afternoon (12-16)",IF(C1547&lt;=20,"Evening (17-20)","Late (21-23)")))))</f>
        <v/>
      </c>
    </row>
    <row r="1548" customFormat="false" ht="15" hidden="false" customHeight="false" outlineLevel="0" collapsed="false">
      <c r="L1548" s="37" t="str">
        <f aca="false">IF(C1548="","",IF(C1548&lt;=5,"Night (00-05)",IF(C1548&lt;=11,"Morning (06-11)",IF(C1548&lt;=16,"Afternoon (12-16)",IF(C1548&lt;=20,"Evening (17-20)","Late (21-23)")))))</f>
        <v/>
      </c>
    </row>
    <row r="1549" customFormat="false" ht="15" hidden="false" customHeight="false" outlineLevel="0" collapsed="false">
      <c r="L1549" s="37" t="str">
        <f aca="false">IF(C1549="","",IF(C1549&lt;=5,"Night (00-05)",IF(C1549&lt;=11,"Morning (06-11)",IF(C1549&lt;=16,"Afternoon (12-16)",IF(C1549&lt;=20,"Evening (17-20)","Late (21-23)")))))</f>
        <v/>
      </c>
    </row>
    <row r="1550" customFormat="false" ht="15" hidden="false" customHeight="false" outlineLevel="0" collapsed="false">
      <c r="L1550" s="37" t="str">
        <f aca="false">IF(C1550="","",IF(C1550&lt;=5,"Night (00-05)",IF(C1550&lt;=11,"Morning (06-11)",IF(C1550&lt;=16,"Afternoon (12-16)",IF(C1550&lt;=20,"Evening (17-20)","Late (21-23)")))))</f>
        <v/>
      </c>
    </row>
    <row r="1551" customFormat="false" ht="15" hidden="false" customHeight="false" outlineLevel="0" collapsed="false">
      <c r="L1551" s="37" t="str">
        <f aca="false">IF(C1551="","",IF(C1551&lt;=5,"Night (00-05)",IF(C1551&lt;=11,"Morning (06-11)",IF(C1551&lt;=16,"Afternoon (12-16)",IF(C1551&lt;=20,"Evening (17-20)","Late (21-23)")))))</f>
        <v/>
      </c>
    </row>
    <row r="1552" customFormat="false" ht="15" hidden="false" customHeight="false" outlineLevel="0" collapsed="false">
      <c r="L1552" s="37" t="str">
        <f aca="false">IF(C1552="","",IF(C1552&lt;=5,"Night (00-05)",IF(C1552&lt;=11,"Morning (06-11)",IF(C1552&lt;=16,"Afternoon (12-16)",IF(C1552&lt;=20,"Evening (17-20)","Late (21-23)")))))</f>
        <v/>
      </c>
    </row>
    <row r="1553" customFormat="false" ht="15" hidden="false" customHeight="false" outlineLevel="0" collapsed="false">
      <c r="L1553" s="37" t="str">
        <f aca="false">IF(C1553="","",IF(C1553&lt;=5,"Night (00-05)",IF(C1553&lt;=11,"Morning (06-11)",IF(C1553&lt;=16,"Afternoon (12-16)",IF(C1553&lt;=20,"Evening (17-20)","Late (21-23)")))))</f>
        <v/>
      </c>
    </row>
    <row r="1554" customFormat="false" ht="15" hidden="false" customHeight="false" outlineLevel="0" collapsed="false">
      <c r="L1554" s="37" t="str">
        <f aca="false">IF(C1554="","",IF(C1554&lt;=5,"Night (00-05)",IF(C1554&lt;=11,"Morning (06-11)",IF(C1554&lt;=16,"Afternoon (12-16)",IF(C1554&lt;=20,"Evening (17-20)","Late (21-23)")))))</f>
        <v/>
      </c>
    </row>
    <row r="1555" customFormat="false" ht="15" hidden="false" customHeight="false" outlineLevel="0" collapsed="false">
      <c r="L1555" s="37" t="str">
        <f aca="false">IF(C1555="","",IF(C1555&lt;=5,"Night (00-05)",IF(C1555&lt;=11,"Morning (06-11)",IF(C1555&lt;=16,"Afternoon (12-16)",IF(C1555&lt;=20,"Evening (17-20)","Late (21-23)")))))</f>
        <v/>
      </c>
    </row>
    <row r="1556" customFormat="false" ht="15" hidden="false" customHeight="false" outlineLevel="0" collapsed="false">
      <c r="L1556" s="37" t="str">
        <f aca="false">IF(C1556="","",IF(C1556&lt;=5,"Night (00-05)",IF(C1556&lt;=11,"Morning (06-11)",IF(C1556&lt;=16,"Afternoon (12-16)",IF(C1556&lt;=20,"Evening (17-20)","Late (21-23)")))))</f>
        <v/>
      </c>
    </row>
    <row r="1557" customFormat="false" ht="15" hidden="false" customHeight="false" outlineLevel="0" collapsed="false">
      <c r="L1557" s="37" t="str">
        <f aca="false">IF(C1557="","",IF(C1557&lt;=5,"Night (00-05)",IF(C1557&lt;=11,"Morning (06-11)",IF(C1557&lt;=16,"Afternoon (12-16)",IF(C1557&lt;=20,"Evening (17-20)","Late (21-23)")))))</f>
        <v/>
      </c>
    </row>
    <row r="1558" customFormat="false" ht="15" hidden="false" customHeight="false" outlineLevel="0" collapsed="false">
      <c r="L1558" s="37" t="str">
        <f aca="false">IF(C1558="","",IF(C1558&lt;=5,"Night (00-05)",IF(C1558&lt;=11,"Morning (06-11)",IF(C1558&lt;=16,"Afternoon (12-16)",IF(C1558&lt;=20,"Evening (17-20)","Late (21-23)")))))</f>
        <v/>
      </c>
    </row>
    <row r="1559" customFormat="false" ht="15" hidden="false" customHeight="false" outlineLevel="0" collapsed="false">
      <c r="L1559" s="37" t="str">
        <f aca="false">IF(C1559="","",IF(C1559&lt;=5,"Night (00-05)",IF(C1559&lt;=11,"Morning (06-11)",IF(C1559&lt;=16,"Afternoon (12-16)",IF(C1559&lt;=20,"Evening (17-20)","Late (21-23)")))))</f>
        <v/>
      </c>
    </row>
    <row r="1560" customFormat="false" ht="15" hidden="false" customHeight="false" outlineLevel="0" collapsed="false">
      <c r="L1560" s="37" t="str">
        <f aca="false">IF(C1560="","",IF(C1560&lt;=5,"Night (00-05)",IF(C1560&lt;=11,"Morning (06-11)",IF(C1560&lt;=16,"Afternoon (12-16)",IF(C1560&lt;=20,"Evening (17-20)","Late (21-23)")))))</f>
        <v/>
      </c>
    </row>
    <row r="1561" customFormat="false" ht="15" hidden="false" customHeight="false" outlineLevel="0" collapsed="false">
      <c r="L1561" s="37" t="str">
        <f aca="false">IF(C1561="","",IF(C1561&lt;=5,"Night (00-05)",IF(C1561&lt;=11,"Morning (06-11)",IF(C1561&lt;=16,"Afternoon (12-16)",IF(C1561&lt;=20,"Evening (17-20)","Late (21-23)")))))</f>
        <v/>
      </c>
    </row>
    <row r="1562" customFormat="false" ht="15" hidden="false" customHeight="false" outlineLevel="0" collapsed="false">
      <c r="L1562" s="37" t="str">
        <f aca="false">IF(C1562="","",IF(C1562&lt;=5,"Night (00-05)",IF(C1562&lt;=11,"Morning (06-11)",IF(C1562&lt;=16,"Afternoon (12-16)",IF(C1562&lt;=20,"Evening (17-20)","Late (21-23)")))))</f>
        <v/>
      </c>
    </row>
    <row r="1563" customFormat="false" ht="15" hidden="false" customHeight="false" outlineLevel="0" collapsed="false">
      <c r="L1563" s="37" t="str">
        <f aca="false">IF(C1563="","",IF(C1563&lt;=5,"Night (00-05)",IF(C1563&lt;=11,"Morning (06-11)",IF(C1563&lt;=16,"Afternoon (12-16)",IF(C1563&lt;=20,"Evening (17-20)","Late (21-23)")))))</f>
        <v/>
      </c>
    </row>
    <row r="1564" customFormat="false" ht="15" hidden="false" customHeight="false" outlineLevel="0" collapsed="false">
      <c r="L1564" s="37" t="str">
        <f aca="false">IF(C1564="","",IF(C1564&lt;=5,"Night (00-05)",IF(C1564&lt;=11,"Morning (06-11)",IF(C1564&lt;=16,"Afternoon (12-16)",IF(C1564&lt;=20,"Evening (17-20)","Late (21-23)")))))</f>
        <v/>
      </c>
    </row>
    <row r="1565" customFormat="false" ht="15" hidden="false" customHeight="false" outlineLevel="0" collapsed="false">
      <c r="L1565" s="37" t="str">
        <f aca="false">IF(C1565="","",IF(C1565&lt;=5,"Night (00-05)",IF(C1565&lt;=11,"Morning (06-11)",IF(C1565&lt;=16,"Afternoon (12-16)",IF(C1565&lt;=20,"Evening (17-20)","Late (21-23)")))))</f>
        <v/>
      </c>
    </row>
    <row r="1566" customFormat="false" ht="15" hidden="false" customHeight="false" outlineLevel="0" collapsed="false">
      <c r="L1566" s="37" t="str">
        <f aca="false">IF(C1566="","",IF(C1566&lt;=5,"Night (00-05)",IF(C1566&lt;=11,"Morning (06-11)",IF(C1566&lt;=16,"Afternoon (12-16)",IF(C1566&lt;=20,"Evening (17-20)","Late (21-23)")))))</f>
        <v/>
      </c>
    </row>
    <row r="1567" customFormat="false" ht="15" hidden="false" customHeight="false" outlineLevel="0" collapsed="false">
      <c r="L1567" s="37" t="str">
        <f aca="false">IF(C1567="","",IF(C1567&lt;=5,"Night (00-05)",IF(C1567&lt;=11,"Morning (06-11)",IF(C1567&lt;=16,"Afternoon (12-16)",IF(C1567&lt;=20,"Evening (17-20)","Late (21-23)")))))</f>
        <v/>
      </c>
    </row>
    <row r="1568" customFormat="false" ht="15" hidden="false" customHeight="false" outlineLevel="0" collapsed="false">
      <c r="L1568" s="37" t="str">
        <f aca="false">IF(C1568="","",IF(C1568&lt;=5,"Night (00-05)",IF(C1568&lt;=11,"Morning (06-11)",IF(C1568&lt;=16,"Afternoon (12-16)",IF(C1568&lt;=20,"Evening (17-20)","Late (21-23)")))))</f>
        <v/>
      </c>
    </row>
    <row r="1569" customFormat="false" ht="15" hidden="false" customHeight="false" outlineLevel="0" collapsed="false">
      <c r="L1569" s="37" t="str">
        <f aca="false">IF(C1569="","",IF(C1569&lt;=5,"Night (00-05)",IF(C1569&lt;=11,"Morning (06-11)",IF(C1569&lt;=16,"Afternoon (12-16)",IF(C1569&lt;=20,"Evening (17-20)","Late (21-23)")))))</f>
        <v/>
      </c>
    </row>
    <row r="1570" customFormat="false" ht="15" hidden="false" customHeight="false" outlineLevel="0" collapsed="false">
      <c r="L1570" s="37" t="str">
        <f aca="false">IF(C1570="","",IF(C1570&lt;=5,"Night (00-05)",IF(C1570&lt;=11,"Morning (06-11)",IF(C1570&lt;=16,"Afternoon (12-16)",IF(C1570&lt;=20,"Evening (17-20)","Late (21-23)")))))</f>
        <v/>
      </c>
    </row>
    <row r="1571" customFormat="false" ht="15" hidden="false" customHeight="false" outlineLevel="0" collapsed="false">
      <c r="L1571" s="37" t="str">
        <f aca="false">IF(C1571="","",IF(C1571&lt;=5,"Night (00-05)",IF(C1571&lt;=11,"Morning (06-11)",IF(C1571&lt;=16,"Afternoon (12-16)",IF(C1571&lt;=20,"Evening (17-20)","Late (21-23)")))))</f>
        <v/>
      </c>
    </row>
    <row r="1572" customFormat="false" ht="15" hidden="false" customHeight="false" outlineLevel="0" collapsed="false">
      <c r="L1572" s="37" t="str">
        <f aca="false">IF(C1572="","",IF(C1572&lt;=5,"Night (00-05)",IF(C1572&lt;=11,"Morning (06-11)",IF(C1572&lt;=16,"Afternoon (12-16)",IF(C1572&lt;=20,"Evening (17-20)","Late (21-23)")))))</f>
        <v/>
      </c>
    </row>
    <row r="1573" customFormat="false" ht="15" hidden="false" customHeight="false" outlineLevel="0" collapsed="false">
      <c r="L1573" s="37" t="str">
        <f aca="false">IF(C1573="","",IF(C1573&lt;=5,"Night (00-05)",IF(C1573&lt;=11,"Morning (06-11)",IF(C1573&lt;=16,"Afternoon (12-16)",IF(C1573&lt;=20,"Evening (17-20)","Late (21-23)")))))</f>
        <v/>
      </c>
    </row>
    <row r="1574" customFormat="false" ht="15" hidden="false" customHeight="false" outlineLevel="0" collapsed="false">
      <c r="L1574" s="37" t="str">
        <f aca="false">IF(C1574="","",IF(C1574&lt;=5,"Night (00-05)",IF(C1574&lt;=11,"Morning (06-11)",IF(C1574&lt;=16,"Afternoon (12-16)",IF(C1574&lt;=20,"Evening (17-20)","Late (21-23)")))))</f>
        <v/>
      </c>
    </row>
    <row r="1575" customFormat="false" ht="15" hidden="false" customHeight="false" outlineLevel="0" collapsed="false">
      <c r="L1575" s="37" t="str">
        <f aca="false">IF(C1575="","",IF(C1575&lt;=5,"Night (00-05)",IF(C1575&lt;=11,"Morning (06-11)",IF(C1575&lt;=16,"Afternoon (12-16)",IF(C1575&lt;=20,"Evening (17-20)","Late (21-23)")))))</f>
        <v/>
      </c>
    </row>
    <row r="1576" customFormat="false" ht="15" hidden="false" customHeight="false" outlineLevel="0" collapsed="false">
      <c r="L1576" s="37" t="str">
        <f aca="false">IF(C1576="","",IF(C1576&lt;=5,"Night (00-05)",IF(C1576&lt;=11,"Morning (06-11)",IF(C1576&lt;=16,"Afternoon (12-16)",IF(C1576&lt;=20,"Evening (17-20)","Late (21-23)")))))</f>
        <v/>
      </c>
    </row>
    <row r="1577" customFormat="false" ht="15" hidden="false" customHeight="false" outlineLevel="0" collapsed="false">
      <c r="L1577" s="37" t="str">
        <f aca="false">IF(C1577="","",IF(C1577&lt;=5,"Night (00-05)",IF(C1577&lt;=11,"Morning (06-11)",IF(C1577&lt;=16,"Afternoon (12-16)",IF(C1577&lt;=20,"Evening (17-20)","Late (21-23)")))))</f>
        <v/>
      </c>
    </row>
    <row r="1578" customFormat="false" ht="15" hidden="false" customHeight="false" outlineLevel="0" collapsed="false">
      <c r="L1578" s="37" t="str">
        <f aca="false">IF(C1578="","",IF(C1578&lt;=5,"Night (00-05)",IF(C1578&lt;=11,"Morning (06-11)",IF(C1578&lt;=16,"Afternoon (12-16)",IF(C1578&lt;=20,"Evening (17-20)","Late (21-23)")))))</f>
        <v/>
      </c>
    </row>
    <row r="1579" customFormat="false" ht="15" hidden="false" customHeight="false" outlineLevel="0" collapsed="false">
      <c r="L1579" s="37" t="str">
        <f aca="false">IF(C1579="","",IF(C1579&lt;=5,"Night (00-05)",IF(C1579&lt;=11,"Morning (06-11)",IF(C1579&lt;=16,"Afternoon (12-16)",IF(C1579&lt;=20,"Evening (17-20)","Late (21-23)")))))</f>
        <v/>
      </c>
    </row>
    <row r="1580" customFormat="false" ht="15" hidden="false" customHeight="false" outlineLevel="0" collapsed="false">
      <c r="L1580" s="37" t="str">
        <f aca="false">IF(C1580="","",IF(C1580&lt;=5,"Night (00-05)",IF(C1580&lt;=11,"Morning (06-11)",IF(C1580&lt;=16,"Afternoon (12-16)",IF(C1580&lt;=20,"Evening (17-20)","Late (21-23)")))))</f>
        <v/>
      </c>
    </row>
    <row r="1581" customFormat="false" ht="15" hidden="false" customHeight="false" outlineLevel="0" collapsed="false">
      <c r="L1581" s="37" t="str">
        <f aca="false">IF(C1581="","",IF(C1581&lt;=5,"Night (00-05)",IF(C1581&lt;=11,"Morning (06-11)",IF(C1581&lt;=16,"Afternoon (12-16)",IF(C1581&lt;=20,"Evening (17-20)","Late (21-23)")))))</f>
        <v/>
      </c>
    </row>
    <row r="1582" customFormat="false" ht="15" hidden="false" customHeight="false" outlineLevel="0" collapsed="false">
      <c r="L1582" s="37" t="str">
        <f aca="false">IF(C1582="","",IF(C1582&lt;=5,"Night (00-05)",IF(C1582&lt;=11,"Morning (06-11)",IF(C1582&lt;=16,"Afternoon (12-16)",IF(C1582&lt;=20,"Evening (17-20)","Late (21-23)")))))</f>
        <v/>
      </c>
    </row>
    <row r="1583" customFormat="false" ht="15" hidden="false" customHeight="false" outlineLevel="0" collapsed="false">
      <c r="L1583" s="37" t="str">
        <f aca="false">IF(C1583="","",IF(C1583&lt;=5,"Night (00-05)",IF(C1583&lt;=11,"Morning (06-11)",IF(C1583&lt;=16,"Afternoon (12-16)",IF(C1583&lt;=20,"Evening (17-20)","Late (21-23)")))))</f>
        <v/>
      </c>
    </row>
    <row r="1584" customFormat="false" ht="15" hidden="false" customHeight="false" outlineLevel="0" collapsed="false">
      <c r="L1584" s="37" t="str">
        <f aca="false">IF(C1584="","",IF(C1584&lt;=5,"Night (00-05)",IF(C1584&lt;=11,"Morning (06-11)",IF(C1584&lt;=16,"Afternoon (12-16)",IF(C1584&lt;=20,"Evening (17-20)","Late (21-23)")))))</f>
        <v/>
      </c>
    </row>
    <row r="1585" customFormat="false" ht="15" hidden="false" customHeight="false" outlineLevel="0" collapsed="false">
      <c r="L1585" s="37" t="str">
        <f aca="false">IF(C1585="","",IF(C1585&lt;=5,"Night (00-05)",IF(C1585&lt;=11,"Morning (06-11)",IF(C1585&lt;=16,"Afternoon (12-16)",IF(C1585&lt;=20,"Evening (17-20)","Late (21-23)")))))</f>
        <v/>
      </c>
    </row>
    <row r="1586" customFormat="false" ht="15" hidden="false" customHeight="false" outlineLevel="0" collapsed="false">
      <c r="L1586" s="37" t="str">
        <f aca="false">IF(C1586="","",IF(C1586&lt;=5,"Night (00-05)",IF(C1586&lt;=11,"Morning (06-11)",IF(C1586&lt;=16,"Afternoon (12-16)",IF(C1586&lt;=20,"Evening (17-20)","Late (21-23)")))))</f>
        <v/>
      </c>
    </row>
    <row r="1587" customFormat="false" ht="15" hidden="false" customHeight="false" outlineLevel="0" collapsed="false">
      <c r="L1587" s="37" t="str">
        <f aca="false">IF(C1587="","",IF(C1587&lt;=5,"Night (00-05)",IF(C1587&lt;=11,"Morning (06-11)",IF(C1587&lt;=16,"Afternoon (12-16)",IF(C1587&lt;=20,"Evening (17-20)","Late (21-23)")))))</f>
        <v/>
      </c>
    </row>
    <row r="1588" customFormat="false" ht="15" hidden="false" customHeight="false" outlineLevel="0" collapsed="false">
      <c r="L1588" s="37" t="str">
        <f aca="false">IF(C1588="","",IF(C1588&lt;=5,"Night (00-05)",IF(C1588&lt;=11,"Morning (06-11)",IF(C1588&lt;=16,"Afternoon (12-16)",IF(C1588&lt;=20,"Evening (17-20)","Late (21-23)")))))</f>
        <v/>
      </c>
    </row>
    <row r="1589" customFormat="false" ht="15" hidden="false" customHeight="false" outlineLevel="0" collapsed="false">
      <c r="L1589" s="37" t="str">
        <f aca="false">IF(C1589="","",IF(C1589&lt;=5,"Night (00-05)",IF(C1589&lt;=11,"Morning (06-11)",IF(C1589&lt;=16,"Afternoon (12-16)",IF(C1589&lt;=20,"Evening (17-20)","Late (21-23)")))))</f>
        <v/>
      </c>
    </row>
    <row r="1590" customFormat="false" ht="15" hidden="false" customHeight="false" outlineLevel="0" collapsed="false">
      <c r="L1590" s="37" t="str">
        <f aca="false">IF(C1590="","",IF(C1590&lt;=5,"Night (00-05)",IF(C1590&lt;=11,"Morning (06-11)",IF(C1590&lt;=16,"Afternoon (12-16)",IF(C1590&lt;=20,"Evening (17-20)","Late (21-23)")))))</f>
        <v/>
      </c>
    </row>
    <row r="1591" customFormat="false" ht="15" hidden="false" customHeight="false" outlineLevel="0" collapsed="false">
      <c r="L1591" s="37" t="str">
        <f aca="false">IF(C1591="","",IF(C1591&lt;=5,"Night (00-05)",IF(C1591&lt;=11,"Morning (06-11)",IF(C1591&lt;=16,"Afternoon (12-16)",IF(C1591&lt;=20,"Evening (17-20)","Late (21-23)")))))</f>
        <v/>
      </c>
    </row>
    <row r="1592" customFormat="false" ht="15" hidden="false" customHeight="false" outlineLevel="0" collapsed="false">
      <c r="L1592" s="37" t="str">
        <f aca="false">IF(C1592="","",IF(C1592&lt;=5,"Night (00-05)",IF(C1592&lt;=11,"Morning (06-11)",IF(C1592&lt;=16,"Afternoon (12-16)",IF(C1592&lt;=20,"Evening (17-20)","Late (21-23)")))))</f>
        <v/>
      </c>
    </row>
    <row r="1593" customFormat="false" ht="15" hidden="false" customHeight="false" outlineLevel="0" collapsed="false">
      <c r="L1593" s="37" t="str">
        <f aca="false">IF(C1593="","",IF(C1593&lt;=5,"Night (00-05)",IF(C1593&lt;=11,"Morning (06-11)",IF(C1593&lt;=16,"Afternoon (12-16)",IF(C1593&lt;=20,"Evening (17-20)","Late (21-23)")))))</f>
        <v/>
      </c>
    </row>
    <row r="1594" customFormat="false" ht="15" hidden="false" customHeight="false" outlineLevel="0" collapsed="false">
      <c r="L1594" s="37" t="str">
        <f aca="false">IF(C1594="","",IF(C1594&lt;=5,"Night (00-05)",IF(C1594&lt;=11,"Morning (06-11)",IF(C1594&lt;=16,"Afternoon (12-16)",IF(C1594&lt;=20,"Evening (17-20)","Late (21-23)")))))</f>
        <v/>
      </c>
    </row>
    <row r="1595" customFormat="false" ht="15" hidden="false" customHeight="false" outlineLevel="0" collapsed="false">
      <c r="L1595" s="37" t="str">
        <f aca="false">IF(C1595="","",IF(C1595&lt;=5,"Night (00-05)",IF(C1595&lt;=11,"Morning (06-11)",IF(C1595&lt;=16,"Afternoon (12-16)",IF(C1595&lt;=20,"Evening (17-20)","Late (21-23)")))))</f>
        <v/>
      </c>
    </row>
    <row r="1596" customFormat="false" ht="15" hidden="false" customHeight="false" outlineLevel="0" collapsed="false">
      <c r="L1596" s="37" t="str">
        <f aca="false">IF(C1596="","",IF(C1596&lt;=5,"Night (00-05)",IF(C1596&lt;=11,"Morning (06-11)",IF(C1596&lt;=16,"Afternoon (12-16)",IF(C1596&lt;=20,"Evening (17-20)","Late (21-23)")))))</f>
        <v/>
      </c>
    </row>
    <row r="1597" customFormat="false" ht="15" hidden="false" customHeight="false" outlineLevel="0" collapsed="false">
      <c r="L1597" s="37" t="str">
        <f aca="false">IF(C1597="","",IF(C1597&lt;=5,"Night (00-05)",IF(C1597&lt;=11,"Morning (06-11)",IF(C1597&lt;=16,"Afternoon (12-16)",IF(C1597&lt;=20,"Evening (17-20)","Late (21-23)")))))</f>
        <v/>
      </c>
    </row>
    <row r="1598" customFormat="false" ht="15" hidden="false" customHeight="false" outlineLevel="0" collapsed="false">
      <c r="L1598" s="37" t="str">
        <f aca="false">IF(C1598="","",IF(C1598&lt;=5,"Night (00-05)",IF(C1598&lt;=11,"Morning (06-11)",IF(C1598&lt;=16,"Afternoon (12-16)",IF(C1598&lt;=20,"Evening (17-20)","Late (21-23)")))))</f>
        <v/>
      </c>
    </row>
    <row r="1599" customFormat="false" ht="15" hidden="false" customHeight="false" outlineLevel="0" collapsed="false">
      <c r="L1599" s="37" t="str">
        <f aca="false">IF(C1599="","",IF(C1599&lt;=5,"Night (00-05)",IF(C1599&lt;=11,"Morning (06-11)",IF(C1599&lt;=16,"Afternoon (12-16)",IF(C1599&lt;=20,"Evening (17-20)","Late (21-23)")))))</f>
        <v/>
      </c>
    </row>
    <row r="1600" customFormat="false" ht="15" hidden="false" customHeight="false" outlineLevel="0" collapsed="false">
      <c r="L1600" s="37" t="str">
        <f aca="false">IF(C1600="","",IF(C1600&lt;=5,"Night (00-05)",IF(C1600&lt;=11,"Morning (06-11)",IF(C1600&lt;=16,"Afternoon (12-16)",IF(C1600&lt;=20,"Evening (17-20)","Late (21-23)")))))</f>
        <v/>
      </c>
    </row>
    <row r="1601" customFormat="false" ht="15" hidden="false" customHeight="false" outlineLevel="0" collapsed="false">
      <c r="L1601" s="37" t="str">
        <f aca="false">IF(C1601="","",IF(C1601&lt;=5,"Night (00-05)",IF(C1601&lt;=11,"Morning (06-11)",IF(C1601&lt;=16,"Afternoon (12-16)",IF(C1601&lt;=20,"Evening (17-20)","Late (21-23)")))))</f>
        <v/>
      </c>
    </row>
    <row r="1602" customFormat="false" ht="15" hidden="false" customHeight="false" outlineLevel="0" collapsed="false">
      <c r="L1602" s="37" t="str">
        <f aca="false">IF(C1602="","",IF(C1602&lt;=5,"Night (00-05)",IF(C1602&lt;=11,"Morning (06-11)",IF(C1602&lt;=16,"Afternoon (12-16)",IF(C1602&lt;=20,"Evening (17-20)","Late (21-23)")))))</f>
        <v/>
      </c>
    </row>
    <row r="1603" customFormat="false" ht="15" hidden="false" customHeight="false" outlineLevel="0" collapsed="false">
      <c r="L1603" s="37" t="str">
        <f aca="false">IF(C1603="","",IF(C1603&lt;=5,"Night (00-05)",IF(C1603&lt;=11,"Morning (06-11)",IF(C1603&lt;=16,"Afternoon (12-16)",IF(C1603&lt;=20,"Evening (17-20)","Late (21-23)")))))</f>
        <v/>
      </c>
    </row>
    <row r="1604" customFormat="false" ht="15" hidden="false" customHeight="false" outlineLevel="0" collapsed="false">
      <c r="L1604" s="37" t="str">
        <f aca="false">IF(C1604="","",IF(C1604&lt;=5,"Night (00-05)",IF(C1604&lt;=11,"Morning (06-11)",IF(C1604&lt;=16,"Afternoon (12-16)",IF(C1604&lt;=20,"Evening (17-20)","Late (21-23)")))))</f>
        <v/>
      </c>
    </row>
    <row r="1605" customFormat="false" ht="15" hidden="false" customHeight="false" outlineLevel="0" collapsed="false">
      <c r="L1605" s="37" t="str">
        <f aca="false">IF(C1605="","",IF(C1605&lt;=5,"Night (00-05)",IF(C1605&lt;=11,"Morning (06-11)",IF(C1605&lt;=16,"Afternoon (12-16)",IF(C1605&lt;=20,"Evening (17-20)","Late (21-23)")))))</f>
        <v/>
      </c>
    </row>
    <row r="1606" customFormat="false" ht="15" hidden="false" customHeight="false" outlineLevel="0" collapsed="false">
      <c r="L1606" s="37" t="str">
        <f aca="false">IF(C1606="","",IF(C1606&lt;=5,"Night (00-05)",IF(C1606&lt;=11,"Morning (06-11)",IF(C1606&lt;=16,"Afternoon (12-16)",IF(C1606&lt;=20,"Evening (17-20)","Late (21-23)")))))</f>
        <v/>
      </c>
    </row>
    <row r="1607" customFormat="false" ht="15" hidden="false" customHeight="false" outlineLevel="0" collapsed="false">
      <c r="L1607" s="37" t="str">
        <f aca="false">IF(C1607="","",IF(C1607&lt;=5,"Night (00-05)",IF(C1607&lt;=11,"Morning (06-11)",IF(C1607&lt;=16,"Afternoon (12-16)",IF(C1607&lt;=20,"Evening (17-20)","Late (21-23)")))))</f>
        <v/>
      </c>
    </row>
    <row r="1608" customFormat="false" ht="15" hidden="false" customHeight="false" outlineLevel="0" collapsed="false">
      <c r="L1608" s="37" t="str">
        <f aca="false">IF(C1608="","",IF(C1608&lt;=5,"Night (00-05)",IF(C1608&lt;=11,"Morning (06-11)",IF(C1608&lt;=16,"Afternoon (12-16)",IF(C1608&lt;=20,"Evening (17-20)","Late (21-23)")))))</f>
        <v/>
      </c>
    </row>
    <row r="1609" customFormat="false" ht="15" hidden="false" customHeight="false" outlineLevel="0" collapsed="false">
      <c r="L1609" s="37" t="str">
        <f aca="false">IF(C1609="","",IF(C1609&lt;=5,"Night (00-05)",IF(C1609&lt;=11,"Morning (06-11)",IF(C1609&lt;=16,"Afternoon (12-16)",IF(C1609&lt;=20,"Evening (17-20)","Late (21-23)")))))</f>
        <v/>
      </c>
    </row>
    <row r="1610" customFormat="false" ht="15" hidden="false" customHeight="false" outlineLevel="0" collapsed="false">
      <c r="L1610" s="37" t="str">
        <f aca="false">IF(C1610="","",IF(C1610&lt;=5,"Night (00-05)",IF(C1610&lt;=11,"Morning (06-11)",IF(C1610&lt;=16,"Afternoon (12-16)",IF(C1610&lt;=20,"Evening (17-20)","Late (21-23)")))))</f>
        <v/>
      </c>
    </row>
    <row r="1611" customFormat="false" ht="15" hidden="false" customHeight="false" outlineLevel="0" collapsed="false">
      <c r="L1611" s="37" t="str">
        <f aca="false">IF(C1611="","",IF(C1611&lt;=5,"Night (00-05)",IF(C1611&lt;=11,"Morning (06-11)",IF(C1611&lt;=16,"Afternoon (12-16)",IF(C1611&lt;=20,"Evening (17-20)","Late (21-23)")))))</f>
        <v/>
      </c>
    </row>
    <row r="1612" customFormat="false" ht="15" hidden="false" customHeight="false" outlineLevel="0" collapsed="false">
      <c r="L1612" s="37" t="str">
        <f aca="false">IF(C1612="","",IF(C1612&lt;=5,"Night (00-05)",IF(C1612&lt;=11,"Morning (06-11)",IF(C1612&lt;=16,"Afternoon (12-16)",IF(C1612&lt;=20,"Evening (17-20)","Late (21-23)")))))</f>
        <v/>
      </c>
    </row>
    <row r="1613" customFormat="false" ht="15" hidden="false" customHeight="false" outlineLevel="0" collapsed="false">
      <c r="L1613" s="37" t="str">
        <f aca="false">IF(C1613="","",IF(C1613&lt;=5,"Night (00-05)",IF(C1613&lt;=11,"Morning (06-11)",IF(C1613&lt;=16,"Afternoon (12-16)",IF(C1613&lt;=20,"Evening (17-20)","Late (21-23)")))))</f>
        <v/>
      </c>
    </row>
    <row r="1614" customFormat="false" ht="15" hidden="false" customHeight="false" outlineLevel="0" collapsed="false">
      <c r="L1614" s="37" t="str">
        <f aca="false">IF(C1614="","",IF(C1614&lt;=5,"Night (00-05)",IF(C1614&lt;=11,"Morning (06-11)",IF(C1614&lt;=16,"Afternoon (12-16)",IF(C1614&lt;=20,"Evening (17-20)","Late (21-23)")))))</f>
        <v/>
      </c>
    </row>
    <row r="1615" customFormat="false" ht="15" hidden="false" customHeight="false" outlineLevel="0" collapsed="false">
      <c r="L1615" s="37" t="str">
        <f aca="false">IF(C1615="","",IF(C1615&lt;=5,"Night (00-05)",IF(C1615&lt;=11,"Morning (06-11)",IF(C1615&lt;=16,"Afternoon (12-16)",IF(C1615&lt;=20,"Evening (17-20)","Late (21-23)")))))</f>
        <v/>
      </c>
    </row>
    <row r="1616" customFormat="false" ht="15" hidden="false" customHeight="false" outlineLevel="0" collapsed="false">
      <c r="L1616" s="37" t="str">
        <f aca="false">IF(C1616="","",IF(C1616&lt;=5,"Night (00-05)",IF(C1616&lt;=11,"Morning (06-11)",IF(C1616&lt;=16,"Afternoon (12-16)",IF(C1616&lt;=20,"Evening (17-20)","Late (21-23)")))))</f>
        <v/>
      </c>
    </row>
    <row r="1617" customFormat="false" ht="15" hidden="false" customHeight="false" outlineLevel="0" collapsed="false">
      <c r="L1617" s="37" t="str">
        <f aca="false">IF(C1617="","",IF(C1617&lt;=5,"Night (00-05)",IF(C1617&lt;=11,"Morning (06-11)",IF(C1617&lt;=16,"Afternoon (12-16)",IF(C1617&lt;=20,"Evening (17-20)","Late (21-23)")))))</f>
        <v/>
      </c>
    </row>
    <row r="1618" customFormat="false" ht="15" hidden="false" customHeight="false" outlineLevel="0" collapsed="false">
      <c r="L1618" s="37" t="str">
        <f aca="false">IF(C1618="","",IF(C1618&lt;=5,"Night (00-05)",IF(C1618&lt;=11,"Morning (06-11)",IF(C1618&lt;=16,"Afternoon (12-16)",IF(C1618&lt;=20,"Evening (17-20)","Late (21-23)")))))</f>
        <v/>
      </c>
    </row>
    <row r="1619" customFormat="false" ht="15" hidden="false" customHeight="false" outlineLevel="0" collapsed="false">
      <c r="L1619" s="37" t="str">
        <f aca="false">IF(C1619="","",IF(C1619&lt;=5,"Night (00-05)",IF(C1619&lt;=11,"Morning (06-11)",IF(C1619&lt;=16,"Afternoon (12-16)",IF(C1619&lt;=20,"Evening (17-20)","Late (21-23)")))))</f>
        <v/>
      </c>
    </row>
    <row r="1620" customFormat="false" ht="15" hidden="false" customHeight="false" outlineLevel="0" collapsed="false">
      <c r="L1620" s="37" t="str">
        <f aca="false">IF(C1620="","",IF(C1620&lt;=5,"Night (00-05)",IF(C1620&lt;=11,"Morning (06-11)",IF(C1620&lt;=16,"Afternoon (12-16)",IF(C1620&lt;=20,"Evening (17-20)","Late (21-23)")))))</f>
        <v/>
      </c>
    </row>
    <row r="1621" customFormat="false" ht="15" hidden="false" customHeight="false" outlineLevel="0" collapsed="false">
      <c r="L1621" s="37" t="str">
        <f aca="false">IF(C1621="","",IF(C1621&lt;=5,"Night (00-05)",IF(C1621&lt;=11,"Morning (06-11)",IF(C1621&lt;=16,"Afternoon (12-16)",IF(C1621&lt;=20,"Evening (17-20)","Late (21-23)")))))</f>
        <v/>
      </c>
    </row>
    <row r="1622" customFormat="false" ht="15" hidden="false" customHeight="false" outlineLevel="0" collapsed="false">
      <c r="L1622" s="37" t="str">
        <f aca="false">IF(C1622="","",IF(C1622&lt;=5,"Night (00-05)",IF(C1622&lt;=11,"Morning (06-11)",IF(C1622&lt;=16,"Afternoon (12-16)",IF(C1622&lt;=20,"Evening (17-20)","Late (21-23)")))))</f>
        <v/>
      </c>
    </row>
    <row r="1623" customFormat="false" ht="15" hidden="false" customHeight="false" outlineLevel="0" collapsed="false">
      <c r="L1623" s="37" t="str">
        <f aca="false">IF(C1623="","",IF(C1623&lt;=5,"Night (00-05)",IF(C1623&lt;=11,"Morning (06-11)",IF(C1623&lt;=16,"Afternoon (12-16)",IF(C1623&lt;=20,"Evening (17-20)","Late (21-23)")))))</f>
        <v/>
      </c>
    </row>
    <row r="1624" customFormat="false" ht="15" hidden="false" customHeight="false" outlineLevel="0" collapsed="false">
      <c r="L1624" s="37" t="str">
        <f aca="false">IF(C1624="","",IF(C1624&lt;=5,"Night (00-05)",IF(C1624&lt;=11,"Morning (06-11)",IF(C1624&lt;=16,"Afternoon (12-16)",IF(C1624&lt;=20,"Evening (17-20)","Late (21-23)")))))</f>
        <v/>
      </c>
    </row>
    <row r="1625" customFormat="false" ht="15" hidden="false" customHeight="false" outlineLevel="0" collapsed="false">
      <c r="L1625" s="37" t="str">
        <f aca="false">IF(C1625="","",IF(C1625&lt;=5,"Night (00-05)",IF(C1625&lt;=11,"Morning (06-11)",IF(C1625&lt;=16,"Afternoon (12-16)",IF(C1625&lt;=20,"Evening (17-20)","Late (21-23)")))))</f>
        <v/>
      </c>
    </row>
    <row r="1626" customFormat="false" ht="15" hidden="false" customHeight="false" outlineLevel="0" collapsed="false">
      <c r="L1626" s="37" t="str">
        <f aca="false">IF(C1626="","",IF(C1626&lt;=5,"Night (00-05)",IF(C1626&lt;=11,"Morning (06-11)",IF(C1626&lt;=16,"Afternoon (12-16)",IF(C1626&lt;=20,"Evening (17-20)","Late (21-23)")))))</f>
        <v/>
      </c>
    </row>
    <row r="1627" customFormat="false" ht="15" hidden="false" customHeight="false" outlineLevel="0" collapsed="false">
      <c r="L1627" s="37" t="str">
        <f aca="false">IF(C1627="","",IF(C1627&lt;=5,"Night (00-05)",IF(C1627&lt;=11,"Morning (06-11)",IF(C1627&lt;=16,"Afternoon (12-16)",IF(C1627&lt;=20,"Evening (17-20)","Late (21-23)")))))</f>
        <v/>
      </c>
    </row>
    <row r="1628" customFormat="false" ht="15" hidden="false" customHeight="false" outlineLevel="0" collapsed="false">
      <c r="L1628" s="37" t="str">
        <f aca="false">IF(C1628="","",IF(C1628&lt;=5,"Night (00-05)",IF(C1628&lt;=11,"Morning (06-11)",IF(C1628&lt;=16,"Afternoon (12-16)",IF(C1628&lt;=20,"Evening (17-20)","Late (21-23)")))))</f>
        <v/>
      </c>
    </row>
    <row r="1629" customFormat="false" ht="15" hidden="false" customHeight="false" outlineLevel="0" collapsed="false">
      <c r="L1629" s="37" t="str">
        <f aca="false">IF(C1629="","",IF(C1629&lt;=5,"Night (00-05)",IF(C1629&lt;=11,"Morning (06-11)",IF(C1629&lt;=16,"Afternoon (12-16)",IF(C1629&lt;=20,"Evening (17-20)","Late (21-23)")))))</f>
        <v/>
      </c>
    </row>
    <row r="1630" customFormat="false" ht="15" hidden="false" customHeight="false" outlineLevel="0" collapsed="false">
      <c r="L1630" s="37" t="str">
        <f aca="false">IF(C1630="","",IF(C1630&lt;=5,"Night (00-05)",IF(C1630&lt;=11,"Morning (06-11)",IF(C1630&lt;=16,"Afternoon (12-16)",IF(C1630&lt;=20,"Evening (17-20)","Late (21-23)")))))</f>
        <v/>
      </c>
    </row>
    <row r="1631" customFormat="false" ht="15" hidden="false" customHeight="false" outlineLevel="0" collapsed="false">
      <c r="L1631" s="37" t="str">
        <f aca="false">IF(C1631="","",IF(C1631&lt;=5,"Night (00-05)",IF(C1631&lt;=11,"Morning (06-11)",IF(C1631&lt;=16,"Afternoon (12-16)",IF(C1631&lt;=20,"Evening (17-20)","Late (21-23)")))))</f>
        <v/>
      </c>
    </row>
    <row r="1632" customFormat="false" ht="15" hidden="false" customHeight="false" outlineLevel="0" collapsed="false">
      <c r="L1632" s="37" t="str">
        <f aca="false">IF(C1632="","",IF(C1632&lt;=5,"Night (00-05)",IF(C1632&lt;=11,"Morning (06-11)",IF(C1632&lt;=16,"Afternoon (12-16)",IF(C1632&lt;=20,"Evening (17-20)","Late (21-23)")))))</f>
        <v/>
      </c>
    </row>
    <row r="1633" customFormat="false" ht="15" hidden="false" customHeight="false" outlineLevel="0" collapsed="false">
      <c r="L1633" s="37" t="str">
        <f aca="false">IF(C1633="","",IF(C1633&lt;=5,"Night (00-05)",IF(C1633&lt;=11,"Morning (06-11)",IF(C1633&lt;=16,"Afternoon (12-16)",IF(C1633&lt;=20,"Evening (17-20)","Late (21-23)")))))</f>
        <v/>
      </c>
    </row>
    <row r="1634" customFormat="false" ht="15" hidden="false" customHeight="false" outlineLevel="0" collapsed="false">
      <c r="L1634" s="37" t="str">
        <f aca="false">IF(C1634="","",IF(C1634&lt;=5,"Night (00-05)",IF(C1634&lt;=11,"Morning (06-11)",IF(C1634&lt;=16,"Afternoon (12-16)",IF(C1634&lt;=20,"Evening (17-20)","Late (21-23)")))))</f>
        <v/>
      </c>
    </row>
    <row r="1635" customFormat="false" ht="15" hidden="false" customHeight="false" outlineLevel="0" collapsed="false">
      <c r="L1635" s="37" t="str">
        <f aca="false">IF(C1635="","",IF(C1635&lt;=5,"Night (00-05)",IF(C1635&lt;=11,"Morning (06-11)",IF(C1635&lt;=16,"Afternoon (12-16)",IF(C1635&lt;=20,"Evening (17-20)","Late (21-23)")))))</f>
        <v/>
      </c>
    </row>
    <row r="1636" customFormat="false" ht="15" hidden="false" customHeight="false" outlineLevel="0" collapsed="false">
      <c r="L1636" s="37" t="str">
        <f aca="false">IF(C1636="","",IF(C1636&lt;=5,"Night (00-05)",IF(C1636&lt;=11,"Morning (06-11)",IF(C1636&lt;=16,"Afternoon (12-16)",IF(C1636&lt;=20,"Evening (17-20)","Late (21-23)")))))</f>
        <v/>
      </c>
    </row>
    <row r="1637" customFormat="false" ht="15" hidden="false" customHeight="false" outlineLevel="0" collapsed="false">
      <c r="L1637" s="37" t="str">
        <f aca="false">IF(C1637="","",IF(C1637&lt;=5,"Night (00-05)",IF(C1637&lt;=11,"Morning (06-11)",IF(C1637&lt;=16,"Afternoon (12-16)",IF(C1637&lt;=20,"Evening (17-20)","Late (21-23)")))))</f>
        <v/>
      </c>
    </row>
    <row r="1638" customFormat="false" ht="15" hidden="false" customHeight="false" outlineLevel="0" collapsed="false">
      <c r="L1638" s="37" t="str">
        <f aca="false">IF(C1638="","",IF(C1638&lt;=5,"Night (00-05)",IF(C1638&lt;=11,"Morning (06-11)",IF(C1638&lt;=16,"Afternoon (12-16)",IF(C1638&lt;=20,"Evening (17-20)","Late (21-23)")))))</f>
        <v/>
      </c>
    </row>
    <row r="1639" customFormat="false" ht="15" hidden="false" customHeight="false" outlineLevel="0" collapsed="false">
      <c r="L1639" s="37" t="str">
        <f aca="false">IF(C1639="","",IF(C1639&lt;=5,"Night (00-05)",IF(C1639&lt;=11,"Morning (06-11)",IF(C1639&lt;=16,"Afternoon (12-16)",IF(C1639&lt;=20,"Evening (17-20)","Late (21-23)")))))</f>
        <v/>
      </c>
    </row>
    <row r="1640" customFormat="false" ht="15" hidden="false" customHeight="false" outlineLevel="0" collapsed="false">
      <c r="L1640" s="37" t="str">
        <f aca="false">IF(C1640="","",IF(C1640&lt;=5,"Night (00-05)",IF(C1640&lt;=11,"Morning (06-11)",IF(C1640&lt;=16,"Afternoon (12-16)",IF(C1640&lt;=20,"Evening (17-20)","Late (21-23)")))))</f>
        <v/>
      </c>
    </row>
    <row r="1641" customFormat="false" ht="15" hidden="false" customHeight="false" outlineLevel="0" collapsed="false">
      <c r="L1641" s="37" t="str">
        <f aca="false">IF(C1641="","",IF(C1641&lt;=5,"Night (00-05)",IF(C1641&lt;=11,"Morning (06-11)",IF(C1641&lt;=16,"Afternoon (12-16)",IF(C1641&lt;=20,"Evening (17-20)","Late (21-23)")))))</f>
        <v/>
      </c>
    </row>
    <row r="1642" customFormat="false" ht="15" hidden="false" customHeight="false" outlineLevel="0" collapsed="false">
      <c r="L1642" s="37" t="str">
        <f aca="false">IF(C1642="","",IF(C1642&lt;=5,"Night (00-05)",IF(C1642&lt;=11,"Morning (06-11)",IF(C1642&lt;=16,"Afternoon (12-16)",IF(C1642&lt;=20,"Evening (17-20)","Late (21-23)")))))</f>
        <v/>
      </c>
    </row>
    <row r="1643" customFormat="false" ht="15" hidden="false" customHeight="false" outlineLevel="0" collapsed="false">
      <c r="L1643" s="37" t="str">
        <f aca="false">IF(C1643="","",IF(C1643&lt;=5,"Night (00-05)",IF(C1643&lt;=11,"Morning (06-11)",IF(C1643&lt;=16,"Afternoon (12-16)",IF(C1643&lt;=20,"Evening (17-20)","Late (21-23)")))))</f>
        <v/>
      </c>
    </row>
    <row r="1644" customFormat="false" ht="15" hidden="false" customHeight="false" outlineLevel="0" collapsed="false">
      <c r="L1644" s="37" t="str">
        <f aca="false">IF(C1644="","",IF(C1644&lt;=5,"Night (00-05)",IF(C1644&lt;=11,"Morning (06-11)",IF(C1644&lt;=16,"Afternoon (12-16)",IF(C1644&lt;=20,"Evening (17-20)","Late (21-23)")))))</f>
        <v/>
      </c>
    </row>
    <row r="1645" customFormat="false" ht="15" hidden="false" customHeight="false" outlineLevel="0" collapsed="false">
      <c r="L1645" s="37" t="str">
        <f aca="false">IF(C1645="","",IF(C1645&lt;=5,"Night (00-05)",IF(C1645&lt;=11,"Morning (06-11)",IF(C1645&lt;=16,"Afternoon (12-16)",IF(C1645&lt;=20,"Evening (17-20)","Late (21-23)")))))</f>
        <v/>
      </c>
    </row>
    <row r="1646" customFormat="false" ht="15" hidden="false" customHeight="false" outlineLevel="0" collapsed="false">
      <c r="L1646" s="37" t="str">
        <f aca="false">IF(C1646="","",IF(C1646&lt;=5,"Night (00-05)",IF(C1646&lt;=11,"Morning (06-11)",IF(C1646&lt;=16,"Afternoon (12-16)",IF(C1646&lt;=20,"Evening (17-20)","Late (21-23)")))))</f>
        <v/>
      </c>
    </row>
    <row r="1647" customFormat="false" ht="15" hidden="false" customHeight="false" outlineLevel="0" collapsed="false">
      <c r="L1647" s="37" t="str">
        <f aca="false">IF(C1647="","",IF(C1647&lt;=5,"Night (00-05)",IF(C1647&lt;=11,"Morning (06-11)",IF(C1647&lt;=16,"Afternoon (12-16)",IF(C1647&lt;=20,"Evening (17-20)","Late (21-23)")))))</f>
        <v/>
      </c>
    </row>
    <row r="1648" customFormat="false" ht="15" hidden="false" customHeight="false" outlineLevel="0" collapsed="false">
      <c r="L1648" s="37" t="str">
        <f aca="false">IF(C1648="","",IF(C1648&lt;=5,"Night (00-05)",IF(C1648&lt;=11,"Morning (06-11)",IF(C1648&lt;=16,"Afternoon (12-16)",IF(C1648&lt;=20,"Evening (17-20)","Late (21-23)")))))</f>
        <v/>
      </c>
    </row>
    <row r="1649" customFormat="false" ht="15" hidden="false" customHeight="false" outlineLevel="0" collapsed="false">
      <c r="L1649" s="37" t="str">
        <f aca="false">IF(C1649="","",IF(C1649&lt;=5,"Night (00-05)",IF(C1649&lt;=11,"Morning (06-11)",IF(C1649&lt;=16,"Afternoon (12-16)",IF(C1649&lt;=20,"Evening (17-20)","Late (21-23)")))))</f>
        <v/>
      </c>
    </row>
    <row r="1650" customFormat="false" ht="15" hidden="false" customHeight="false" outlineLevel="0" collapsed="false">
      <c r="L1650" s="37" t="str">
        <f aca="false">IF(C1650="","",IF(C1650&lt;=5,"Night (00-05)",IF(C1650&lt;=11,"Morning (06-11)",IF(C1650&lt;=16,"Afternoon (12-16)",IF(C1650&lt;=20,"Evening (17-20)","Late (21-23)")))))</f>
        <v/>
      </c>
    </row>
    <row r="1651" customFormat="false" ht="15" hidden="false" customHeight="false" outlineLevel="0" collapsed="false">
      <c r="L1651" s="37" t="str">
        <f aca="false">IF(C1651="","",IF(C1651&lt;=5,"Night (00-05)",IF(C1651&lt;=11,"Morning (06-11)",IF(C1651&lt;=16,"Afternoon (12-16)",IF(C1651&lt;=20,"Evening (17-20)","Late (21-23)")))))</f>
        <v/>
      </c>
    </row>
    <row r="1652" customFormat="false" ht="15" hidden="false" customHeight="false" outlineLevel="0" collapsed="false">
      <c r="L1652" s="37" t="str">
        <f aca="false">IF(C1652="","",IF(C1652&lt;=5,"Night (00-05)",IF(C1652&lt;=11,"Morning (06-11)",IF(C1652&lt;=16,"Afternoon (12-16)",IF(C1652&lt;=20,"Evening (17-20)","Late (21-23)")))))</f>
        <v/>
      </c>
    </row>
    <row r="1653" customFormat="false" ht="15" hidden="false" customHeight="false" outlineLevel="0" collapsed="false">
      <c r="L1653" s="37" t="str">
        <f aca="false">IF(C1653="","",IF(C1653&lt;=5,"Night (00-05)",IF(C1653&lt;=11,"Morning (06-11)",IF(C1653&lt;=16,"Afternoon (12-16)",IF(C1653&lt;=20,"Evening (17-20)","Late (21-23)")))))</f>
        <v/>
      </c>
    </row>
    <row r="1654" customFormat="false" ht="15" hidden="false" customHeight="false" outlineLevel="0" collapsed="false">
      <c r="L1654" s="37" t="str">
        <f aca="false">IF(C1654="","",IF(C1654&lt;=5,"Night (00-05)",IF(C1654&lt;=11,"Morning (06-11)",IF(C1654&lt;=16,"Afternoon (12-16)",IF(C1654&lt;=20,"Evening (17-20)","Late (21-23)")))))</f>
        <v/>
      </c>
    </row>
    <row r="1655" customFormat="false" ht="15" hidden="false" customHeight="false" outlineLevel="0" collapsed="false">
      <c r="L1655" s="37" t="str">
        <f aca="false">IF(C1655="","",IF(C1655&lt;=5,"Night (00-05)",IF(C1655&lt;=11,"Morning (06-11)",IF(C1655&lt;=16,"Afternoon (12-16)",IF(C1655&lt;=20,"Evening (17-20)","Late (21-23)")))))</f>
        <v/>
      </c>
    </row>
    <row r="1656" customFormat="false" ht="15" hidden="false" customHeight="false" outlineLevel="0" collapsed="false">
      <c r="L1656" s="37" t="str">
        <f aca="false">IF(C1656="","",IF(C1656&lt;=5,"Night (00-05)",IF(C1656&lt;=11,"Morning (06-11)",IF(C1656&lt;=16,"Afternoon (12-16)",IF(C1656&lt;=20,"Evening (17-20)","Late (21-23)")))))</f>
        <v/>
      </c>
    </row>
    <row r="1657" customFormat="false" ht="15" hidden="false" customHeight="false" outlineLevel="0" collapsed="false">
      <c r="L1657" s="37" t="str">
        <f aca="false">IF(C1657="","",IF(C1657&lt;=5,"Night (00-05)",IF(C1657&lt;=11,"Morning (06-11)",IF(C1657&lt;=16,"Afternoon (12-16)",IF(C1657&lt;=20,"Evening (17-20)","Late (21-23)")))))</f>
        <v/>
      </c>
    </row>
    <row r="1658" customFormat="false" ht="15" hidden="false" customHeight="false" outlineLevel="0" collapsed="false">
      <c r="L1658" s="37" t="str">
        <f aca="false">IF(C1658="","",IF(C1658&lt;=5,"Night (00-05)",IF(C1658&lt;=11,"Morning (06-11)",IF(C1658&lt;=16,"Afternoon (12-16)",IF(C1658&lt;=20,"Evening (17-20)","Late (21-23)")))))</f>
        <v/>
      </c>
    </row>
    <row r="1659" customFormat="false" ht="15" hidden="false" customHeight="false" outlineLevel="0" collapsed="false">
      <c r="L1659" s="37" t="str">
        <f aca="false">IF(C1659="","",IF(C1659&lt;=5,"Night (00-05)",IF(C1659&lt;=11,"Morning (06-11)",IF(C1659&lt;=16,"Afternoon (12-16)",IF(C1659&lt;=20,"Evening (17-20)","Late (21-23)")))))</f>
        <v/>
      </c>
    </row>
    <row r="1660" customFormat="false" ht="15" hidden="false" customHeight="false" outlineLevel="0" collapsed="false">
      <c r="L1660" s="37" t="str">
        <f aca="false">IF(C1660="","",IF(C1660&lt;=5,"Night (00-05)",IF(C1660&lt;=11,"Morning (06-11)",IF(C1660&lt;=16,"Afternoon (12-16)",IF(C1660&lt;=20,"Evening (17-20)","Late (21-23)")))))</f>
        <v/>
      </c>
    </row>
    <row r="1661" customFormat="false" ht="15" hidden="false" customHeight="false" outlineLevel="0" collapsed="false">
      <c r="L1661" s="37" t="str">
        <f aca="false">IF(C1661="","",IF(C1661&lt;=5,"Night (00-05)",IF(C1661&lt;=11,"Morning (06-11)",IF(C1661&lt;=16,"Afternoon (12-16)",IF(C1661&lt;=20,"Evening (17-20)","Late (21-23)")))))</f>
        <v/>
      </c>
    </row>
    <row r="1662" customFormat="false" ht="15" hidden="false" customHeight="false" outlineLevel="0" collapsed="false">
      <c r="L1662" s="37" t="str">
        <f aca="false">IF(C1662="","",IF(C1662&lt;=5,"Night (00-05)",IF(C1662&lt;=11,"Morning (06-11)",IF(C1662&lt;=16,"Afternoon (12-16)",IF(C1662&lt;=20,"Evening (17-20)","Late (21-23)")))))</f>
        <v/>
      </c>
    </row>
    <row r="1663" customFormat="false" ht="15" hidden="false" customHeight="false" outlineLevel="0" collapsed="false">
      <c r="L1663" s="37" t="str">
        <f aca="false">IF(C1663="","",IF(C1663&lt;=5,"Night (00-05)",IF(C1663&lt;=11,"Morning (06-11)",IF(C1663&lt;=16,"Afternoon (12-16)",IF(C1663&lt;=20,"Evening (17-20)","Late (21-23)")))))</f>
        <v/>
      </c>
    </row>
    <row r="1664" customFormat="false" ht="15" hidden="false" customHeight="false" outlineLevel="0" collapsed="false">
      <c r="L1664" s="37" t="str">
        <f aca="false">IF(C1664="","",IF(C1664&lt;=5,"Night (00-05)",IF(C1664&lt;=11,"Morning (06-11)",IF(C1664&lt;=16,"Afternoon (12-16)",IF(C1664&lt;=20,"Evening (17-20)","Late (21-23)")))))</f>
        <v/>
      </c>
    </row>
    <row r="1665" customFormat="false" ht="15" hidden="false" customHeight="false" outlineLevel="0" collapsed="false">
      <c r="L1665" s="37" t="str">
        <f aca="false">IF(C1665="","",IF(C1665&lt;=5,"Night (00-05)",IF(C1665&lt;=11,"Morning (06-11)",IF(C1665&lt;=16,"Afternoon (12-16)",IF(C1665&lt;=20,"Evening (17-20)","Late (21-23)")))))</f>
        <v/>
      </c>
    </row>
    <row r="1666" customFormat="false" ht="15" hidden="false" customHeight="false" outlineLevel="0" collapsed="false">
      <c r="L1666" s="37" t="str">
        <f aca="false">IF(C1666="","",IF(C1666&lt;=5,"Night (00-05)",IF(C1666&lt;=11,"Morning (06-11)",IF(C1666&lt;=16,"Afternoon (12-16)",IF(C1666&lt;=20,"Evening (17-20)","Late (21-23)")))))</f>
        <v/>
      </c>
    </row>
    <row r="1667" customFormat="false" ht="15" hidden="false" customHeight="false" outlineLevel="0" collapsed="false">
      <c r="L1667" s="37" t="str">
        <f aca="false">IF(C1667="","",IF(C1667&lt;=5,"Night (00-05)",IF(C1667&lt;=11,"Morning (06-11)",IF(C1667&lt;=16,"Afternoon (12-16)",IF(C1667&lt;=20,"Evening (17-20)","Late (21-23)")))))</f>
        <v/>
      </c>
    </row>
    <row r="1668" customFormat="false" ht="15" hidden="false" customHeight="false" outlineLevel="0" collapsed="false">
      <c r="L1668" s="37" t="str">
        <f aca="false">IF(C1668="","",IF(C1668&lt;=5,"Night (00-05)",IF(C1668&lt;=11,"Morning (06-11)",IF(C1668&lt;=16,"Afternoon (12-16)",IF(C1668&lt;=20,"Evening (17-20)","Late (21-23)")))))</f>
        <v/>
      </c>
    </row>
    <row r="1669" customFormat="false" ht="15" hidden="false" customHeight="false" outlineLevel="0" collapsed="false">
      <c r="L1669" s="37" t="str">
        <f aca="false">IF(C1669="","",IF(C1669&lt;=5,"Night (00-05)",IF(C1669&lt;=11,"Morning (06-11)",IF(C1669&lt;=16,"Afternoon (12-16)",IF(C1669&lt;=20,"Evening (17-20)","Late (21-23)")))))</f>
        <v/>
      </c>
    </row>
    <row r="1670" customFormat="false" ht="15" hidden="false" customHeight="false" outlineLevel="0" collapsed="false">
      <c r="L1670" s="37" t="str">
        <f aca="false">IF(C1670="","",IF(C1670&lt;=5,"Night (00-05)",IF(C1670&lt;=11,"Morning (06-11)",IF(C1670&lt;=16,"Afternoon (12-16)",IF(C1670&lt;=20,"Evening (17-20)","Late (21-23)")))))</f>
        <v/>
      </c>
    </row>
    <row r="1671" customFormat="false" ht="15" hidden="false" customHeight="false" outlineLevel="0" collapsed="false">
      <c r="L1671" s="37" t="str">
        <f aca="false">IF(C1671="","",IF(C1671&lt;=5,"Night (00-05)",IF(C1671&lt;=11,"Morning (06-11)",IF(C1671&lt;=16,"Afternoon (12-16)",IF(C1671&lt;=20,"Evening (17-20)","Late (21-23)")))))</f>
        <v/>
      </c>
    </row>
    <row r="1672" customFormat="false" ht="15" hidden="false" customHeight="false" outlineLevel="0" collapsed="false">
      <c r="L1672" s="37" t="str">
        <f aca="false">IF(C1672="","",IF(C1672&lt;=5,"Night (00-05)",IF(C1672&lt;=11,"Morning (06-11)",IF(C1672&lt;=16,"Afternoon (12-16)",IF(C1672&lt;=20,"Evening (17-20)","Late (21-23)")))))</f>
        <v/>
      </c>
    </row>
    <row r="1673" customFormat="false" ht="15" hidden="false" customHeight="false" outlineLevel="0" collapsed="false">
      <c r="L1673" s="37" t="str">
        <f aca="false">IF(C1673="","",IF(C1673&lt;=5,"Night (00-05)",IF(C1673&lt;=11,"Morning (06-11)",IF(C1673&lt;=16,"Afternoon (12-16)",IF(C1673&lt;=20,"Evening (17-20)","Late (21-23)")))))</f>
        <v/>
      </c>
    </row>
    <row r="1674" customFormat="false" ht="15" hidden="false" customHeight="false" outlineLevel="0" collapsed="false">
      <c r="L1674" s="37" t="str">
        <f aca="false">IF(C1674="","",IF(C1674&lt;=5,"Night (00-05)",IF(C1674&lt;=11,"Morning (06-11)",IF(C1674&lt;=16,"Afternoon (12-16)",IF(C1674&lt;=20,"Evening (17-20)","Late (21-23)")))))</f>
        <v/>
      </c>
    </row>
    <row r="1675" customFormat="false" ht="15" hidden="false" customHeight="false" outlineLevel="0" collapsed="false">
      <c r="L1675" s="37" t="str">
        <f aca="false">IF(C1675="","",IF(C1675&lt;=5,"Night (00-05)",IF(C1675&lt;=11,"Morning (06-11)",IF(C1675&lt;=16,"Afternoon (12-16)",IF(C1675&lt;=20,"Evening (17-20)","Late (21-23)")))))</f>
        <v/>
      </c>
    </row>
    <row r="1676" customFormat="false" ht="15" hidden="false" customHeight="false" outlineLevel="0" collapsed="false">
      <c r="L1676" s="37" t="str">
        <f aca="false">IF(C1676="","",IF(C1676&lt;=5,"Night (00-05)",IF(C1676&lt;=11,"Morning (06-11)",IF(C1676&lt;=16,"Afternoon (12-16)",IF(C1676&lt;=20,"Evening (17-20)","Late (21-23)")))))</f>
        <v/>
      </c>
    </row>
    <row r="1677" customFormat="false" ht="15" hidden="false" customHeight="false" outlineLevel="0" collapsed="false">
      <c r="L1677" s="37" t="str">
        <f aca="false">IF(C1677="","",IF(C1677&lt;=5,"Night (00-05)",IF(C1677&lt;=11,"Morning (06-11)",IF(C1677&lt;=16,"Afternoon (12-16)",IF(C1677&lt;=20,"Evening (17-20)","Late (21-23)")))))</f>
        <v/>
      </c>
    </row>
    <row r="1678" customFormat="false" ht="15" hidden="false" customHeight="false" outlineLevel="0" collapsed="false">
      <c r="L1678" s="37" t="str">
        <f aca="false">IF(C1678="","",IF(C1678&lt;=5,"Night (00-05)",IF(C1678&lt;=11,"Morning (06-11)",IF(C1678&lt;=16,"Afternoon (12-16)",IF(C1678&lt;=20,"Evening (17-20)","Late (21-23)")))))</f>
        <v/>
      </c>
    </row>
    <row r="1679" customFormat="false" ht="15" hidden="false" customHeight="false" outlineLevel="0" collapsed="false">
      <c r="L1679" s="37" t="str">
        <f aca="false">IF(C1679="","",IF(C1679&lt;=5,"Night (00-05)",IF(C1679&lt;=11,"Morning (06-11)",IF(C1679&lt;=16,"Afternoon (12-16)",IF(C1679&lt;=20,"Evening (17-20)","Late (21-23)")))))</f>
        <v/>
      </c>
    </row>
    <row r="1680" customFormat="false" ht="15" hidden="false" customHeight="false" outlineLevel="0" collapsed="false">
      <c r="L1680" s="37" t="str">
        <f aca="false">IF(C1680="","",IF(C1680&lt;=5,"Night (00-05)",IF(C1680&lt;=11,"Morning (06-11)",IF(C1680&lt;=16,"Afternoon (12-16)",IF(C1680&lt;=20,"Evening (17-20)","Late (21-23)")))))</f>
        <v/>
      </c>
    </row>
    <row r="1681" customFormat="false" ht="15" hidden="false" customHeight="false" outlineLevel="0" collapsed="false">
      <c r="L1681" s="37" t="str">
        <f aca="false">IF(C1681="","",IF(C1681&lt;=5,"Night (00-05)",IF(C1681&lt;=11,"Morning (06-11)",IF(C1681&lt;=16,"Afternoon (12-16)",IF(C1681&lt;=20,"Evening (17-20)","Late (21-23)")))))</f>
        <v/>
      </c>
    </row>
    <row r="1682" customFormat="false" ht="15" hidden="false" customHeight="false" outlineLevel="0" collapsed="false">
      <c r="L1682" s="37" t="str">
        <f aca="false">IF(C1682="","",IF(C1682&lt;=5,"Night (00-05)",IF(C1682&lt;=11,"Morning (06-11)",IF(C1682&lt;=16,"Afternoon (12-16)",IF(C1682&lt;=20,"Evening (17-20)","Late (21-23)")))))</f>
        <v/>
      </c>
    </row>
    <row r="1683" customFormat="false" ht="15" hidden="false" customHeight="false" outlineLevel="0" collapsed="false">
      <c r="L1683" s="37" t="str">
        <f aca="false">IF(C1683="","",IF(C1683&lt;=5,"Night (00-05)",IF(C1683&lt;=11,"Morning (06-11)",IF(C1683&lt;=16,"Afternoon (12-16)",IF(C1683&lt;=20,"Evening (17-20)","Late (21-23)")))))</f>
        <v/>
      </c>
    </row>
    <row r="1684" customFormat="false" ht="15" hidden="false" customHeight="false" outlineLevel="0" collapsed="false">
      <c r="L1684" s="37" t="str">
        <f aca="false">IF(C1684="","",IF(C1684&lt;=5,"Night (00-05)",IF(C1684&lt;=11,"Morning (06-11)",IF(C1684&lt;=16,"Afternoon (12-16)",IF(C1684&lt;=20,"Evening (17-20)","Late (21-23)")))))</f>
        <v/>
      </c>
    </row>
    <row r="1685" customFormat="false" ht="15" hidden="false" customHeight="false" outlineLevel="0" collapsed="false">
      <c r="L1685" s="37" t="str">
        <f aca="false">IF(C1685="","",IF(C1685&lt;=5,"Night (00-05)",IF(C1685&lt;=11,"Morning (06-11)",IF(C1685&lt;=16,"Afternoon (12-16)",IF(C1685&lt;=20,"Evening (17-20)","Late (21-23)")))))</f>
        <v/>
      </c>
    </row>
    <row r="1686" customFormat="false" ht="15" hidden="false" customHeight="false" outlineLevel="0" collapsed="false">
      <c r="L1686" s="37" t="str">
        <f aca="false">IF(C1686="","",IF(C1686&lt;=5,"Night (00-05)",IF(C1686&lt;=11,"Morning (06-11)",IF(C1686&lt;=16,"Afternoon (12-16)",IF(C1686&lt;=20,"Evening (17-20)","Late (21-23)")))))</f>
        <v/>
      </c>
    </row>
    <row r="1687" customFormat="false" ht="15" hidden="false" customHeight="false" outlineLevel="0" collapsed="false">
      <c r="L1687" s="37" t="str">
        <f aca="false">IF(C1687="","",IF(C1687&lt;=5,"Night (00-05)",IF(C1687&lt;=11,"Morning (06-11)",IF(C1687&lt;=16,"Afternoon (12-16)",IF(C1687&lt;=20,"Evening (17-20)","Late (21-23)")))))</f>
        <v/>
      </c>
    </row>
    <row r="1688" customFormat="false" ht="15" hidden="false" customHeight="false" outlineLevel="0" collapsed="false">
      <c r="L1688" s="37" t="str">
        <f aca="false">IF(C1688="","",IF(C1688&lt;=5,"Night (00-05)",IF(C1688&lt;=11,"Morning (06-11)",IF(C1688&lt;=16,"Afternoon (12-16)",IF(C1688&lt;=20,"Evening (17-20)","Late (21-23)")))))</f>
        <v/>
      </c>
    </row>
    <row r="1689" customFormat="false" ht="15" hidden="false" customHeight="false" outlineLevel="0" collapsed="false">
      <c r="L1689" s="37" t="str">
        <f aca="false">IF(C1689="","",IF(C1689&lt;=5,"Night (00-05)",IF(C1689&lt;=11,"Morning (06-11)",IF(C1689&lt;=16,"Afternoon (12-16)",IF(C1689&lt;=20,"Evening (17-20)","Late (21-23)")))))</f>
        <v/>
      </c>
    </row>
    <row r="1690" customFormat="false" ht="15" hidden="false" customHeight="false" outlineLevel="0" collapsed="false">
      <c r="L1690" s="37" t="str">
        <f aca="false">IF(C1690="","",IF(C1690&lt;=5,"Night (00-05)",IF(C1690&lt;=11,"Morning (06-11)",IF(C1690&lt;=16,"Afternoon (12-16)",IF(C1690&lt;=20,"Evening (17-20)","Late (21-23)")))))</f>
        <v/>
      </c>
    </row>
    <row r="1691" customFormat="false" ht="15" hidden="false" customHeight="false" outlineLevel="0" collapsed="false">
      <c r="L1691" s="37" t="str">
        <f aca="false">IF(C1691="","",IF(C1691&lt;=5,"Night (00-05)",IF(C1691&lt;=11,"Morning (06-11)",IF(C1691&lt;=16,"Afternoon (12-16)",IF(C1691&lt;=20,"Evening (17-20)","Late (21-23)")))))</f>
        <v/>
      </c>
    </row>
    <row r="1692" customFormat="false" ht="15" hidden="false" customHeight="false" outlineLevel="0" collapsed="false">
      <c r="L1692" s="37" t="str">
        <f aca="false">IF(C1692="","",IF(C1692&lt;=5,"Night (00-05)",IF(C1692&lt;=11,"Morning (06-11)",IF(C1692&lt;=16,"Afternoon (12-16)",IF(C1692&lt;=20,"Evening (17-20)","Late (21-23)")))))</f>
        <v/>
      </c>
    </row>
    <row r="1693" customFormat="false" ht="15" hidden="false" customHeight="false" outlineLevel="0" collapsed="false">
      <c r="L1693" s="37" t="str">
        <f aca="false">IF(C1693="","",IF(C1693&lt;=5,"Night (00-05)",IF(C1693&lt;=11,"Morning (06-11)",IF(C1693&lt;=16,"Afternoon (12-16)",IF(C1693&lt;=20,"Evening (17-20)","Late (21-23)")))))</f>
        <v/>
      </c>
    </row>
    <row r="1694" customFormat="false" ht="15" hidden="false" customHeight="false" outlineLevel="0" collapsed="false">
      <c r="L1694" s="37" t="str">
        <f aca="false">IF(C1694="","",IF(C1694&lt;=5,"Night (00-05)",IF(C1694&lt;=11,"Morning (06-11)",IF(C1694&lt;=16,"Afternoon (12-16)",IF(C1694&lt;=20,"Evening (17-20)","Late (21-23)")))))</f>
        <v/>
      </c>
    </row>
    <row r="1695" customFormat="false" ht="15" hidden="false" customHeight="false" outlineLevel="0" collapsed="false">
      <c r="L1695" s="37" t="str">
        <f aca="false">IF(C1695="","",IF(C1695&lt;=5,"Night (00-05)",IF(C1695&lt;=11,"Morning (06-11)",IF(C1695&lt;=16,"Afternoon (12-16)",IF(C1695&lt;=20,"Evening (17-20)","Late (21-23)")))))</f>
        <v/>
      </c>
    </row>
    <row r="1696" customFormat="false" ht="15" hidden="false" customHeight="false" outlineLevel="0" collapsed="false">
      <c r="L1696" s="37" t="str">
        <f aca="false">IF(C1696="","",IF(C1696&lt;=5,"Night (00-05)",IF(C1696&lt;=11,"Morning (06-11)",IF(C1696&lt;=16,"Afternoon (12-16)",IF(C1696&lt;=20,"Evening (17-20)","Late (21-23)")))))</f>
        <v/>
      </c>
    </row>
    <row r="1697" customFormat="false" ht="15" hidden="false" customHeight="false" outlineLevel="0" collapsed="false">
      <c r="L1697" s="37" t="str">
        <f aca="false">IF(C1697="","",IF(C1697&lt;=5,"Night (00-05)",IF(C1697&lt;=11,"Morning (06-11)",IF(C1697&lt;=16,"Afternoon (12-16)",IF(C1697&lt;=20,"Evening (17-20)","Late (21-23)")))))</f>
        <v/>
      </c>
    </row>
    <row r="1698" customFormat="false" ht="15" hidden="false" customHeight="false" outlineLevel="0" collapsed="false">
      <c r="L1698" s="37" t="str">
        <f aca="false">IF(C1698="","",IF(C1698&lt;=5,"Night (00-05)",IF(C1698&lt;=11,"Morning (06-11)",IF(C1698&lt;=16,"Afternoon (12-16)",IF(C1698&lt;=20,"Evening (17-20)","Late (21-23)")))))</f>
        <v/>
      </c>
    </row>
    <row r="1699" customFormat="false" ht="15" hidden="false" customHeight="false" outlineLevel="0" collapsed="false">
      <c r="L1699" s="37" t="str">
        <f aca="false">IF(C1699="","",IF(C1699&lt;=5,"Night (00-05)",IF(C1699&lt;=11,"Morning (06-11)",IF(C1699&lt;=16,"Afternoon (12-16)",IF(C1699&lt;=20,"Evening (17-20)","Late (21-23)")))))</f>
        <v/>
      </c>
    </row>
    <row r="1700" customFormat="false" ht="15" hidden="false" customHeight="false" outlineLevel="0" collapsed="false">
      <c r="L1700" s="37" t="str">
        <f aca="false">IF(C1700="","",IF(C1700&lt;=5,"Night (00-05)",IF(C1700&lt;=11,"Morning (06-11)",IF(C1700&lt;=16,"Afternoon (12-16)",IF(C1700&lt;=20,"Evening (17-20)","Late (21-23)")))))</f>
        <v/>
      </c>
    </row>
    <row r="1701" customFormat="false" ht="15" hidden="false" customHeight="false" outlineLevel="0" collapsed="false">
      <c r="L1701" s="37" t="str">
        <f aca="false">IF(C1701="","",IF(C1701&lt;=5,"Night (00-05)",IF(C1701&lt;=11,"Morning (06-11)",IF(C1701&lt;=16,"Afternoon (12-16)",IF(C1701&lt;=20,"Evening (17-20)","Late (21-23)")))))</f>
        <v/>
      </c>
    </row>
    <row r="1702" customFormat="false" ht="15" hidden="false" customHeight="false" outlineLevel="0" collapsed="false">
      <c r="L1702" s="37" t="str">
        <f aca="false">IF(C1702="","",IF(C1702&lt;=5,"Night (00-05)",IF(C1702&lt;=11,"Morning (06-11)",IF(C1702&lt;=16,"Afternoon (12-16)",IF(C1702&lt;=20,"Evening (17-20)","Late (21-23)")))))</f>
        <v/>
      </c>
    </row>
    <row r="1703" customFormat="false" ht="15" hidden="false" customHeight="false" outlineLevel="0" collapsed="false">
      <c r="L1703" s="37" t="str">
        <f aca="false">IF(C1703="","",IF(C1703&lt;=5,"Night (00-05)",IF(C1703&lt;=11,"Morning (06-11)",IF(C1703&lt;=16,"Afternoon (12-16)",IF(C1703&lt;=20,"Evening (17-20)","Late (21-23)")))))</f>
        <v/>
      </c>
    </row>
    <row r="1704" customFormat="false" ht="15" hidden="false" customHeight="false" outlineLevel="0" collapsed="false">
      <c r="L1704" s="37" t="str">
        <f aca="false">IF(C1704="","",IF(C1704&lt;=5,"Night (00-05)",IF(C1704&lt;=11,"Morning (06-11)",IF(C1704&lt;=16,"Afternoon (12-16)",IF(C1704&lt;=20,"Evening (17-20)","Late (21-23)")))))</f>
        <v/>
      </c>
    </row>
    <row r="1705" customFormat="false" ht="15" hidden="false" customHeight="false" outlineLevel="0" collapsed="false">
      <c r="L1705" s="37" t="str">
        <f aca="false">IF(C1705="","",IF(C1705&lt;=5,"Night (00-05)",IF(C1705&lt;=11,"Morning (06-11)",IF(C1705&lt;=16,"Afternoon (12-16)",IF(C1705&lt;=20,"Evening (17-20)","Late (21-23)")))))</f>
        <v/>
      </c>
    </row>
    <row r="1706" customFormat="false" ht="15" hidden="false" customHeight="false" outlineLevel="0" collapsed="false">
      <c r="L1706" s="37" t="str">
        <f aca="false">IF(C1706="","",IF(C1706&lt;=5,"Night (00-05)",IF(C1706&lt;=11,"Morning (06-11)",IF(C1706&lt;=16,"Afternoon (12-16)",IF(C1706&lt;=20,"Evening (17-20)","Late (21-23)")))))</f>
        <v/>
      </c>
    </row>
    <row r="1707" customFormat="false" ht="15" hidden="false" customHeight="false" outlineLevel="0" collapsed="false">
      <c r="L1707" s="37" t="str">
        <f aca="false">IF(C1707="","",IF(C1707&lt;=5,"Night (00-05)",IF(C1707&lt;=11,"Morning (06-11)",IF(C1707&lt;=16,"Afternoon (12-16)",IF(C1707&lt;=20,"Evening (17-20)","Late (21-23)")))))</f>
        <v/>
      </c>
    </row>
    <row r="1708" customFormat="false" ht="15" hidden="false" customHeight="false" outlineLevel="0" collapsed="false">
      <c r="L1708" s="37" t="str">
        <f aca="false">IF(C1708="","",IF(C1708&lt;=5,"Night (00-05)",IF(C1708&lt;=11,"Morning (06-11)",IF(C1708&lt;=16,"Afternoon (12-16)",IF(C1708&lt;=20,"Evening (17-20)","Late (21-23)")))))</f>
        <v/>
      </c>
    </row>
    <row r="1709" customFormat="false" ht="15" hidden="false" customHeight="false" outlineLevel="0" collapsed="false">
      <c r="L1709" s="37" t="str">
        <f aca="false">IF(C1709="","",IF(C1709&lt;=5,"Night (00-05)",IF(C1709&lt;=11,"Morning (06-11)",IF(C1709&lt;=16,"Afternoon (12-16)",IF(C1709&lt;=20,"Evening (17-20)","Late (21-23)")))))</f>
        <v/>
      </c>
    </row>
    <row r="1710" customFormat="false" ht="15" hidden="false" customHeight="false" outlineLevel="0" collapsed="false">
      <c r="L1710" s="37" t="str">
        <f aca="false">IF(C1710="","",IF(C1710&lt;=5,"Night (00-05)",IF(C1710&lt;=11,"Morning (06-11)",IF(C1710&lt;=16,"Afternoon (12-16)",IF(C1710&lt;=20,"Evening (17-20)","Late (21-23)")))))</f>
        <v/>
      </c>
    </row>
    <row r="1711" customFormat="false" ht="15" hidden="false" customHeight="false" outlineLevel="0" collapsed="false">
      <c r="L1711" s="37" t="str">
        <f aca="false">IF(C1711="","",IF(C1711&lt;=5,"Night (00-05)",IF(C1711&lt;=11,"Morning (06-11)",IF(C1711&lt;=16,"Afternoon (12-16)",IF(C1711&lt;=20,"Evening (17-20)","Late (21-23)")))))</f>
        <v/>
      </c>
    </row>
    <row r="1712" customFormat="false" ht="15" hidden="false" customHeight="false" outlineLevel="0" collapsed="false">
      <c r="L1712" s="37" t="str">
        <f aca="false">IF(C1712="","",IF(C1712&lt;=5,"Night (00-05)",IF(C1712&lt;=11,"Morning (06-11)",IF(C1712&lt;=16,"Afternoon (12-16)",IF(C1712&lt;=20,"Evening (17-20)","Late (21-23)")))))</f>
        <v/>
      </c>
    </row>
    <row r="1713" customFormat="false" ht="15" hidden="false" customHeight="false" outlineLevel="0" collapsed="false">
      <c r="L1713" s="37" t="str">
        <f aca="false">IF(C1713="","",IF(C1713&lt;=5,"Night (00-05)",IF(C1713&lt;=11,"Morning (06-11)",IF(C1713&lt;=16,"Afternoon (12-16)",IF(C1713&lt;=20,"Evening (17-20)","Late (21-23)")))))</f>
        <v/>
      </c>
    </row>
    <row r="1714" customFormat="false" ht="15" hidden="false" customHeight="false" outlineLevel="0" collapsed="false">
      <c r="L1714" s="37" t="str">
        <f aca="false">IF(C1714="","",IF(C1714&lt;=5,"Night (00-05)",IF(C1714&lt;=11,"Morning (06-11)",IF(C1714&lt;=16,"Afternoon (12-16)",IF(C1714&lt;=20,"Evening (17-20)","Late (21-23)")))))</f>
        <v/>
      </c>
    </row>
    <row r="1715" customFormat="false" ht="15" hidden="false" customHeight="false" outlineLevel="0" collapsed="false">
      <c r="L1715" s="37" t="str">
        <f aca="false">IF(C1715="","",IF(C1715&lt;=5,"Night (00-05)",IF(C1715&lt;=11,"Morning (06-11)",IF(C1715&lt;=16,"Afternoon (12-16)",IF(C1715&lt;=20,"Evening (17-20)","Late (21-23)")))))</f>
        <v/>
      </c>
    </row>
    <row r="1716" customFormat="false" ht="15" hidden="false" customHeight="false" outlineLevel="0" collapsed="false">
      <c r="L1716" s="37" t="str">
        <f aca="false">IF(C1716="","",IF(C1716&lt;=5,"Night (00-05)",IF(C1716&lt;=11,"Morning (06-11)",IF(C1716&lt;=16,"Afternoon (12-16)",IF(C1716&lt;=20,"Evening (17-20)","Late (21-23)")))))</f>
        <v/>
      </c>
    </row>
    <row r="1717" customFormat="false" ht="15" hidden="false" customHeight="false" outlineLevel="0" collapsed="false">
      <c r="L1717" s="37" t="str">
        <f aca="false">IF(C1717="","",IF(C1717&lt;=5,"Night (00-05)",IF(C1717&lt;=11,"Morning (06-11)",IF(C1717&lt;=16,"Afternoon (12-16)",IF(C1717&lt;=20,"Evening (17-20)","Late (21-23)")))))</f>
        <v/>
      </c>
    </row>
    <row r="1718" customFormat="false" ht="15" hidden="false" customHeight="false" outlineLevel="0" collapsed="false">
      <c r="L1718" s="37" t="str">
        <f aca="false">IF(C1718="","",IF(C1718&lt;=5,"Night (00-05)",IF(C1718&lt;=11,"Morning (06-11)",IF(C1718&lt;=16,"Afternoon (12-16)",IF(C1718&lt;=20,"Evening (17-20)","Late (21-23)")))))</f>
        <v/>
      </c>
    </row>
    <row r="1719" customFormat="false" ht="15" hidden="false" customHeight="false" outlineLevel="0" collapsed="false">
      <c r="L1719" s="37" t="str">
        <f aca="false">IF(C1719="","",IF(C1719&lt;=5,"Night (00-05)",IF(C1719&lt;=11,"Morning (06-11)",IF(C1719&lt;=16,"Afternoon (12-16)",IF(C1719&lt;=20,"Evening (17-20)","Late (21-23)")))))</f>
        <v/>
      </c>
    </row>
    <row r="1720" customFormat="false" ht="15" hidden="false" customHeight="false" outlineLevel="0" collapsed="false">
      <c r="L1720" s="37" t="str">
        <f aca="false">IF(C1720="","",IF(C1720&lt;=5,"Night (00-05)",IF(C1720&lt;=11,"Morning (06-11)",IF(C1720&lt;=16,"Afternoon (12-16)",IF(C1720&lt;=20,"Evening (17-20)","Late (21-23)")))))</f>
        <v/>
      </c>
    </row>
    <row r="1721" customFormat="false" ht="15" hidden="false" customHeight="false" outlineLevel="0" collapsed="false">
      <c r="L1721" s="37" t="str">
        <f aca="false">IF(C1721="","",IF(C1721&lt;=5,"Night (00-05)",IF(C1721&lt;=11,"Morning (06-11)",IF(C1721&lt;=16,"Afternoon (12-16)",IF(C1721&lt;=20,"Evening (17-20)","Late (21-23)")))))</f>
        <v/>
      </c>
    </row>
    <row r="1722" customFormat="false" ht="15" hidden="false" customHeight="false" outlineLevel="0" collapsed="false">
      <c r="L1722" s="37" t="str">
        <f aca="false">IF(C1722="","",IF(C1722&lt;=5,"Night (00-05)",IF(C1722&lt;=11,"Morning (06-11)",IF(C1722&lt;=16,"Afternoon (12-16)",IF(C1722&lt;=20,"Evening (17-20)","Late (21-23)")))))</f>
        <v/>
      </c>
    </row>
    <row r="1723" customFormat="false" ht="15" hidden="false" customHeight="false" outlineLevel="0" collapsed="false">
      <c r="L1723" s="37" t="str">
        <f aca="false">IF(C1723="","",IF(C1723&lt;=5,"Night (00-05)",IF(C1723&lt;=11,"Morning (06-11)",IF(C1723&lt;=16,"Afternoon (12-16)",IF(C1723&lt;=20,"Evening (17-20)","Late (21-23)")))))</f>
        <v/>
      </c>
    </row>
    <row r="1724" customFormat="false" ht="15" hidden="false" customHeight="false" outlineLevel="0" collapsed="false">
      <c r="L1724" s="37" t="str">
        <f aca="false">IF(C1724="","",IF(C1724&lt;=5,"Night (00-05)",IF(C1724&lt;=11,"Morning (06-11)",IF(C1724&lt;=16,"Afternoon (12-16)",IF(C1724&lt;=20,"Evening (17-20)","Late (21-23)")))))</f>
        <v/>
      </c>
    </row>
    <row r="1725" customFormat="false" ht="15" hidden="false" customHeight="false" outlineLevel="0" collapsed="false">
      <c r="L1725" s="37" t="str">
        <f aca="false">IF(C1725="","",IF(C1725&lt;=5,"Night (00-05)",IF(C1725&lt;=11,"Morning (06-11)",IF(C1725&lt;=16,"Afternoon (12-16)",IF(C1725&lt;=20,"Evening (17-20)","Late (21-23)")))))</f>
        <v/>
      </c>
    </row>
    <row r="1726" customFormat="false" ht="15" hidden="false" customHeight="false" outlineLevel="0" collapsed="false">
      <c r="L1726" s="37" t="str">
        <f aca="false">IF(C1726="","",IF(C1726&lt;=5,"Night (00-05)",IF(C1726&lt;=11,"Morning (06-11)",IF(C1726&lt;=16,"Afternoon (12-16)",IF(C1726&lt;=20,"Evening (17-20)","Late (21-23)")))))</f>
        <v/>
      </c>
    </row>
    <row r="1727" customFormat="false" ht="15" hidden="false" customHeight="false" outlineLevel="0" collapsed="false">
      <c r="L1727" s="37" t="str">
        <f aca="false">IF(C1727="","",IF(C1727&lt;=5,"Night (00-05)",IF(C1727&lt;=11,"Morning (06-11)",IF(C1727&lt;=16,"Afternoon (12-16)",IF(C1727&lt;=20,"Evening (17-20)","Late (21-23)")))))</f>
        <v/>
      </c>
    </row>
    <row r="1728" customFormat="false" ht="15" hidden="false" customHeight="false" outlineLevel="0" collapsed="false">
      <c r="L1728" s="37" t="str">
        <f aca="false">IF(C1728="","",IF(C1728&lt;=5,"Night (00-05)",IF(C1728&lt;=11,"Morning (06-11)",IF(C1728&lt;=16,"Afternoon (12-16)",IF(C1728&lt;=20,"Evening (17-20)","Late (21-23)")))))</f>
        <v/>
      </c>
    </row>
    <row r="1729" customFormat="false" ht="15" hidden="false" customHeight="false" outlineLevel="0" collapsed="false">
      <c r="L1729" s="37" t="str">
        <f aca="false">IF(C1729="","",IF(C1729&lt;=5,"Night (00-05)",IF(C1729&lt;=11,"Morning (06-11)",IF(C1729&lt;=16,"Afternoon (12-16)",IF(C1729&lt;=20,"Evening (17-20)","Late (21-23)")))))</f>
        <v/>
      </c>
    </row>
    <row r="1730" customFormat="false" ht="15" hidden="false" customHeight="false" outlineLevel="0" collapsed="false">
      <c r="L1730" s="37" t="str">
        <f aca="false">IF(C1730="","",IF(C1730&lt;=5,"Night (00-05)",IF(C1730&lt;=11,"Morning (06-11)",IF(C1730&lt;=16,"Afternoon (12-16)",IF(C1730&lt;=20,"Evening (17-20)","Late (21-23)")))))</f>
        <v/>
      </c>
    </row>
    <row r="1731" customFormat="false" ht="15" hidden="false" customHeight="false" outlineLevel="0" collapsed="false">
      <c r="L1731" s="37" t="str">
        <f aca="false">IF(C1731="","",IF(C1731&lt;=5,"Night (00-05)",IF(C1731&lt;=11,"Morning (06-11)",IF(C1731&lt;=16,"Afternoon (12-16)",IF(C1731&lt;=20,"Evening (17-20)","Late (21-23)")))))</f>
        <v/>
      </c>
    </row>
    <row r="1732" customFormat="false" ht="15" hidden="false" customHeight="false" outlineLevel="0" collapsed="false">
      <c r="L1732" s="37" t="str">
        <f aca="false">IF(C1732="","",IF(C1732&lt;=5,"Night (00-05)",IF(C1732&lt;=11,"Morning (06-11)",IF(C1732&lt;=16,"Afternoon (12-16)",IF(C1732&lt;=20,"Evening (17-20)","Late (21-23)")))))</f>
        <v/>
      </c>
    </row>
    <row r="1733" customFormat="false" ht="15" hidden="false" customHeight="false" outlineLevel="0" collapsed="false">
      <c r="L1733" s="37" t="str">
        <f aca="false">IF(C1733="","",IF(C1733&lt;=5,"Night (00-05)",IF(C1733&lt;=11,"Morning (06-11)",IF(C1733&lt;=16,"Afternoon (12-16)",IF(C1733&lt;=20,"Evening (17-20)","Late (21-23)")))))</f>
        <v/>
      </c>
    </row>
    <row r="1734" customFormat="false" ht="15" hidden="false" customHeight="false" outlineLevel="0" collapsed="false">
      <c r="L1734" s="37" t="str">
        <f aca="false">IF(C1734="","",IF(C1734&lt;=5,"Night (00-05)",IF(C1734&lt;=11,"Morning (06-11)",IF(C1734&lt;=16,"Afternoon (12-16)",IF(C1734&lt;=20,"Evening (17-20)","Late (21-23)")))))</f>
        <v/>
      </c>
    </row>
    <row r="1735" customFormat="false" ht="15" hidden="false" customHeight="false" outlineLevel="0" collapsed="false">
      <c r="L1735" s="37" t="str">
        <f aca="false">IF(C1735="","",IF(C1735&lt;=5,"Night (00-05)",IF(C1735&lt;=11,"Morning (06-11)",IF(C1735&lt;=16,"Afternoon (12-16)",IF(C1735&lt;=20,"Evening (17-20)","Late (21-23)")))))</f>
        <v/>
      </c>
    </row>
    <row r="1736" customFormat="false" ht="15" hidden="false" customHeight="false" outlineLevel="0" collapsed="false">
      <c r="L1736" s="37" t="str">
        <f aca="false">IF(C1736="","",IF(C1736&lt;=5,"Night (00-05)",IF(C1736&lt;=11,"Morning (06-11)",IF(C1736&lt;=16,"Afternoon (12-16)",IF(C1736&lt;=20,"Evening (17-20)","Late (21-23)")))))</f>
        <v/>
      </c>
    </row>
    <row r="1737" customFormat="false" ht="15" hidden="false" customHeight="false" outlineLevel="0" collapsed="false">
      <c r="L1737" s="37" t="str">
        <f aca="false">IF(C1737="","",IF(C1737&lt;=5,"Night (00-05)",IF(C1737&lt;=11,"Morning (06-11)",IF(C1737&lt;=16,"Afternoon (12-16)",IF(C1737&lt;=20,"Evening (17-20)","Late (21-23)")))))</f>
        <v/>
      </c>
    </row>
    <row r="1738" customFormat="false" ht="15" hidden="false" customHeight="false" outlineLevel="0" collapsed="false">
      <c r="L1738" s="37" t="str">
        <f aca="false">IF(C1738="","",IF(C1738&lt;=5,"Night (00-05)",IF(C1738&lt;=11,"Morning (06-11)",IF(C1738&lt;=16,"Afternoon (12-16)",IF(C1738&lt;=20,"Evening (17-20)","Late (21-23)")))))</f>
        <v/>
      </c>
    </row>
    <row r="1739" customFormat="false" ht="15" hidden="false" customHeight="false" outlineLevel="0" collapsed="false">
      <c r="L1739" s="37" t="str">
        <f aca="false">IF(C1739="","",IF(C1739&lt;=5,"Night (00-05)",IF(C1739&lt;=11,"Morning (06-11)",IF(C1739&lt;=16,"Afternoon (12-16)",IF(C1739&lt;=20,"Evening (17-20)","Late (21-23)")))))</f>
        <v/>
      </c>
    </row>
    <row r="1740" customFormat="false" ht="15" hidden="false" customHeight="false" outlineLevel="0" collapsed="false">
      <c r="L1740" s="37" t="str">
        <f aca="false">IF(C1740="","",IF(C1740&lt;=5,"Night (00-05)",IF(C1740&lt;=11,"Morning (06-11)",IF(C1740&lt;=16,"Afternoon (12-16)",IF(C1740&lt;=20,"Evening (17-20)","Late (21-23)")))))</f>
        <v/>
      </c>
    </row>
    <row r="1741" customFormat="false" ht="15" hidden="false" customHeight="false" outlineLevel="0" collapsed="false">
      <c r="L1741" s="37" t="str">
        <f aca="false">IF(C1741="","",IF(C1741&lt;=5,"Night (00-05)",IF(C1741&lt;=11,"Morning (06-11)",IF(C1741&lt;=16,"Afternoon (12-16)",IF(C1741&lt;=20,"Evening (17-20)","Late (21-23)")))))</f>
        <v/>
      </c>
    </row>
    <row r="1742" customFormat="false" ht="15" hidden="false" customHeight="false" outlineLevel="0" collapsed="false">
      <c r="L1742" s="37" t="str">
        <f aca="false">IF(C1742="","",IF(C1742&lt;=5,"Night (00-05)",IF(C1742&lt;=11,"Morning (06-11)",IF(C1742&lt;=16,"Afternoon (12-16)",IF(C1742&lt;=20,"Evening (17-20)","Late (21-23)")))))</f>
        <v/>
      </c>
    </row>
    <row r="1743" customFormat="false" ht="15" hidden="false" customHeight="false" outlineLevel="0" collapsed="false">
      <c r="L1743" s="37" t="str">
        <f aca="false">IF(C1743="","",IF(C1743&lt;=5,"Night (00-05)",IF(C1743&lt;=11,"Morning (06-11)",IF(C1743&lt;=16,"Afternoon (12-16)",IF(C1743&lt;=20,"Evening (17-20)","Late (21-23)")))))</f>
        <v/>
      </c>
    </row>
    <row r="1744" customFormat="false" ht="15" hidden="false" customHeight="false" outlineLevel="0" collapsed="false">
      <c r="L1744" s="37" t="str">
        <f aca="false">IF(C1744="","",IF(C1744&lt;=5,"Night (00-05)",IF(C1744&lt;=11,"Morning (06-11)",IF(C1744&lt;=16,"Afternoon (12-16)",IF(C1744&lt;=20,"Evening (17-20)","Late (21-23)")))))</f>
        <v/>
      </c>
    </row>
    <row r="1745" customFormat="false" ht="15" hidden="false" customHeight="false" outlineLevel="0" collapsed="false">
      <c r="L1745" s="37" t="str">
        <f aca="false">IF(C1745="","",IF(C1745&lt;=5,"Night (00-05)",IF(C1745&lt;=11,"Morning (06-11)",IF(C1745&lt;=16,"Afternoon (12-16)",IF(C1745&lt;=20,"Evening (17-20)","Late (21-23)")))))</f>
        <v/>
      </c>
    </row>
    <row r="1746" customFormat="false" ht="15" hidden="false" customHeight="false" outlineLevel="0" collapsed="false">
      <c r="L1746" s="37" t="str">
        <f aca="false">IF(C1746="","",IF(C1746&lt;=5,"Night (00-05)",IF(C1746&lt;=11,"Morning (06-11)",IF(C1746&lt;=16,"Afternoon (12-16)",IF(C1746&lt;=20,"Evening (17-20)","Late (21-23)")))))</f>
        <v/>
      </c>
    </row>
    <row r="1747" customFormat="false" ht="15" hidden="false" customHeight="false" outlineLevel="0" collapsed="false">
      <c r="L1747" s="37" t="str">
        <f aca="false">IF(C1747="","",IF(C1747&lt;=5,"Night (00-05)",IF(C1747&lt;=11,"Morning (06-11)",IF(C1747&lt;=16,"Afternoon (12-16)",IF(C1747&lt;=20,"Evening (17-20)","Late (21-23)")))))</f>
        <v/>
      </c>
    </row>
    <row r="1748" customFormat="false" ht="15" hidden="false" customHeight="false" outlineLevel="0" collapsed="false">
      <c r="L1748" s="37" t="str">
        <f aca="false">IF(C1748="","",IF(C1748&lt;=5,"Night (00-05)",IF(C1748&lt;=11,"Morning (06-11)",IF(C1748&lt;=16,"Afternoon (12-16)",IF(C1748&lt;=20,"Evening (17-20)","Late (21-23)")))))</f>
        <v/>
      </c>
    </row>
    <row r="1749" customFormat="false" ht="15" hidden="false" customHeight="false" outlineLevel="0" collapsed="false">
      <c r="L1749" s="37" t="str">
        <f aca="false">IF(C1749="","",IF(C1749&lt;=5,"Night (00-05)",IF(C1749&lt;=11,"Morning (06-11)",IF(C1749&lt;=16,"Afternoon (12-16)",IF(C1749&lt;=20,"Evening (17-20)","Late (21-23)")))))</f>
        <v/>
      </c>
    </row>
    <row r="1750" customFormat="false" ht="15" hidden="false" customHeight="false" outlineLevel="0" collapsed="false">
      <c r="L1750" s="37" t="str">
        <f aca="false">IF(C1750="","",IF(C1750&lt;=5,"Night (00-05)",IF(C1750&lt;=11,"Morning (06-11)",IF(C1750&lt;=16,"Afternoon (12-16)",IF(C1750&lt;=20,"Evening (17-20)","Late (21-23)")))))</f>
        <v/>
      </c>
    </row>
    <row r="1751" customFormat="false" ht="15" hidden="false" customHeight="false" outlineLevel="0" collapsed="false">
      <c r="L1751" s="37" t="str">
        <f aca="false">IF(C1751="","",IF(C1751&lt;=5,"Night (00-05)",IF(C1751&lt;=11,"Morning (06-11)",IF(C1751&lt;=16,"Afternoon (12-16)",IF(C1751&lt;=20,"Evening (17-20)","Late (21-23)")))))</f>
        <v/>
      </c>
    </row>
    <row r="1752" customFormat="false" ht="15" hidden="false" customHeight="false" outlineLevel="0" collapsed="false">
      <c r="L1752" s="37" t="str">
        <f aca="false">IF(C1752="","",IF(C1752&lt;=5,"Night (00-05)",IF(C1752&lt;=11,"Morning (06-11)",IF(C1752&lt;=16,"Afternoon (12-16)",IF(C1752&lt;=20,"Evening (17-20)","Late (21-23)")))))</f>
        <v/>
      </c>
    </row>
    <row r="1753" customFormat="false" ht="15" hidden="false" customHeight="false" outlineLevel="0" collapsed="false">
      <c r="L1753" s="37" t="str">
        <f aca="false">IF(C1753="","",IF(C1753&lt;=5,"Night (00-05)",IF(C1753&lt;=11,"Morning (06-11)",IF(C1753&lt;=16,"Afternoon (12-16)",IF(C1753&lt;=20,"Evening (17-20)","Late (21-23)")))))</f>
        <v/>
      </c>
    </row>
    <row r="1754" customFormat="false" ht="15" hidden="false" customHeight="false" outlineLevel="0" collapsed="false">
      <c r="L1754" s="37" t="str">
        <f aca="false">IF(C1754="","",IF(C1754&lt;=5,"Night (00-05)",IF(C1754&lt;=11,"Morning (06-11)",IF(C1754&lt;=16,"Afternoon (12-16)",IF(C1754&lt;=20,"Evening (17-20)","Late (21-23)")))))</f>
        <v/>
      </c>
    </row>
    <row r="1755" customFormat="false" ht="15" hidden="false" customHeight="false" outlineLevel="0" collapsed="false">
      <c r="L1755" s="37" t="str">
        <f aca="false">IF(C1755="","",IF(C1755&lt;=5,"Night (00-05)",IF(C1755&lt;=11,"Morning (06-11)",IF(C1755&lt;=16,"Afternoon (12-16)",IF(C1755&lt;=20,"Evening (17-20)","Late (21-23)")))))</f>
        <v/>
      </c>
    </row>
    <row r="1756" customFormat="false" ht="15" hidden="false" customHeight="false" outlineLevel="0" collapsed="false">
      <c r="L1756" s="37" t="str">
        <f aca="false">IF(C1756="","",IF(C1756&lt;=5,"Night (00-05)",IF(C1756&lt;=11,"Morning (06-11)",IF(C1756&lt;=16,"Afternoon (12-16)",IF(C1756&lt;=20,"Evening (17-20)","Late (21-23)")))))</f>
        <v/>
      </c>
    </row>
    <row r="1757" customFormat="false" ht="15" hidden="false" customHeight="false" outlineLevel="0" collapsed="false">
      <c r="L1757" s="37" t="str">
        <f aca="false">IF(C1757="","",IF(C1757&lt;=5,"Night (00-05)",IF(C1757&lt;=11,"Morning (06-11)",IF(C1757&lt;=16,"Afternoon (12-16)",IF(C1757&lt;=20,"Evening (17-20)","Late (21-23)")))))</f>
        <v/>
      </c>
    </row>
    <row r="1758" customFormat="false" ht="15" hidden="false" customHeight="false" outlineLevel="0" collapsed="false">
      <c r="L1758" s="37" t="str">
        <f aca="false">IF(C1758="","",IF(C1758&lt;=5,"Night (00-05)",IF(C1758&lt;=11,"Morning (06-11)",IF(C1758&lt;=16,"Afternoon (12-16)",IF(C1758&lt;=20,"Evening (17-20)","Late (21-23)")))))</f>
        <v/>
      </c>
    </row>
    <row r="1759" customFormat="false" ht="15" hidden="false" customHeight="false" outlineLevel="0" collapsed="false">
      <c r="L1759" s="37" t="str">
        <f aca="false">IF(C1759="","",IF(C1759&lt;=5,"Night (00-05)",IF(C1759&lt;=11,"Morning (06-11)",IF(C1759&lt;=16,"Afternoon (12-16)",IF(C1759&lt;=20,"Evening (17-20)","Late (21-23)")))))</f>
        <v/>
      </c>
    </row>
    <row r="1760" customFormat="false" ht="15" hidden="false" customHeight="false" outlineLevel="0" collapsed="false">
      <c r="L1760" s="37" t="str">
        <f aca="false">IF(C1760="","",IF(C1760&lt;=5,"Night (00-05)",IF(C1760&lt;=11,"Morning (06-11)",IF(C1760&lt;=16,"Afternoon (12-16)",IF(C1760&lt;=20,"Evening (17-20)","Late (21-23)")))))</f>
        <v/>
      </c>
    </row>
    <row r="1761" customFormat="false" ht="15" hidden="false" customHeight="false" outlineLevel="0" collapsed="false">
      <c r="L1761" s="37" t="str">
        <f aca="false">IF(C1761="","",IF(C1761&lt;=5,"Night (00-05)",IF(C1761&lt;=11,"Morning (06-11)",IF(C1761&lt;=16,"Afternoon (12-16)",IF(C1761&lt;=20,"Evening (17-20)","Late (21-23)")))))</f>
        <v/>
      </c>
    </row>
    <row r="1762" customFormat="false" ht="15" hidden="false" customHeight="false" outlineLevel="0" collapsed="false">
      <c r="L1762" s="37" t="str">
        <f aca="false">IF(C1762="","",IF(C1762&lt;=5,"Night (00-05)",IF(C1762&lt;=11,"Morning (06-11)",IF(C1762&lt;=16,"Afternoon (12-16)",IF(C1762&lt;=20,"Evening (17-20)","Late (21-23)")))))</f>
        <v/>
      </c>
    </row>
    <row r="1763" customFormat="false" ht="15" hidden="false" customHeight="false" outlineLevel="0" collapsed="false">
      <c r="L1763" s="37" t="str">
        <f aca="false">IF(C1763="","",IF(C1763&lt;=5,"Night (00-05)",IF(C1763&lt;=11,"Morning (06-11)",IF(C1763&lt;=16,"Afternoon (12-16)",IF(C1763&lt;=20,"Evening (17-20)","Late (21-23)")))))</f>
        <v/>
      </c>
    </row>
    <row r="1764" customFormat="false" ht="15" hidden="false" customHeight="false" outlineLevel="0" collapsed="false">
      <c r="L1764" s="37" t="str">
        <f aca="false">IF(C1764="","",IF(C1764&lt;=5,"Night (00-05)",IF(C1764&lt;=11,"Morning (06-11)",IF(C1764&lt;=16,"Afternoon (12-16)",IF(C1764&lt;=20,"Evening (17-20)","Late (21-23)")))))</f>
        <v/>
      </c>
    </row>
    <row r="1765" customFormat="false" ht="15" hidden="false" customHeight="false" outlineLevel="0" collapsed="false">
      <c r="L1765" s="37" t="str">
        <f aca="false">IF(C1765="","",IF(C1765&lt;=5,"Night (00-05)",IF(C1765&lt;=11,"Morning (06-11)",IF(C1765&lt;=16,"Afternoon (12-16)",IF(C1765&lt;=20,"Evening (17-20)","Late (21-23)")))))</f>
        <v/>
      </c>
    </row>
    <row r="1766" customFormat="false" ht="15" hidden="false" customHeight="false" outlineLevel="0" collapsed="false">
      <c r="L1766" s="37" t="str">
        <f aca="false">IF(C1766="","",IF(C1766&lt;=5,"Night (00-05)",IF(C1766&lt;=11,"Morning (06-11)",IF(C1766&lt;=16,"Afternoon (12-16)",IF(C1766&lt;=20,"Evening (17-20)","Late (21-23)")))))</f>
        <v/>
      </c>
    </row>
    <row r="1767" customFormat="false" ht="15" hidden="false" customHeight="false" outlineLevel="0" collapsed="false">
      <c r="L1767" s="37" t="str">
        <f aca="false">IF(C1767="","",IF(C1767&lt;=5,"Night (00-05)",IF(C1767&lt;=11,"Morning (06-11)",IF(C1767&lt;=16,"Afternoon (12-16)",IF(C1767&lt;=20,"Evening (17-20)","Late (21-23)")))))</f>
        <v/>
      </c>
    </row>
    <row r="1768" customFormat="false" ht="15" hidden="false" customHeight="false" outlineLevel="0" collapsed="false">
      <c r="L1768" s="37" t="str">
        <f aca="false">IF(C1768="","",IF(C1768&lt;=5,"Night (00-05)",IF(C1768&lt;=11,"Morning (06-11)",IF(C1768&lt;=16,"Afternoon (12-16)",IF(C1768&lt;=20,"Evening (17-20)","Late (21-23)")))))</f>
        <v/>
      </c>
    </row>
    <row r="1769" customFormat="false" ht="15" hidden="false" customHeight="false" outlineLevel="0" collapsed="false">
      <c r="L1769" s="37" t="str">
        <f aca="false">IF(C1769="","",IF(C1769&lt;=5,"Night (00-05)",IF(C1769&lt;=11,"Morning (06-11)",IF(C1769&lt;=16,"Afternoon (12-16)",IF(C1769&lt;=20,"Evening (17-20)","Late (21-23)")))))</f>
        <v/>
      </c>
    </row>
    <row r="1770" customFormat="false" ht="15" hidden="false" customHeight="false" outlineLevel="0" collapsed="false">
      <c r="L1770" s="37" t="str">
        <f aca="false">IF(C1770="","",IF(C1770&lt;=5,"Night (00-05)",IF(C1770&lt;=11,"Morning (06-11)",IF(C1770&lt;=16,"Afternoon (12-16)",IF(C1770&lt;=20,"Evening (17-20)","Late (21-23)")))))</f>
        <v/>
      </c>
    </row>
    <row r="1771" customFormat="false" ht="15" hidden="false" customHeight="false" outlineLevel="0" collapsed="false">
      <c r="L1771" s="37" t="str">
        <f aca="false">IF(C1771="","",IF(C1771&lt;=5,"Night (00-05)",IF(C1771&lt;=11,"Morning (06-11)",IF(C1771&lt;=16,"Afternoon (12-16)",IF(C1771&lt;=20,"Evening (17-20)","Late (21-23)")))))</f>
        <v/>
      </c>
    </row>
    <row r="1772" customFormat="false" ht="15" hidden="false" customHeight="false" outlineLevel="0" collapsed="false">
      <c r="L1772" s="37" t="str">
        <f aca="false">IF(C1772="","",IF(C1772&lt;=5,"Night (00-05)",IF(C1772&lt;=11,"Morning (06-11)",IF(C1772&lt;=16,"Afternoon (12-16)",IF(C1772&lt;=20,"Evening (17-20)","Late (21-23)")))))</f>
        <v/>
      </c>
    </row>
    <row r="1773" customFormat="false" ht="15" hidden="false" customHeight="false" outlineLevel="0" collapsed="false">
      <c r="L1773" s="37" t="str">
        <f aca="false">IF(C1773="","",IF(C1773&lt;=5,"Night (00-05)",IF(C1773&lt;=11,"Morning (06-11)",IF(C1773&lt;=16,"Afternoon (12-16)",IF(C1773&lt;=20,"Evening (17-20)","Late (21-23)")))))</f>
        <v/>
      </c>
    </row>
    <row r="1774" customFormat="false" ht="15" hidden="false" customHeight="false" outlineLevel="0" collapsed="false">
      <c r="L1774" s="37" t="str">
        <f aca="false">IF(C1774="","",IF(C1774&lt;=5,"Night (00-05)",IF(C1774&lt;=11,"Morning (06-11)",IF(C1774&lt;=16,"Afternoon (12-16)",IF(C1774&lt;=20,"Evening (17-20)","Late (21-23)")))))</f>
        <v/>
      </c>
    </row>
    <row r="1775" customFormat="false" ht="15" hidden="false" customHeight="false" outlineLevel="0" collapsed="false">
      <c r="L1775" s="37" t="str">
        <f aca="false">IF(C1775="","",IF(C1775&lt;=5,"Night (00-05)",IF(C1775&lt;=11,"Morning (06-11)",IF(C1775&lt;=16,"Afternoon (12-16)",IF(C1775&lt;=20,"Evening (17-20)","Late (21-23)")))))</f>
        <v/>
      </c>
    </row>
    <row r="1776" customFormat="false" ht="15" hidden="false" customHeight="false" outlineLevel="0" collapsed="false">
      <c r="L1776" s="37" t="str">
        <f aca="false">IF(C1776="","",IF(C1776&lt;=5,"Night (00-05)",IF(C1776&lt;=11,"Morning (06-11)",IF(C1776&lt;=16,"Afternoon (12-16)",IF(C1776&lt;=20,"Evening (17-20)","Late (21-23)")))))</f>
        <v/>
      </c>
    </row>
    <row r="1777" customFormat="false" ht="15" hidden="false" customHeight="false" outlineLevel="0" collapsed="false">
      <c r="L1777" s="37" t="str">
        <f aca="false">IF(C1777="","",IF(C1777&lt;=5,"Night (00-05)",IF(C1777&lt;=11,"Morning (06-11)",IF(C1777&lt;=16,"Afternoon (12-16)",IF(C1777&lt;=20,"Evening (17-20)","Late (21-23)")))))</f>
        <v/>
      </c>
    </row>
    <row r="1778" customFormat="false" ht="15" hidden="false" customHeight="false" outlineLevel="0" collapsed="false">
      <c r="L1778" s="37" t="str">
        <f aca="false">IF(C1778="","",IF(C1778&lt;=5,"Night (00-05)",IF(C1778&lt;=11,"Morning (06-11)",IF(C1778&lt;=16,"Afternoon (12-16)",IF(C1778&lt;=20,"Evening (17-20)","Late (21-23)")))))</f>
        <v/>
      </c>
    </row>
    <row r="1779" customFormat="false" ht="15" hidden="false" customHeight="false" outlineLevel="0" collapsed="false">
      <c r="L1779" s="37" t="str">
        <f aca="false">IF(C1779="","",IF(C1779&lt;=5,"Night (00-05)",IF(C1779&lt;=11,"Morning (06-11)",IF(C1779&lt;=16,"Afternoon (12-16)",IF(C1779&lt;=20,"Evening (17-20)","Late (21-23)")))))</f>
        <v/>
      </c>
    </row>
    <row r="1780" customFormat="false" ht="15" hidden="false" customHeight="false" outlineLevel="0" collapsed="false">
      <c r="L1780" s="37" t="str">
        <f aca="false">IF(C1780="","",IF(C1780&lt;=5,"Night (00-05)",IF(C1780&lt;=11,"Morning (06-11)",IF(C1780&lt;=16,"Afternoon (12-16)",IF(C1780&lt;=20,"Evening (17-20)","Late (21-23)")))))</f>
        <v/>
      </c>
    </row>
    <row r="1781" customFormat="false" ht="15" hidden="false" customHeight="false" outlineLevel="0" collapsed="false">
      <c r="L1781" s="37" t="str">
        <f aca="false">IF(C1781="","",IF(C1781&lt;=5,"Night (00-05)",IF(C1781&lt;=11,"Morning (06-11)",IF(C1781&lt;=16,"Afternoon (12-16)",IF(C1781&lt;=20,"Evening (17-20)","Late (21-23)")))))</f>
        <v/>
      </c>
    </row>
    <row r="1782" customFormat="false" ht="15" hidden="false" customHeight="false" outlineLevel="0" collapsed="false">
      <c r="L1782" s="37" t="str">
        <f aca="false">IF(C1782="","",IF(C1782&lt;=5,"Night (00-05)",IF(C1782&lt;=11,"Morning (06-11)",IF(C1782&lt;=16,"Afternoon (12-16)",IF(C1782&lt;=20,"Evening (17-20)","Late (21-23)")))))</f>
        <v/>
      </c>
    </row>
    <row r="1783" customFormat="false" ht="15" hidden="false" customHeight="false" outlineLevel="0" collapsed="false">
      <c r="L1783" s="37" t="str">
        <f aca="false">IF(C1783="","",IF(C1783&lt;=5,"Night (00-05)",IF(C1783&lt;=11,"Morning (06-11)",IF(C1783&lt;=16,"Afternoon (12-16)",IF(C1783&lt;=20,"Evening (17-20)","Late (21-23)")))))</f>
        <v/>
      </c>
    </row>
    <row r="1784" customFormat="false" ht="15" hidden="false" customHeight="false" outlineLevel="0" collapsed="false">
      <c r="L1784" s="37" t="str">
        <f aca="false">IF(C1784="","",IF(C1784&lt;=5,"Night (00-05)",IF(C1784&lt;=11,"Morning (06-11)",IF(C1784&lt;=16,"Afternoon (12-16)",IF(C1784&lt;=20,"Evening (17-20)","Late (21-23)")))))</f>
        <v/>
      </c>
    </row>
    <row r="1785" customFormat="false" ht="15" hidden="false" customHeight="false" outlineLevel="0" collapsed="false">
      <c r="L1785" s="37" t="str">
        <f aca="false">IF(C1785="","",IF(C1785&lt;=5,"Night (00-05)",IF(C1785&lt;=11,"Morning (06-11)",IF(C1785&lt;=16,"Afternoon (12-16)",IF(C1785&lt;=20,"Evening (17-20)","Late (21-23)")))))</f>
        <v/>
      </c>
    </row>
    <row r="1786" customFormat="false" ht="15" hidden="false" customHeight="false" outlineLevel="0" collapsed="false">
      <c r="L1786" s="37" t="str">
        <f aca="false">IF(C1786="","",IF(C1786&lt;=5,"Night (00-05)",IF(C1786&lt;=11,"Morning (06-11)",IF(C1786&lt;=16,"Afternoon (12-16)",IF(C1786&lt;=20,"Evening (17-20)","Late (21-23)")))))</f>
        <v/>
      </c>
    </row>
    <row r="1787" customFormat="false" ht="15" hidden="false" customHeight="false" outlineLevel="0" collapsed="false">
      <c r="L1787" s="37" t="str">
        <f aca="false">IF(C1787="","",IF(C1787&lt;=5,"Night (00-05)",IF(C1787&lt;=11,"Morning (06-11)",IF(C1787&lt;=16,"Afternoon (12-16)",IF(C1787&lt;=20,"Evening (17-20)","Late (21-23)")))))</f>
        <v/>
      </c>
    </row>
    <row r="1788" customFormat="false" ht="15" hidden="false" customHeight="false" outlineLevel="0" collapsed="false">
      <c r="L1788" s="37" t="str">
        <f aca="false">IF(C1788="","",IF(C1788&lt;=5,"Night (00-05)",IF(C1788&lt;=11,"Morning (06-11)",IF(C1788&lt;=16,"Afternoon (12-16)",IF(C1788&lt;=20,"Evening (17-20)","Late (21-23)")))))</f>
        <v/>
      </c>
    </row>
    <row r="1789" customFormat="false" ht="15" hidden="false" customHeight="false" outlineLevel="0" collapsed="false">
      <c r="L1789" s="37" t="str">
        <f aca="false">IF(C1789="","",IF(C1789&lt;=5,"Night (00-05)",IF(C1789&lt;=11,"Morning (06-11)",IF(C1789&lt;=16,"Afternoon (12-16)",IF(C1789&lt;=20,"Evening (17-20)","Late (21-23)")))))</f>
        <v/>
      </c>
    </row>
    <row r="1790" customFormat="false" ht="15" hidden="false" customHeight="false" outlineLevel="0" collapsed="false">
      <c r="L1790" s="37" t="str">
        <f aca="false">IF(C1790="","",IF(C1790&lt;=5,"Night (00-05)",IF(C1790&lt;=11,"Morning (06-11)",IF(C1790&lt;=16,"Afternoon (12-16)",IF(C1790&lt;=20,"Evening (17-20)","Late (21-23)")))))</f>
        <v/>
      </c>
    </row>
    <row r="1791" customFormat="false" ht="15" hidden="false" customHeight="false" outlineLevel="0" collapsed="false">
      <c r="L1791" s="37" t="str">
        <f aca="false">IF(C1791="","",IF(C1791&lt;=5,"Night (00-05)",IF(C1791&lt;=11,"Morning (06-11)",IF(C1791&lt;=16,"Afternoon (12-16)",IF(C1791&lt;=20,"Evening (17-20)","Late (21-23)")))))</f>
        <v/>
      </c>
    </row>
    <row r="1792" customFormat="false" ht="15" hidden="false" customHeight="false" outlineLevel="0" collapsed="false">
      <c r="L1792" s="37" t="str">
        <f aca="false">IF(C1792="","",IF(C1792&lt;=5,"Night (00-05)",IF(C1792&lt;=11,"Morning (06-11)",IF(C1792&lt;=16,"Afternoon (12-16)",IF(C1792&lt;=20,"Evening (17-20)","Late (21-23)")))))</f>
        <v/>
      </c>
    </row>
    <row r="1793" customFormat="false" ht="15" hidden="false" customHeight="false" outlineLevel="0" collapsed="false">
      <c r="L1793" s="37" t="str">
        <f aca="false">IF(C1793="","",IF(C1793&lt;=5,"Night (00-05)",IF(C1793&lt;=11,"Morning (06-11)",IF(C1793&lt;=16,"Afternoon (12-16)",IF(C1793&lt;=20,"Evening (17-20)","Late (21-23)")))))</f>
        <v/>
      </c>
    </row>
    <row r="1794" customFormat="false" ht="15" hidden="false" customHeight="false" outlineLevel="0" collapsed="false">
      <c r="L1794" s="37" t="str">
        <f aca="false">IF(C1794="","",IF(C1794&lt;=5,"Night (00-05)",IF(C1794&lt;=11,"Morning (06-11)",IF(C1794&lt;=16,"Afternoon (12-16)",IF(C1794&lt;=20,"Evening (17-20)","Late (21-23)")))))</f>
        <v/>
      </c>
    </row>
    <row r="1795" customFormat="false" ht="15" hidden="false" customHeight="false" outlineLevel="0" collapsed="false">
      <c r="L1795" s="37" t="str">
        <f aca="false">IF(C1795="","",IF(C1795&lt;=5,"Night (00-05)",IF(C1795&lt;=11,"Morning (06-11)",IF(C1795&lt;=16,"Afternoon (12-16)",IF(C1795&lt;=20,"Evening (17-20)","Late (21-23)")))))</f>
        <v/>
      </c>
    </row>
    <row r="1796" customFormat="false" ht="15" hidden="false" customHeight="false" outlineLevel="0" collapsed="false">
      <c r="L1796" s="37" t="str">
        <f aca="false">IF(C1796="","",IF(C1796&lt;=5,"Night (00-05)",IF(C1796&lt;=11,"Morning (06-11)",IF(C1796&lt;=16,"Afternoon (12-16)",IF(C1796&lt;=20,"Evening (17-20)","Late (21-23)")))))</f>
        <v/>
      </c>
    </row>
    <row r="1797" customFormat="false" ht="15" hidden="false" customHeight="false" outlineLevel="0" collapsed="false">
      <c r="L1797" s="37" t="str">
        <f aca="false">IF(C1797="","",IF(C1797&lt;=5,"Night (00-05)",IF(C1797&lt;=11,"Morning (06-11)",IF(C1797&lt;=16,"Afternoon (12-16)",IF(C1797&lt;=20,"Evening (17-20)","Late (21-23)")))))</f>
        <v/>
      </c>
    </row>
    <row r="1798" customFormat="false" ht="15" hidden="false" customHeight="false" outlineLevel="0" collapsed="false">
      <c r="L1798" s="37" t="str">
        <f aca="false">IF(C1798="","",IF(C1798&lt;=5,"Night (00-05)",IF(C1798&lt;=11,"Morning (06-11)",IF(C1798&lt;=16,"Afternoon (12-16)",IF(C1798&lt;=20,"Evening (17-20)","Late (21-23)")))))</f>
        <v/>
      </c>
    </row>
    <row r="1799" customFormat="false" ht="15" hidden="false" customHeight="false" outlineLevel="0" collapsed="false">
      <c r="L1799" s="37" t="str">
        <f aca="false">IF(C1799="","",IF(C1799&lt;=5,"Night (00-05)",IF(C1799&lt;=11,"Morning (06-11)",IF(C1799&lt;=16,"Afternoon (12-16)",IF(C1799&lt;=20,"Evening (17-20)","Late (21-23)")))))</f>
        <v/>
      </c>
    </row>
    <row r="1800" customFormat="false" ht="15" hidden="false" customHeight="false" outlineLevel="0" collapsed="false">
      <c r="L1800" s="37" t="str">
        <f aca="false">IF(C1800="","",IF(C1800&lt;=5,"Night (00-05)",IF(C1800&lt;=11,"Morning (06-11)",IF(C1800&lt;=16,"Afternoon (12-16)",IF(C1800&lt;=20,"Evening (17-20)","Late (21-23)")))))</f>
        <v/>
      </c>
    </row>
    <row r="1801" customFormat="false" ht="15" hidden="false" customHeight="false" outlineLevel="0" collapsed="false">
      <c r="L1801" s="37" t="str">
        <f aca="false">IF(C1801="","",IF(C1801&lt;=5,"Night (00-05)",IF(C1801&lt;=11,"Morning (06-11)",IF(C1801&lt;=16,"Afternoon (12-16)",IF(C1801&lt;=20,"Evening (17-20)","Late (21-23)")))))</f>
        <v/>
      </c>
    </row>
    <row r="1802" customFormat="false" ht="15" hidden="false" customHeight="false" outlineLevel="0" collapsed="false">
      <c r="L1802" s="37" t="str">
        <f aca="false">IF(C1802="","",IF(C1802&lt;=5,"Night (00-05)",IF(C1802&lt;=11,"Morning (06-11)",IF(C1802&lt;=16,"Afternoon (12-16)",IF(C1802&lt;=20,"Evening (17-20)","Late (21-23)")))))</f>
        <v/>
      </c>
    </row>
    <row r="1803" customFormat="false" ht="15" hidden="false" customHeight="false" outlineLevel="0" collapsed="false">
      <c r="L1803" s="37" t="str">
        <f aca="false">IF(C1803="","",IF(C1803&lt;=5,"Night (00-05)",IF(C1803&lt;=11,"Morning (06-11)",IF(C1803&lt;=16,"Afternoon (12-16)",IF(C1803&lt;=20,"Evening (17-20)","Late (21-23)")))))</f>
        <v/>
      </c>
    </row>
    <row r="1804" customFormat="false" ht="15" hidden="false" customHeight="false" outlineLevel="0" collapsed="false">
      <c r="L1804" s="37" t="str">
        <f aca="false">IF(C1804="","",IF(C1804&lt;=5,"Night (00-05)",IF(C1804&lt;=11,"Morning (06-11)",IF(C1804&lt;=16,"Afternoon (12-16)",IF(C1804&lt;=20,"Evening (17-20)","Late (21-23)")))))</f>
        <v/>
      </c>
    </row>
    <row r="1805" customFormat="false" ht="15" hidden="false" customHeight="false" outlineLevel="0" collapsed="false">
      <c r="L1805" s="37" t="str">
        <f aca="false">IF(C1805="","",IF(C1805&lt;=5,"Night (00-05)",IF(C1805&lt;=11,"Morning (06-11)",IF(C1805&lt;=16,"Afternoon (12-16)",IF(C1805&lt;=20,"Evening (17-20)","Late (21-23)")))))</f>
        <v/>
      </c>
    </row>
    <row r="1806" customFormat="false" ht="15" hidden="false" customHeight="false" outlineLevel="0" collapsed="false">
      <c r="L1806" s="37" t="str">
        <f aca="false">IF(C1806="","",IF(C1806&lt;=5,"Night (00-05)",IF(C1806&lt;=11,"Morning (06-11)",IF(C1806&lt;=16,"Afternoon (12-16)",IF(C1806&lt;=20,"Evening (17-20)","Late (21-23)")))))</f>
        <v/>
      </c>
    </row>
    <row r="1807" customFormat="false" ht="15" hidden="false" customHeight="false" outlineLevel="0" collapsed="false">
      <c r="L1807" s="37" t="str">
        <f aca="false">IF(C1807="","",IF(C1807&lt;=5,"Night (00-05)",IF(C1807&lt;=11,"Morning (06-11)",IF(C1807&lt;=16,"Afternoon (12-16)",IF(C1807&lt;=20,"Evening (17-20)","Late (21-23)")))))</f>
        <v/>
      </c>
    </row>
    <row r="1808" customFormat="false" ht="15" hidden="false" customHeight="false" outlineLevel="0" collapsed="false">
      <c r="L1808" s="37" t="str">
        <f aca="false">IF(C1808="","",IF(C1808&lt;=5,"Night (00-05)",IF(C1808&lt;=11,"Morning (06-11)",IF(C1808&lt;=16,"Afternoon (12-16)",IF(C1808&lt;=20,"Evening (17-20)","Late (21-23)")))))</f>
        <v/>
      </c>
    </row>
    <row r="1809" customFormat="false" ht="15" hidden="false" customHeight="false" outlineLevel="0" collapsed="false">
      <c r="L1809" s="37" t="str">
        <f aca="false">IF(C1809="","",IF(C1809&lt;=5,"Night (00-05)",IF(C1809&lt;=11,"Morning (06-11)",IF(C1809&lt;=16,"Afternoon (12-16)",IF(C1809&lt;=20,"Evening (17-20)","Late (21-23)")))))</f>
        <v/>
      </c>
    </row>
    <row r="1810" customFormat="false" ht="15" hidden="false" customHeight="false" outlineLevel="0" collapsed="false">
      <c r="L1810" s="37" t="str">
        <f aca="false">IF(C1810="","",IF(C1810&lt;=5,"Night (00-05)",IF(C1810&lt;=11,"Morning (06-11)",IF(C1810&lt;=16,"Afternoon (12-16)",IF(C1810&lt;=20,"Evening (17-20)","Late (21-23)")))))</f>
        <v/>
      </c>
    </row>
    <row r="1811" customFormat="false" ht="15" hidden="false" customHeight="false" outlineLevel="0" collapsed="false">
      <c r="L1811" s="37" t="str">
        <f aca="false">IF(C1811="","",IF(C1811&lt;=5,"Night (00-05)",IF(C1811&lt;=11,"Morning (06-11)",IF(C1811&lt;=16,"Afternoon (12-16)",IF(C1811&lt;=20,"Evening (17-20)","Late (21-23)")))))</f>
        <v/>
      </c>
    </row>
    <row r="1812" customFormat="false" ht="15" hidden="false" customHeight="false" outlineLevel="0" collapsed="false">
      <c r="L1812" s="37" t="str">
        <f aca="false">IF(C1812="","",IF(C1812&lt;=5,"Night (00-05)",IF(C1812&lt;=11,"Morning (06-11)",IF(C1812&lt;=16,"Afternoon (12-16)",IF(C1812&lt;=20,"Evening (17-20)","Late (21-23)")))))</f>
        <v/>
      </c>
    </row>
    <row r="1813" customFormat="false" ht="15" hidden="false" customHeight="false" outlineLevel="0" collapsed="false">
      <c r="L1813" s="37" t="str">
        <f aca="false">IF(C1813="","",IF(C1813&lt;=5,"Night (00-05)",IF(C1813&lt;=11,"Morning (06-11)",IF(C1813&lt;=16,"Afternoon (12-16)",IF(C1813&lt;=20,"Evening (17-20)","Late (21-23)")))))</f>
        <v/>
      </c>
    </row>
    <row r="1814" customFormat="false" ht="15" hidden="false" customHeight="false" outlineLevel="0" collapsed="false">
      <c r="L1814" s="37" t="str">
        <f aca="false">IF(C1814="","",IF(C1814&lt;=5,"Night (00-05)",IF(C1814&lt;=11,"Morning (06-11)",IF(C1814&lt;=16,"Afternoon (12-16)",IF(C1814&lt;=20,"Evening (17-20)","Late (21-23)")))))</f>
        <v/>
      </c>
    </row>
    <row r="1815" customFormat="false" ht="15" hidden="false" customHeight="false" outlineLevel="0" collapsed="false">
      <c r="L1815" s="37" t="str">
        <f aca="false">IF(C1815="","",IF(C1815&lt;=5,"Night (00-05)",IF(C1815&lt;=11,"Morning (06-11)",IF(C1815&lt;=16,"Afternoon (12-16)",IF(C1815&lt;=20,"Evening (17-20)","Late (21-23)")))))</f>
        <v/>
      </c>
    </row>
    <row r="1816" customFormat="false" ht="15" hidden="false" customHeight="false" outlineLevel="0" collapsed="false">
      <c r="L1816" s="37" t="str">
        <f aca="false">IF(C1816="","",IF(C1816&lt;=5,"Night (00-05)",IF(C1816&lt;=11,"Morning (06-11)",IF(C1816&lt;=16,"Afternoon (12-16)",IF(C1816&lt;=20,"Evening (17-20)","Late (21-23)")))))</f>
        <v/>
      </c>
    </row>
    <row r="1817" customFormat="false" ht="15" hidden="false" customHeight="false" outlineLevel="0" collapsed="false">
      <c r="L1817" s="37" t="str">
        <f aca="false">IF(C1817="","",IF(C1817&lt;=5,"Night (00-05)",IF(C1817&lt;=11,"Morning (06-11)",IF(C1817&lt;=16,"Afternoon (12-16)",IF(C1817&lt;=20,"Evening (17-20)","Late (21-23)")))))</f>
        <v/>
      </c>
    </row>
    <row r="1818" customFormat="false" ht="15" hidden="false" customHeight="false" outlineLevel="0" collapsed="false">
      <c r="L1818" s="37" t="str">
        <f aca="false">IF(C1818="","",IF(C1818&lt;=5,"Night (00-05)",IF(C1818&lt;=11,"Morning (06-11)",IF(C1818&lt;=16,"Afternoon (12-16)",IF(C1818&lt;=20,"Evening (17-20)","Late (21-23)")))))</f>
        <v/>
      </c>
    </row>
    <row r="1819" customFormat="false" ht="15" hidden="false" customHeight="false" outlineLevel="0" collapsed="false">
      <c r="L1819" s="37" t="str">
        <f aca="false">IF(C1819="","",IF(C1819&lt;=5,"Night (00-05)",IF(C1819&lt;=11,"Morning (06-11)",IF(C1819&lt;=16,"Afternoon (12-16)",IF(C1819&lt;=20,"Evening (17-20)","Late (21-23)")))))</f>
        <v/>
      </c>
    </row>
    <row r="1820" customFormat="false" ht="15" hidden="false" customHeight="false" outlineLevel="0" collapsed="false">
      <c r="L1820" s="37" t="str">
        <f aca="false">IF(C1820="","",IF(C1820&lt;=5,"Night (00-05)",IF(C1820&lt;=11,"Morning (06-11)",IF(C1820&lt;=16,"Afternoon (12-16)",IF(C1820&lt;=20,"Evening (17-20)","Late (21-23)")))))</f>
        <v/>
      </c>
    </row>
    <row r="1821" customFormat="false" ht="15" hidden="false" customHeight="false" outlineLevel="0" collapsed="false">
      <c r="L1821" s="37" t="str">
        <f aca="false">IF(C1821="","",IF(C1821&lt;=5,"Night (00-05)",IF(C1821&lt;=11,"Morning (06-11)",IF(C1821&lt;=16,"Afternoon (12-16)",IF(C1821&lt;=20,"Evening (17-20)","Late (21-23)")))))</f>
        <v/>
      </c>
    </row>
    <row r="1822" customFormat="false" ht="15" hidden="false" customHeight="false" outlineLevel="0" collapsed="false">
      <c r="L1822" s="37" t="str">
        <f aca="false">IF(C1822="","",IF(C1822&lt;=5,"Night (00-05)",IF(C1822&lt;=11,"Morning (06-11)",IF(C1822&lt;=16,"Afternoon (12-16)",IF(C1822&lt;=20,"Evening (17-20)","Late (21-23)")))))</f>
        <v/>
      </c>
    </row>
    <row r="1823" customFormat="false" ht="15" hidden="false" customHeight="false" outlineLevel="0" collapsed="false">
      <c r="L1823" s="37" t="str">
        <f aca="false">IF(C1823="","",IF(C1823&lt;=5,"Night (00-05)",IF(C1823&lt;=11,"Morning (06-11)",IF(C1823&lt;=16,"Afternoon (12-16)",IF(C1823&lt;=20,"Evening (17-20)","Late (21-23)")))))</f>
        <v/>
      </c>
    </row>
    <row r="1824" customFormat="false" ht="15" hidden="false" customHeight="false" outlineLevel="0" collapsed="false">
      <c r="L1824" s="37" t="str">
        <f aca="false">IF(C1824="","",IF(C1824&lt;=5,"Night (00-05)",IF(C1824&lt;=11,"Morning (06-11)",IF(C1824&lt;=16,"Afternoon (12-16)",IF(C1824&lt;=20,"Evening (17-20)","Late (21-23)")))))</f>
        <v/>
      </c>
    </row>
    <row r="1825" customFormat="false" ht="15" hidden="false" customHeight="false" outlineLevel="0" collapsed="false">
      <c r="L1825" s="37" t="str">
        <f aca="false">IF(C1825="","",IF(C1825&lt;=5,"Night (00-05)",IF(C1825&lt;=11,"Morning (06-11)",IF(C1825&lt;=16,"Afternoon (12-16)",IF(C1825&lt;=20,"Evening (17-20)","Late (21-23)")))))</f>
        <v/>
      </c>
    </row>
    <row r="1826" customFormat="false" ht="15" hidden="false" customHeight="false" outlineLevel="0" collapsed="false">
      <c r="L1826" s="37" t="str">
        <f aca="false">IF(C1826="","",IF(C1826&lt;=5,"Night (00-05)",IF(C1826&lt;=11,"Morning (06-11)",IF(C1826&lt;=16,"Afternoon (12-16)",IF(C1826&lt;=20,"Evening (17-20)","Late (21-23)")))))</f>
        <v/>
      </c>
    </row>
    <row r="1827" customFormat="false" ht="15" hidden="false" customHeight="false" outlineLevel="0" collapsed="false">
      <c r="L1827" s="37" t="str">
        <f aca="false">IF(C1827="","",IF(C1827&lt;=5,"Night (00-05)",IF(C1827&lt;=11,"Morning (06-11)",IF(C1827&lt;=16,"Afternoon (12-16)",IF(C1827&lt;=20,"Evening (17-20)","Late (21-23)")))))</f>
        <v/>
      </c>
    </row>
    <row r="1828" customFormat="false" ht="15" hidden="false" customHeight="false" outlineLevel="0" collapsed="false">
      <c r="L1828" s="37" t="str">
        <f aca="false">IF(C1828="","",IF(C1828&lt;=5,"Night (00-05)",IF(C1828&lt;=11,"Morning (06-11)",IF(C1828&lt;=16,"Afternoon (12-16)",IF(C1828&lt;=20,"Evening (17-20)","Late (21-23)")))))</f>
        <v/>
      </c>
    </row>
    <row r="1829" customFormat="false" ht="15" hidden="false" customHeight="false" outlineLevel="0" collapsed="false">
      <c r="L1829" s="37" t="str">
        <f aca="false">IF(C1829="","",IF(C1829&lt;=5,"Night (00-05)",IF(C1829&lt;=11,"Morning (06-11)",IF(C1829&lt;=16,"Afternoon (12-16)",IF(C1829&lt;=20,"Evening (17-20)","Late (21-23)")))))</f>
        <v/>
      </c>
    </row>
    <row r="1830" customFormat="false" ht="15" hidden="false" customHeight="false" outlineLevel="0" collapsed="false">
      <c r="L1830" s="37" t="str">
        <f aca="false">IF(C1830="","",IF(C1830&lt;=5,"Night (00-05)",IF(C1830&lt;=11,"Morning (06-11)",IF(C1830&lt;=16,"Afternoon (12-16)",IF(C1830&lt;=20,"Evening (17-20)","Late (21-23)")))))</f>
        <v/>
      </c>
    </row>
    <row r="1831" customFormat="false" ht="15" hidden="false" customHeight="false" outlineLevel="0" collapsed="false">
      <c r="L1831" s="37" t="str">
        <f aca="false">IF(C1831="","",IF(C1831&lt;=5,"Night (00-05)",IF(C1831&lt;=11,"Morning (06-11)",IF(C1831&lt;=16,"Afternoon (12-16)",IF(C1831&lt;=20,"Evening (17-20)","Late (21-23)")))))</f>
        <v/>
      </c>
    </row>
    <row r="1832" customFormat="false" ht="15" hidden="false" customHeight="false" outlineLevel="0" collapsed="false">
      <c r="L1832" s="37" t="str">
        <f aca="false">IF(C1832="","",IF(C1832&lt;=5,"Night (00-05)",IF(C1832&lt;=11,"Morning (06-11)",IF(C1832&lt;=16,"Afternoon (12-16)",IF(C1832&lt;=20,"Evening (17-20)","Late (21-23)")))))</f>
        <v/>
      </c>
    </row>
    <row r="1833" customFormat="false" ht="15" hidden="false" customHeight="false" outlineLevel="0" collapsed="false">
      <c r="L1833" s="37" t="str">
        <f aca="false">IF(C1833="","",IF(C1833&lt;=5,"Night (00-05)",IF(C1833&lt;=11,"Morning (06-11)",IF(C1833&lt;=16,"Afternoon (12-16)",IF(C1833&lt;=20,"Evening (17-20)","Late (21-23)")))))</f>
        <v/>
      </c>
    </row>
    <row r="1834" customFormat="false" ht="15" hidden="false" customHeight="false" outlineLevel="0" collapsed="false">
      <c r="L1834" s="37" t="str">
        <f aca="false">IF(C1834="","",IF(C1834&lt;=5,"Night (00-05)",IF(C1834&lt;=11,"Morning (06-11)",IF(C1834&lt;=16,"Afternoon (12-16)",IF(C1834&lt;=20,"Evening (17-20)","Late (21-23)")))))</f>
        <v/>
      </c>
    </row>
    <row r="1835" customFormat="false" ht="15" hidden="false" customHeight="false" outlineLevel="0" collapsed="false">
      <c r="L1835" s="37" t="str">
        <f aca="false">IF(C1835="","",IF(C1835&lt;=5,"Night (00-05)",IF(C1835&lt;=11,"Morning (06-11)",IF(C1835&lt;=16,"Afternoon (12-16)",IF(C1835&lt;=20,"Evening (17-20)","Late (21-23)")))))</f>
        <v/>
      </c>
    </row>
    <row r="1836" customFormat="false" ht="15" hidden="false" customHeight="false" outlineLevel="0" collapsed="false">
      <c r="L1836" s="37" t="str">
        <f aca="false">IF(C1836="","",IF(C1836&lt;=5,"Night (00-05)",IF(C1836&lt;=11,"Morning (06-11)",IF(C1836&lt;=16,"Afternoon (12-16)",IF(C1836&lt;=20,"Evening (17-20)","Late (21-23)")))))</f>
        <v/>
      </c>
    </row>
    <row r="1837" customFormat="false" ht="15" hidden="false" customHeight="false" outlineLevel="0" collapsed="false">
      <c r="L1837" s="37" t="str">
        <f aca="false">IF(C1837="","",IF(C1837&lt;=5,"Night (00-05)",IF(C1837&lt;=11,"Morning (06-11)",IF(C1837&lt;=16,"Afternoon (12-16)",IF(C1837&lt;=20,"Evening (17-20)","Late (21-23)")))))</f>
        <v/>
      </c>
    </row>
    <row r="1838" customFormat="false" ht="15" hidden="false" customHeight="false" outlineLevel="0" collapsed="false">
      <c r="L1838" s="37" t="str">
        <f aca="false">IF(C1838="","",IF(C1838&lt;=5,"Night (00-05)",IF(C1838&lt;=11,"Morning (06-11)",IF(C1838&lt;=16,"Afternoon (12-16)",IF(C1838&lt;=20,"Evening (17-20)","Late (21-23)")))))</f>
        <v/>
      </c>
    </row>
    <row r="1839" customFormat="false" ht="15" hidden="false" customHeight="false" outlineLevel="0" collapsed="false">
      <c r="L1839" s="37" t="str">
        <f aca="false">IF(C1839="","",IF(C1839&lt;=5,"Night (00-05)",IF(C1839&lt;=11,"Morning (06-11)",IF(C1839&lt;=16,"Afternoon (12-16)",IF(C1839&lt;=20,"Evening (17-20)","Late (21-23)")))))</f>
        <v/>
      </c>
    </row>
    <row r="1840" customFormat="false" ht="15" hidden="false" customHeight="false" outlineLevel="0" collapsed="false">
      <c r="L1840" s="37" t="str">
        <f aca="false">IF(C1840="","",IF(C1840&lt;=5,"Night (00-05)",IF(C1840&lt;=11,"Morning (06-11)",IF(C1840&lt;=16,"Afternoon (12-16)",IF(C1840&lt;=20,"Evening (17-20)","Late (21-23)")))))</f>
        <v/>
      </c>
    </row>
    <row r="1841" customFormat="false" ht="15" hidden="false" customHeight="false" outlineLevel="0" collapsed="false">
      <c r="L1841" s="37" t="str">
        <f aca="false">IF(C1841="","",IF(C1841&lt;=5,"Night (00-05)",IF(C1841&lt;=11,"Morning (06-11)",IF(C1841&lt;=16,"Afternoon (12-16)",IF(C1841&lt;=20,"Evening (17-20)","Late (21-23)")))))</f>
        <v/>
      </c>
    </row>
    <row r="1842" customFormat="false" ht="15" hidden="false" customHeight="false" outlineLevel="0" collapsed="false">
      <c r="L1842" s="37" t="str">
        <f aca="false">IF(C1842="","",IF(C1842&lt;=5,"Night (00-05)",IF(C1842&lt;=11,"Morning (06-11)",IF(C1842&lt;=16,"Afternoon (12-16)",IF(C1842&lt;=20,"Evening (17-20)","Late (21-23)")))))</f>
        <v/>
      </c>
    </row>
    <row r="1843" customFormat="false" ht="15" hidden="false" customHeight="false" outlineLevel="0" collapsed="false">
      <c r="L1843" s="37" t="str">
        <f aca="false">IF(C1843="","",IF(C1843&lt;=5,"Night (00-05)",IF(C1843&lt;=11,"Morning (06-11)",IF(C1843&lt;=16,"Afternoon (12-16)",IF(C1843&lt;=20,"Evening (17-20)","Late (21-23)")))))</f>
        <v/>
      </c>
    </row>
    <row r="1844" customFormat="false" ht="15" hidden="false" customHeight="false" outlineLevel="0" collapsed="false">
      <c r="L1844" s="37" t="str">
        <f aca="false">IF(C1844="","",IF(C1844&lt;=5,"Night (00-05)",IF(C1844&lt;=11,"Morning (06-11)",IF(C1844&lt;=16,"Afternoon (12-16)",IF(C1844&lt;=20,"Evening (17-20)","Late (21-23)")))))</f>
        <v/>
      </c>
    </row>
    <row r="1845" customFormat="false" ht="15" hidden="false" customHeight="false" outlineLevel="0" collapsed="false">
      <c r="L1845" s="37" t="str">
        <f aca="false">IF(C1845="","",IF(C1845&lt;=5,"Night (00-05)",IF(C1845&lt;=11,"Morning (06-11)",IF(C1845&lt;=16,"Afternoon (12-16)",IF(C1845&lt;=20,"Evening (17-20)","Late (21-23)")))))</f>
        <v/>
      </c>
    </row>
    <row r="1846" customFormat="false" ht="15" hidden="false" customHeight="false" outlineLevel="0" collapsed="false">
      <c r="L1846" s="37" t="str">
        <f aca="false">IF(C1846="","",IF(C1846&lt;=5,"Night (00-05)",IF(C1846&lt;=11,"Morning (06-11)",IF(C1846&lt;=16,"Afternoon (12-16)",IF(C1846&lt;=20,"Evening (17-20)","Late (21-23)")))))</f>
        <v/>
      </c>
    </row>
    <row r="1847" customFormat="false" ht="15" hidden="false" customHeight="false" outlineLevel="0" collapsed="false">
      <c r="L1847" s="37" t="str">
        <f aca="false">IF(C1847="","",IF(C1847&lt;=5,"Night (00-05)",IF(C1847&lt;=11,"Morning (06-11)",IF(C1847&lt;=16,"Afternoon (12-16)",IF(C1847&lt;=20,"Evening (17-20)","Late (21-23)")))))</f>
        <v/>
      </c>
    </row>
    <row r="1848" customFormat="false" ht="15" hidden="false" customHeight="false" outlineLevel="0" collapsed="false">
      <c r="L1848" s="37" t="str">
        <f aca="false">IF(C1848="","",IF(C1848&lt;=5,"Night (00-05)",IF(C1848&lt;=11,"Morning (06-11)",IF(C1848&lt;=16,"Afternoon (12-16)",IF(C1848&lt;=20,"Evening (17-20)","Late (21-23)")))))</f>
        <v/>
      </c>
    </row>
    <row r="1849" customFormat="false" ht="15" hidden="false" customHeight="false" outlineLevel="0" collapsed="false">
      <c r="L1849" s="37" t="str">
        <f aca="false">IF(C1849="","",IF(C1849&lt;=5,"Night (00-05)",IF(C1849&lt;=11,"Morning (06-11)",IF(C1849&lt;=16,"Afternoon (12-16)",IF(C1849&lt;=20,"Evening (17-20)","Late (21-23)")))))</f>
        <v/>
      </c>
    </row>
    <row r="1850" customFormat="false" ht="15" hidden="false" customHeight="false" outlineLevel="0" collapsed="false">
      <c r="L1850" s="37" t="str">
        <f aca="false">IF(C1850="","",IF(C1850&lt;=5,"Night (00-05)",IF(C1850&lt;=11,"Morning (06-11)",IF(C1850&lt;=16,"Afternoon (12-16)",IF(C1850&lt;=20,"Evening (17-20)","Late (21-23)")))))</f>
        <v/>
      </c>
    </row>
    <row r="1851" customFormat="false" ht="15" hidden="false" customHeight="false" outlineLevel="0" collapsed="false">
      <c r="L1851" s="37" t="str">
        <f aca="false">IF(C1851="","",IF(C1851&lt;=5,"Night (00-05)",IF(C1851&lt;=11,"Morning (06-11)",IF(C1851&lt;=16,"Afternoon (12-16)",IF(C1851&lt;=20,"Evening (17-20)","Late (21-23)")))))</f>
        <v/>
      </c>
    </row>
    <row r="1852" customFormat="false" ht="15" hidden="false" customHeight="false" outlineLevel="0" collapsed="false">
      <c r="L1852" s="37" t="str">
        <f aca="false">IF(C1852="","",IF(C1852&lt;=5,"Night (00-05)",IF(C1852&lt;=11,"Morning (06-11)",IF(C1852&lt;=16,"Afternoon (12-16)",IF(C1852&lt;=20,"Evening (17-20)","Late (21-23)")))))</f>
        <v/>
      </c>
    </row>
    <row r="1853" customFormat="false" ht="15" hidden="false" customHeight="false" outlineLevel="0" collapsed="false">
      <c r="L1853" s="37" t="str">
        <f aca="false">IF(C1853="","",IF(C1853&lt;=5,"Night (00-05)",IF(C1853&lt;=11,"Morning (06-11)",IF(C1853&lt;=16,"Afternoon (12-16)",IF(C1853&lt;=20,"Evening (17-20)","Late (21-23)")))))</f>
        <v/>
      </c>
    </row>
    <row r="1854" customFormat="false" ht="15" hidden="false" customHeight="false" outlineLevel="0" collapsed="false">
      <c r="L1854" s="37" t="str">
        <f aca="false">IF(C1854="","",IF(C1854&lt;=5,"Night (00-05)",IF(C1854&lt;=11,"Morning (06-11)",IF(C1854&lt;=16,"Afternoon (12-16)",IF(C1854&lt;=20,"Evening (17-20)","Late (21-23)")))))</f>
        <v/>
      </c>
    </row>
    <row r="1855" customFormat="false" ht="15" hidden="false" customHeight="false" outlineLevel="0" collapsed="false">
      <c r="L1855" s="37" t="str">
        <f aca="false">IF(C1855="","",IF(C1855&lt;=5,"Night (00-05)",IF(C1855&lt;=11,"Morning (06-11)",IF(C1855&lt;=16,"Afternoon (12-16)",IF(C1855&lt;=20,"Evening (17-20)","Late (21-23)")))))</f>
        <v/>
      </c>
    </row>
    <row r="1856" customFormat="false" ht="15" hidden="false" customHeight="false" outlineLevel="0" collapsed="false">
      <c r="L1856" s="37" t="str">
        <f aca="false">IF(C1856="","",IF(C1856&lt;=5,"Night (00-05)",IF(C1856&lt;=11,"Morning (06-11)",IF(C1856&lt;=16,"Afternoon (12-16)",IF(C1856&lt;=20,"Evening (17-20)","Late (21-23)")))))</f>
        <v/>
      </c>
    </row>
    <row r="1857" customFormat="false" ht="15" hidden="false" customHeight="false" outlineLevel="0" collapsed="false">
      <c r="L1857" s="37" t="str">
        <f aca="false">IF(C1857="","",IF(C1857&lt;=5,"Night (00-05)",IF(C1857&lt;=11,"Morning (06-11)",IF(C1857&lt;=16,"Afternoon (12-16)",IF(C1857&lt;=20,"Evening (17-20)","Late (21-23)")))))</f>
        <v/>
      </c>
    </row>
    <row r="1858" customFormat="false" ht="15" hidden="false" customHeight="false" outlineLevel="0" collapsed="false">
      <c r="L1858" s="37" t="str">
        <f aca="false">IF(C1858="","",IF(C1858&lt;=5,"Night (00-05)",IF(C1858&lt;=11,"Morning (06-11)",IF(C1858&lt;=16,"Afternoon (12-16)",IF(C1858&lt;=20,"Evening (17-20)","Late (21-23)")))))</f>
        <v/>
      </c>
    </row>
    <row r="1859" customFormat="false" ht="15" hidden="false" customHeight="false" outlineLevel="0" collapsed="false">
      <c r="L1859" s="37" t="str">
        <f aca="false">IF(C1859="","",IF(C1859&lt;=5,"Night (00-05)",IF(C1859&lt;=11,"Morning (06-11)",IF(C1859&lt;=16,"Afternoon (12-16)",IF(C1859&lt;=20,"Evening (17-20)","Late (21-23)")))))</f>
        <v/>
      </c>
    </row>
    <row r="1860" customFormat="false" ht="15" hidden="false" customHeight="false" outlineLevel="0" collapsed="false">
      <c r="L1860" s="37" t="str">
        <f aca="false">IF(C1860="","",IF(C1860&lt;=5,"Night (00-05)",IF(C1860&lt;=11,"Morning (06-11)",IF(C1860&lt;=16,"Afternoon (12-16)",IF(C1860&lt;=20,"Evening (17-20)","Late (21-23)")))))</f>
        <v/>
      </c>
    </row>
    <row r="1861" customFormat="false" ht="15" hidden="false" customHeight="false" outlineLevel="0" collapsed="false">
      <c r="L1861" s="37" t="str">
        <f aca="false">IF(C1861="","",IF(C1861&lt;=5,"Night (00-05)",IF(C1861&lt;=11,"Morning (06-11)",IF(C1861&lt;=16,"Afternoon (12-16)",IF(C1861&lt;=20,"Evening (17-20)","Late (21-23)")))))</f>
        <v/>
      </c>
    </row>
    <row r="1862" customFormat="false" ht="15" hidden="false" customHeight="false" outlineLevel="0" collapsed="false">
      <c r="L1862" s="37" t="str">
        <f aca="false">IF(C1862="","",IF(C1862&lt;=5,"Night (00-05)",IF(C1862&lt;=11,"Morning (06-11)",IF(C1862&lt;=16,"Afternoon (12-16)",IF(C1862&lt;=20,"Evening (17-20)","Late (21-23)")))))</f>
        <v/>
      </c>
    </row>
    <row r="1863" customFormat="false" ht="15" hidden="false" customHeight="false" outlineLevel="0" collapsed="false">
      <c r="L1863" s="37" t="str">
        <f aca="false">IF(C1863="","",IF(C1863&lt;=5,"Night (00-05)",IF(C1863&lt;=11,"Morning (06-11)",IF(C1863&lt;=16,"Afternoon (12-16)",IF(C1863&lt;=20,"Evening (17-20)","Late (21-23)")))))</f>
        <v/>
      </c>
    </row>
    <row r="1864" customFormat="false" ht="15" hidden="false" customHeight="false" outlineLevel="0" collapsed="false">
      <c r="L1864" s="37" t="str">
        <f aca="false">IF(C1864="","",IF(C1864&lt;=5,"Night (00-05)",IF(C1864&lt;=11,"Morning (06-11)",IF(C1864&lt;=16,"Afternoon (12-16)",IF(C1864&lt;=20,"Evening (17-20)","Late (21-23)")))))</f>
        <v/>
      </c>
    </row>
    <row r="1865" customFormat="false" ht="15" hidden="false" customHeight="false" outlineLevel="0" collapsed="false">
      <c r="L1865" s="37" t="str">
        <f aca="false">IF(C1865="","",IF(C1865&lt;=5,"Night (00-05)",IF(C1865&lt;=11,"Morning (06-11)",IF(C1865&lt;=16,"Afternoon (12-16)",IF(C1865&lt;=20,"Evening (17-20)","Late (21-23)")))))</f>
        <v/>
      </c>
    </row>
    <row r="1866" customFormat="false" ht="15" hidden="false" customHeight="false" outlineLevel="0" collapsed="false">
      <c r="L1866" s="37" t="str">
        <f aca="false">IF(C1866="","",IF(C1866&lt;=5,"Night (00-05)",IF(C1866&lt;=11,"Morning (06-11)",IF(C1866&lt;=16,"Afternoon (12-16)",IF(C1866&lt;=20,"Evening (17-20)","Late (21-23)")))))</f>
        <v/>
      </c>
    </row>
    <row r="1867" customFormat="false" ht="15" hidden="false" customHeight="false" outlineLevel="0" collapsed="false">
      <c r="L1867" s="37" t="str">
        <f aca="false">IF(C1867="","",IF(C1867&lt;=5,"Night (00-05)",IF(C1867&lt;=11,"Morning (06-11)",IF(C1867&lt;=16,"Afternoon (12-16)",IF(C1867&lt;=20,"Evening (17-20)","Late (21-23)")))))</f>
        <v/>
      </c>
    </row>
    <row r="1868" customFormat="false" ht="15" hidden="false" customHeight="false" outlineLevel="0" collapsed="false">
      <c r="L1868" s="37" t="str">
        <f aca="false">IF(C1868="","",IF(C1868&lt;=5,"Night (00-05)",IF(C1868&lt;=11,"Morning (06-11)",IF(C1868&lt;=16,"Afternoon (12-16)",IF(C1868&lt;=20,"Evening (17-20)","Late (21-23)")))))</f>
        <v/>
      </c>
    </row>
    <row r="1869" customFormat="false" ht="15" hidden="false" customHeight="false" outlineLevel="0" collapsed="false">
      <c r="L1869" s="37" t="str">
        <f aca="false">IF(C1869="","",IF(C1869&lt;=5,"Night (00-05)",IF(C1869&lt;=11,"Morning (06-11)",IF(C1869&lt;=16,"Afternoon (12-16)",IF(C1869&lt;=20,"Evening (17-20)","Late (21-23)")))))</f>
        <v/>
      </c>
    </row>
    <row r="1870" customFormat="false" ht="15" hidden="false" customHeight="false" outlineLevel="0" collapsed="false">
      <c r="L1870" s="37" t="str">
        <f aca="false">IF(C1870="","",IF(C1870&lt;=5,"Night (00-05)",IF(C1870&lt;=11,"Morning (06-11)",IF(C1870&lt;=16,"Afternoon (12-16)",IF(C1870&lt;=20,"Evening (17-20)","Late (21-23)")))))</f>
        <v/>
      </c>
    </row>
    <row r="1871" customFormat="false" ht="15" hidden="false" customHeight="false" outlineLevel="0" collapsed="false">
      <c r="L1871" s="37" t="str">
        <f aca="false">IF(C1871="","",IF(C1871&lt;=5,"Night (00-05)",IF(C1871&lt;=11,"Morning (06-11)",IF(C1871&lt;=16,"Afternoon (12-16)",IF(C1871&lt;=20,"Evening (17-20)","Late (21-23)")))))</f>
        <v/>
      </c>
    </row>
    <row r="1872" customFormat="false" ht="15" hidden="false" customHeight="false" outlineLevel="0" collapsed="false">
      <c r="L1872" s="37" t="str">
        <f aca="false">IF(C1872="","",IF(C1872&lt;=5,"Night (00-05)",IF(C1872&lt;=11,"Morning (06-11)",IF(C1872&lt;=16,"Afternoon (12-16)",IF(C1872&lt;=20,"Evening (17-20)","Late (21-23)")))))</f>
        <v/>
      </c>
    </row>
    <row r="1873" customFormat="false" ht="15" hidden="false" customHeight="false" outlineLevel="0" collapsed="false">
      <c r="L1873" s="37" t="str">
        <f aca="false">IF(C1873="","",IF(C1873&lt;=5,"Night (00-05)",IF(C1873&lt;=11,"Morning (06-11)",IF(C1873&lt;=16,"Afternoon (12-16)",IF(C1873&lt;=20,"Evening (17-20)","Late (21-23)")))))</f>
        <v/>
      </c>
    </row>
    <row r="1874" customFormat="false" ht="15" hidden="false" customHeight="false" outlineLevel="0" collapsed="false">
      <c r="L1874" s="37" t="str">
        <f aca="false">IF(C1874="","",IF(C1874&lt;=5,"Night (00-05)",IF(C1874&lt;=11,"Morning (06-11)",IF(C1874&lt;=16,"Afternoon (12-16)",IF(C1874&lt;=20,"Evening (17-20)","Late (21-23)")))))</f>
        <v/>
      </c>
    </row>
    <row r="1875" customFormat="false" ht="15" hidden="false" customHeight="false" outlineLevel="0" collapsed="false">
      <c r="L1875" s="37" t="str">
        <f aca="false">IF(C1875="","",IF(C1875&lt;=5,"Night (00-05)",IF(C1875&lt;=11,"Morning (06-11)",IF(C1875&lt;=16,"Afternoon (12-16)",IF(C1875&lt;=20,"Evening (17-20)","Late (21-23)")))))</f>
        <v/>
      </c>
    </row>
    <row r="1876" customFormat="false" ht="15" hidden="false" customHeight="false" outlineLevel="0" collapsed="false">
      <c r="L1876" s="37" t="str">
        <f aca="false">IF(C1876="","",IF(C1876&lt;=5,"Night (00-05)",IF(C1876&lt;=11,"Morning (06-11)",IF(C1876&lt;=16,"Afternoon (12-16)",IF(C1876&lt;=20,"Evening (17-20)","Late (21-23)")))))</f>
        <v/>
      </c>
    </row>
    <row r="1877" customFormat="false" ht="15" hidden="false" customHeight="false" outlineLevel="0" collapsed="false">
      <c r="L1877" s="37" t="str">
        <f aca="false">IF(C1877="","",IF(C1877&lt;=5,"Night (00-05)",IF(C1877&lt;=11,"Morning (06-11)",IF(C1877&lt;=16,"Afternoon (12-16)",IF(C1877&lt;=20,"Evening (17-20)","Late (21-23)")))))</f>
        <v/>
      </c>
    </row>
    <row r="1878" customFormat="false" ht="15" hidden="false" customHeight="false" outlineLevel="0" collapsed="false">
      <c r="L1878" s="37" t="str">
        <f aca="false">IF(C1878="","",IF(C1878&lt;=5,"Night (00-05)",IF(C1878&lt;=11,"Morning (06-11)",IF(C1878&lt;=16,"Afternoon (12-16)",IF(C1878&lt;=20,"Evening (17-20)","Late (21-23)")))))</f>
        <v/>
      </c>
    </row>
    <row r="1879" customFormat="false" ht="15" hidden="false" customHeight="false" outlineLevel="0" collapsed="false">
      <c r="L1879" s="37" t="str">
        <f aca="false">IF(C1879="","",IF(C1879&lt;=5,"Night (00-05)",IF(C1879&lt;=11,"Morning (06-11)",IF(C1879&lt;=16,"Afternoon (12-16)",IF(C1879&lt;=20,"Evening (17-20)","Late (21-23)")))))</f>
        <v/>
      </c>
    </row>
    <row r="1880" customFormat="false" ht="15" hidden="false" customHeight="false" outlineLevel="0" collapsed="false">
      <c r="L1880" s="37" t="str">
        <f aca="false">IF(C1880="","",IF(C1880&lt;=5,"Night (00-05)",IF(C1880&lt;=11,"Morning (06-11)",IF(C1880&lt;=16,"Afternoon (12-16)",IF(C1880&lt;=20,"Evening (17-20)","Late (21-23)")))))</f>
        <v/>
      </c>
    </row>
    <row r="1881" customFormat="false" ht="15" hidden="false" customHeight="false" outlineLevel="0" collapsed="false">
      <c r="L1881" s="37" t="str">
        <f aca="false">IF(C1881="","",IF(C1881&lt;=5,"Night (00-05)",IF(C1881&lt;=11,"Morning (06-11)",IF(C1881&lt;=16,"Afternoon (12-16)",IF(C1881&lt;=20,"Evening (17-20)","Late (21-23)")))))</f>
        <v/>
      </c>
    </row>
    <row r="1882" customFormat="false" ht="15" hidden="false" customHeight="false" outlineLevel="0" collapsed="false">
      <c r="L1882" s="37" t="str">
        <f aca="false">IF(C1882="","",IF(C1882&lt;=5,"Night (00-05)",IF(C1882&lt;=11,"Morning (06-11)",IF(C1882&lt;=16,"Afternoon (12-16)",IF(C1882&lt;=20,"Evening (17-20)","Late (21-23)")))))</f>
        <v/>
      </c>
    </row>
    <row r="1883" customFormat="false" ht="15" hidden="false" customHeight="false" outlineLevel="0" collapsed="false">
      <c r="L1883" s="37" t="str">
        <f aca="false">IF(C1883="","",IF(C1883&lt;=5,"Night (00-05)",IF(C1883&lt;=11,"Morning (06-11)",IF(C1883&lt;=16,"Afternoon (12-16)",IF(C1883&lt;=20,"Evening (17-20)","Late (21-23)")))))</f>
        <v/>
      </c>
    </row>
    <row r="1884" customFormat="false" ht="15" hidden="false" customHeight="false" outlineLevel="0" collapsed="false">
      <c r="L1884" s="37" t="str">
        <f aca="false">IF(C1884="","",IF(C1884&lt;=5,"Night (00-05)",IF(C1884&lt;=11,"Morning (06-11)",IF(C1884&lt;=16,"Afternoon (12-16)",IF(C1884&lt;=20,"Evening (17-20)","Late (21-23)")))))</f>
        <v/>
      </c>
    </row>
    <row r="1885" customFormat="false" ht="15" hidden="false" customHeight="false" outlineLevel="0" collapsed="false">
      <c r="L1885" s="37" t="str">
        <f aca="false">IF(C1885="","",IF(C1885&lt;=5,"Night (00-05)",IF(C1885&lt;=11,"Morning (06-11)",IF(C1885&lt;=16,"Afternoon (12-16)",IF(C1885&lt;=20,"Evening (17-20)","Late (21-23)")))))</f>
        <v/>
      </c>
    </row>
    <row r="1886" customFormat="false" ht="15" hidden="false" customHeight="false" outlineLevel="0" collapsed="false">
      <c r="L1886" s="37" t="str">
        <f aca="false">IF(C1886="","",IF(C1886&lt;=5,"Night (00-05)",IF(C1886&lt;=11,"Morning (06-11)",IF(C1886&lt;=16,"Afternoon (12-16)",IF(C1886&lt;=20,"Evening (17-20)","Late (21-23)")))))</f>
        <v/>
      </c>
    </row>
    <row r="1887" customFormat="false" ht="15" hidden="false" customHeight="false" outlineLevel="0" collapsed="false">
      <c r="L1887" s="37" t="str">
        <f aca="false">IF(C1887="","",IF(C1887&lt;=5,"Night (00-05)",IF(C1887&lt;=11,"Morning (06-11)",IF(C1887&lt;=16,"Afternoon (12-16)",IF(C1887&lt;=20,"Evening (17-20)","Late (21-23)")))))</f>
        <v/>
      </c>
    </row>
    <row r="1888" customFormat="false" ht="15" hidden="false" customHeight="false" outlineLevel="0" collapsed="false">
      <c r="L1888" s="37" t="str">
        <f aca="false">IF(C1888="","",IF(C1888&lt;=5,"Night (00-05)",IF(C1888&lt;=11,"Morning (06-11)",IF(C1888&lt;=16,"Afternoon (12-16)",IF(C1888&lt;=20,"Evening (17-20)","Late (21-23)")))))</f>
        <v/>
      </c>
    </row>
    <row r="1889" customFormat="false" ht="15" hidden="false" customHeight="false" outlineLevel="0" collapsed="false">
      <c r="L1889" s="37" t="str">
        <f aca="false">IF(C1889="","",IF(C1889&lt;=5,"Night (00-05)",IF(C1889&lt;=11,"Morning (06-11)",IF(C1889&lt;=16,"Afternoon (12-16)",IF(C1889&lt;=20,"Evening (17-20)","Late (21-23)")))))</f>
        <v/>
      </c>
    </row>
    <row r="1890" customFormat="false" ht="15" hidden="false" customHeight="false" outlineLevel="0" collapsed="false">
      <c r="L1890" s="37" t="str">
        <f aca="false">IF(C1890="","",IF(C1890&lt;=5,"Night (00-05)",IF(C1890&lt;=11,"Morning (06-11)",IF(C1890&lt;=16,"Afternoon (12-16)",IF(C1890&lt;=20,"Evening (17-20)","Late (21-23)")))))</f>
        <v/>
      </c>
    </row>
    <row r="1891" customFormat="false" ht="15" hidden="false" customHeight="false" outlineLevel="0" collapsed="false">
      <c r="L1891" s="37" t="str">
        <f aca="false">IF(C1891="","",IF(C1891&lt;=5,"Night (00-05)",IF(C1891&lt;=11,"Morning (06-11)",IF(C1891&lt;=16,"Afternoon (12-16)",IF(C1891&lt;=20,"Evening (17-20)","Late (21-23)")))))</f>
        <v/>
      </c>
    </row>
    <row r="1892" customFormat="false" ht="15" hidden="false" customHeight="false" outlineLevel="0" collapsed="false">
      <c r="L1892" s="37" t="str">
        <f aca="false">IF(C1892="","",IF(C1892&lt;=5,"Night (00-05)",IF(C1892&lt;=11,"Morning (06-11)",IF(C1892&lt;=16,"Afternoon (12-16)",IF(C1892&lt;=20,"Evening (17-20)","Late (21-23)")))))</f>
        <v/>
      </c>
    </row>
    <row r="1893" customFormat="false" ht="15" hidden="false" customHeight="false" outlineLevel="0" collapsed="false">
      <c r="L1893" s="37" t="str">
        <f aca="false">IF(C1893="","",IF(C1893&lt;=5,"Night (00-05)",IF(C1893&lt;=11,"Morning (06-11)",IF(C1893&lt;=16,"Afternoon (12-16)",IF(C1893&lt;=20,"Evening (17-20)","Late (21-23)")))))</f>
        <v/>
      </c>
    </row>
    <row r="1894" customFormat="false" ht="15" hidden="false" customHeight="false" outlineLevel="0" collapsed="false">
      <c r="L1894" s="37" t="str">
        <f aca="false">IF(C1894="","",IF(C1894&lt;=5,"Night (00-05)",IF(C1894&lt;=11,"Morning (06-11)",IF(C1894&lt;=16,"Afternoon (12-16)",IF(C1894&lt;=20,"Evening (17-20)","Late (21-23)")))))</f>
        <v/>
      </c>
    </row>
    <row r="1895" customFormat="false" ht="15" hidden="false" customHeight="false" outlineLevel="0" collapsed="false">
      <c r="L1895" s="37" t="str">
        <f aca="false">IF(C1895="","",IF(C1895&lt;=5,"Night (00-05)",IF(C1895&lt;=11,"Morning (06-11)",IF(C1895&lt;=16,"Afternoon (12-16)",IF(C1895&lt;=20,"Evening (17-20)","Late (21-23)")))))</f>
        <v/>
      </c>
    </row>
    <row r="1896" customFormat="false" ht="15" hidden="false" customHeight="false" outlineLevel="0" collapsed="false">
      <c r="L1896" s="37" t="str">
        <f aca="false">IF(C1896="","",IF(C1896&lt;=5,"Night (00-05)",IF(C1896&lt;=11,"Morning (06-11)",IF(C1896&lt;=16,"Afternoon (12-16)",IF(C1896&lt;=20,"Evening (17-20)","Late (21-23)")))))</f>
        <v/>
      </c>
    </row>
    <row r="1897" customFormat="false" ht="15" hidden="false" customHeight="false" outlineLevel="0" collapsed="false">
      <c r="L1897" s="37" t="str">
        <f aca="false">IF(C1897="","",IF(C1897&lt;=5,"Night (00-05)",IF(C1897&lt;=11,"Morning (06-11)",IF(C1897&lt;=16,"Afternoon (12-16)",IF(C1897&lt;=20,"Evening (17-20)","Late (21-23)")))))</f>
        <v/>
      </c>
    </row>
    <row r="1898" customFormat="false" ht="15" hidden="false" customHeight="false" outlineLevel="0" collapsed="false">
      <c r="L1898" s="37" t="str">
        <f aca="false">IF(C1898="","",IF(C1898&lt;=5,"Night (00-05)",IF(C1898&lt;=11,"Morning (06-11)",IF(C1898&lt;=16,"Afternoon (12-16)",IF(C1898&lt;=20,"Evening (17-20)","Late (21-23)")))))</f>
        <v/>
      </c>
    </row>
    <row r="1899" customFormat="false" ht="15" hidden="false" customHeight="false" outlineLevel="0" collapsed="false">
      <c r="L1899" s="37" t="str">
        <f aca="false">IF(C1899="","",IF(C1899&lt;=5,"Night (00-05)",IF(C1899&lt;=11,"Morning (06-11)",IF(C1899&lt;=16,"Afternoon (12-16)",IF(C1899&lt;=20,"Evening (17-20)","Late (21-23)")))))</f>
        <v/>
      </c>
    </row>
    <row r="1900" customFormat="false" ht="15" hidden="false" customHeight="false" outlineLevel="0" collapsed="false">
      <c r="L1900" s="37" t="str">
        <f aca="false">IF(C1900="","",IF(C1900&lt;=5,"Night (00-05)",IF(C1900&lt;=11,"Morning (06-11)",IF(C1900&lt;=16,"Afternoon (12-16)",IF(C1900&lt;=20,"Evening (17-20)","Late (21-23)")))))</f>
        <v/>
      </c>
    </row>
    <row r="1901" customFormat="false" ht="15" hidden="false" customHeight="false" outlineLevel="0" collapsed="false">
      <c r="L1901" s="37" t="str">
        <f aca="false">IF(C1901="","",IF(C1901&lt;=5,"Night (00-05)",IF(C1901&lt;=11,"Morning (06-11)",IF(C1901&lt;=16,"Afternoon (12-16)",IF(C1901&lt;=20,"Evening (17-20)","Late (21-23)")))))</f>
        <v/>
      </c>
    </row>
    <row r="1902" customFormat="false" ht="15" hidden="false" customHeight="false" outlineLevel="0" collapsed="false">
      <c r="L1902" s="37" t="str">
        <f aca="false">IF(C1902="","",IF(C1902&lt;=5,"Night (00-05)",IF(C1902&lt;=11,"Morning (06-11)",IF(C1902&lt;=16,"Afternoon (12-16)",IF(C1902&lt;=20,"Evening (17-20)","Late (21-23)")))))</f>
        <v/>
      </c>
    </row>
    <row r="1903" customFormat="false" ht="15" hidden="false" customHeight="false" outlineLevel="0" collapsed="false">
      <c r="L1903" s="37" t="str">
        <f aca="false">IF(C1903="","",IF(C1903&lt;=5,"Night (00-05)",IF(C1903&lt;=11,"Morning (06-11)",IF(C1903&lt;=16,"Afternoon (12-16)",IF(C1903&lt;=20,"Evening (17-20)","Late (21-23)")))))</f>
        <v/>
      </c>
    </row>
    <row r="1904" customFormat="false" ht="15" hidden="false" customHeight="false" outlineLevel="0" collapsed="false">
      <c r="L1904" s="37" t="str">
        <f aca="false">IF(C1904="","",IF(C1904&lt;=5,"Night (00-05)",IF(C1904&lt;=11,"Morning (06-11)",IF(C1904&lt;=16,"Afternoon (12-16)",IF(C1904&lt;=20,"Evening (17-20)","Late (21-23)")))))</f>
        <v/>
      </c>
    </row>
    <row r="1905" customFormat="false" ht="15" hidden="false" customHeight="false" outlineLevel="0" collapsed="false">
      <c r="L1905" s="37" t="str">
        <f aca="false">IF(C1905="","",IF(C1905&lt;=5,"Night (00-05)",IF(C1905&lt;=11,"Morning (06-11)",IF(C1905&lt;=16,"Afternoon (12-16)",IF(C1905&lt;=20,"Evening (17-20)","Late (21-23)")))))</f>
        <v/>
      </c>
    </row>
    <row r="1906" customFormat="false" ht="15" hidden="false" customHeight="false" outlineLevel="0" collapsed="false">
      <c r="L1906" s="37" t="str">
        <f aca="false">IF(C1906="","",IF(C1906&lt;=5,"Night (00-05)",IF(C1906&lt;=11,"Morning (06-11)",IF(C1906&lt;=16,"Afternoon (12-16)",IF(C1906&lt;=20,"Evening (17-20)","Late (21-23)")))))</f>
        <v/>
      </c>
    </row>
    <row r="1907" customFormat="false" ht="15" hidden="false" customHeight="false" outlineLevel="0" collapsed="false">
      <c r="L1907" s="37" t="str">
        <f aca="false">IF(C1907="","",IF(C1907&lt;=5,"Night (00-05)",IF(C1907&lt;=11,"Morning (06-11)",IF(C1907&lt;=16,"Afternoon (12-16)",IF(C1907&lt;=20,"Evening (17-20)","Late (21-23)")))))</f>
        <v/>
      </c>
    </row>
    <row r="1908" customFormat="false" ht="15" hidden="false" customHeight="false" outlineLevel="0" collapsed="false">
      <c r="L1908" s="37" t="str">
        <f aca="false">IF(C1908="","",IF(C1908&lt;=5,"Night (00-05)",IF(C1908&lt;=11,"Morning (06-11)",IF(C1908&lt;=16,"Afternoon (12-16)",IF(C1908&lt;=20,"Evening (17-20)","Late (21-23)")))))</f>
        <v/>
      </c>
    </row>
    <row r="1909" customFormat="false" ht="15" hidden="false" customHeight="false" outlineLevel="0" collapsed="false">
      <c r="L1909" s="37" t="str">
        <f aca="false">IF(C1909="","",IF(C1909&lt;=5,"Night (00-05)",IF(C1909&lt;=11,"Morning (06-11)",IF(C1909&lt;=16,"Afternoon (12-16)",IF(C1909&lt;=20,"Evening (17-20)","Late (21-23)")))))</f>
        <v/>
      </c>
    </row>
    <row r="1910" customFormat="false" ht="15" hidden="false" customHeight="false" outlineLevel="0" collapsed="false">
      <c r="L1910" s="37" t="str">
        <f aca="false">IF(C1910="","",IF(C1910&lt;=5,"Night (00-05)",IF(C1910&lt;=11,"Morning (06-11)",IF(C1910&lt;=16,"Afternoon (12-16)",IF(C1910&lt;=20,"Evening (17-20)","Late (21-23)")))))</f>
        <v/>
      </c>
    </row>
    <row r="1911" customFormat="false" ht="15" hidden="false" customHeight="false" outlineLevel="0" collapsed="false">
      <c r="L1911" s="37" t="str">
        <f aca="false">IF(C1911="","",IF(C1911&lt;=5,"Night (00-05)",IF(C1911&lt;=11,"Morning (06-11)",IF(C1911&lt;=16,"Afternoon (12-16)",IF(C1911&lt;=20,"Evening (17-20)","Late (21-23)")))))</f>
        <v/>
      </c>
    </row>
    <row r="1912" customFormat="false" ht="15" hidden="false" customHeight="false" outlineLevel="0" collapsed="false">
      <c r="L1912" s="37" t="str">
        <f aca="false">IF(C1912="","",IF(C1912&lt;=5,"Night (00-05)",IF(C1912&lt;=11,"Morning (06-11)",IF(C1912&lt;=16,"Afternoon (12-16)",IF(C1912&lt;=20,"Evening (17-20)","Late (21-23)")))))</f>
        <v/>
      </c>
    </row>
    <row r="1913" customFormat="false" ht="15" hidden="false" customHeight="false" outlineLevel="0" collapsed="false">
      <c r="L1913" s="37" t="str">
        <f aca="false">IF(C1913="","",IF(C1913&lt;=5,"Night (00-05)",IF(C1913&lt;=11,"Morning (06-11)",IF(C1913&lt;=16,"Afternoon (12-16)",IF(C1913&lt;=20,"Evening (17-20)","Late (21-23)")))))</f>
        <v/>
      </c>
    </row>
    <row r="1914" customFormat="false" ht="15" hidden="false" customHeight="false" outlineLevel="0" collapsed="false">
      <c r="L1914" s="37" t="str">
        <f aca="false">IF(C1914="","",IF(C1914&lt;=5,"Night (00-05)",IF(C1914&lt;=11,"Morning (06-11)",IF(C1914&lt;=16,"Afternoon (12-16)",IF(C1914&lt;=20,"Evening (17-20)","Late (21-23)")))))</f>
        <v/>
      </c>
    </row>
    <row r="1915" customFormat="false" ht="15" hidden="false" customHeight="false" outlineLevel="0" collapsed="false">
      <c r="L1915" s="37" t="str">
        <f aca="false">IF(C1915="","",IF(C1915&lt;=5,"Night (00-05)",IF(C1915&lt;=11,"Morning (06-11)",IF(C1915&lt;=16,"Afternoon (12-16)",IF(C1915&lt;=20,"Evening (17-20)","Late (21-23)")))))</f>
        <v/>
      </c>
    </row>
    <row r="1916" customFormat="false" ht="15" hidden="false" customHeight="false" outlineLevel="0" collapsed="false">
      <c r="L1916" s="37" t="str">
        <f aca="false">IF(C1916="","",IF(C1916&lt;=5,"Night (00-05)",IF(C1916&lt;=11,"Morning (06-11)",IF(C1916&lt;=16,"Afternoon (12-16)",IF(C1916&lt;=20,"Evening (17-20)","Late (21-23)")))))</f>
        <v/>
      </c>
    </row>
    <row r="1917" customFormat="false" ht="15" hidden="false" customHeight="false" outlineLevel="0" collapsed="false">
      <c r="L1917" s="37" t="str">
        <f aca="false">IF(C1917="","",IF(C1917&lt;=5,"Night (00-05)",IF(C1917&lt;=11,"Morning (06-11)",IF(C1917&lt;=16,"Afternoon (12-16)",IF(C1917&lt;=20,"Evening (17-20)","Late (21-23)")))))</f>
        <v/>
      </c>
    </row>
    <row r="1918" customFormat="false" ht="15" hidden="false" customHeight="false" outlineLevel="0" collapsed="false">
      <c r="L1918" s="37" t="str">
        <f aca="false">IF(C1918="","",IF(C1918&lt;=5,"Night (00-05)",IF(C1918&lt;=11,"Morning (06-11)",IF(C1918&lt;=16,"Afternoon (12-16)",IF(C1918&lt;=20,"Evening (17-20)","Late (21-23)")))))</f>
        <v/>
      </c>
    </row>
    <row r="1919" customFormat="false" ht="15" hidden="false" customHeight="false" outlineLevel="0" collapsed="false">
      <c r="L1919" s="37" t="str">
        <f aca="false">IF(C1919="","",IF(C1919&lt;=5,"Night (00-05)",IF(C1919&lt;=11,"Morning (06-11)",IF(C1919&lt;=16,"Afternoon (12-16)",IF(C1919&lt;=20,"Evening (17-20)","Late (21-23)")))))</f>
        <v/>
      </c>
    </row>
    <row r="1920" customFormat="false" ht="15" hidden="false" customHeight="false" outlineLevel="0" collapsed="false">
      <c r="L1920" s="37" t="str">
        <f aca="false">IF(C1920="","",IF(C1920&lt;=5,"Night (00-05)",IF(C1920&lt;=11,"Morning (06-11)",IF(C1920&lt;=16,"Afternoon (12-16)",IF(C1920&lt;=20,"Evening (17-20)","Late (21-23)")))))</f>
        <v/>
      </c>
    </row>
    <row r="1921" customFormat="false" ht="15" hidden="false" customHeight="false" outlineLevel="0" collapsed="false">
      <c r="L1921" s="37" t="str">
        <f aca="false">IF(C1921="","",IF(C1921&lt;=5,"Night (00-05)",IF(C1921&lt;=11,"Morning (06-11)",IF(C1921&lt;=16,"Afternoon (12-16)",IF(C1921&lt;=20,"Evening (17-20)","Late (21-23)")))))</f>
        <v/>
      </c>
    </row>
    <row r="1922" customFormat="false" ht="15" hidden="false" customHeight="false" outlineLevel="0" collapsed="false">
      <c r="L1922" s="37" t="str">
        <f aca="false">IF(C1922="","",IF(C1922&lt;=5,"Night (00-05)",IF(C1922&lt;=11,"Morning (06-11)",IF(C1922&lt;=16,"Afternoon (12-16)",IF(C1922&lt;=20,"Evening (17-20)","Late (21-23)")))))</f>
        <v/>
      </c>
    </row>
    <row r="1923" customFormat="false" ht="15" hidden="false" customHeight="false" outlineLevel="0" collapsed="false">
      <c r="L1923" s="37" t="str">
        <f aca="false">IF(C1923="","",IF(C1923&lt;=5,"Night (00-05)",IF(C1923&lt;=11,"Morning (06-11)",IF(C1923&lt;=16,"Afternoon (12-16)",IF(C1923&lt;=20,"Evening (17-20)","Late (21-23)")))))</f>
        <v/>
      </c>
    </row>
    <row r="1924" customFormat="false" ht="15" hidden="false" customHeight="false" outlineLevel="0" collapsed="false">
      <c r="L1924" s="37" t="str">
        <f aca="false">IF(C1924="","",IF(C1924&lt;=5,"Night (00-05)",IF(C1924&lt;=11,"Morning (06-11)",IF(C1924&lt;=16,"Afternoon (12-16)",IF(C1924&lt;=20,"Evening (17-20)","Late (21-23)")))))</f>
        <v/>
      </c>
    </row>
    <row r="1925" customFormat="false" ht="15" hidden="false" customHeight="false" outlineLevel="0" collapsed="false">
      <c r="L1925" s="37" t="str">
        <f aca="false">IF(C1925="","",IF(C1925&lt;=5,"Night (00-05)",IF(C1925&lt;=11,"Morning (06-11)",IF(C1925&lt;=16,"Afternoon (12-16)",IF(C1925&lt;=20,"Evening (17-20)","Late (21-23)")))))</f>
        <v/>
      </c>
    </row>
    <row r="1926" customFormat="false" ht="15" hidden="false" customHeight="false" outlineLevel="0" collapsed="false">
      <c r="L1926" s="37" t="str">
        <f aca="false">IF(C1926="","",IF(C1926&lt;=5,"Night (00-05)",IF(C1926&lt;=11,"Morning (06-11)",IF(C1926&lt;=16,"Afternoon (12-16)",IF(C1926&lt;=20,"Evening (17-20)","Late (21-23)")))))</f>
        <v/>
      </c>
    </row>
    <row r="1927" customFormat="false" ht="15" hidden="false" customHeight="false" outlineLevel="0" collapsed="false">
      <c r="L1927" s="37" t="str">
        <f aca="false">IF(C1927="","",IF(C1927&lt;=5,"Night (00-05)",IF(C1927&lt;=11,"Morning (06-11)",IF(C1927&lt;=16,"Afternoon (12-16)",IF(C1927&lt;=20,"Evening (17-20)","Late (21-23)")))))</f>
        <v/>
      </c>
    </row>
    <row r="1928" customFormat="false" ht="15" hidden="false" customHeight="false" outlineLevel="0" collapsed="false">
      <c r="L1928" s="37" t="str">
        <f aca="false">IF(C1928="","",IF(C1928&lt;=5,"Night (00-05)",IF(C1928&lt;=11,"Morning (06-11)",IF(C1928&lt;=16,"Afternoon (12-16)",IF(C1928&lt;=20,"Evening (17-20)","Late (21-23)")))))</f>
        <v/>
      </c>
    </row>
    <row r="1929" customFormat="false" ht="15" hidden="false" customHeight="false" outlineLevel="0" collapsed="false">
      <c r="L1929" s="37" t="str">
        <f aca="false">IF(C1929="","",IF(C1929&lt;=5,"Night (00-05)",IF(C1929&lt;=11,"Morning (06-11)",IF(C1929&lt;=16,"Afternoon (12-16)",IF(C1929&lt;=20,"Evening (17-20)","Late (21-23)")))))</f>
        <v/>
      </c>
    </row>
    <row r="1930" customFormat="false" ht="15" hidden="false" customHeight="false" outlineLevel="0" collapsed="false">
      <c r="L1930" s="37" t="str">
        <f aca="false">IF(C1930="","",IF(C1930&lt;=5,"Night (00-05)",IF(C1930&lt;=11,"Morning (06-11)",IF(C1930&lt;=16,"Afternoon (12-16)",IF(C1930&lt;=20,"Evening (17-20)","Late (21-23)")))))</f>
        <v/>
      </c>
    </row>
    <row r="1931" customFormat="false" ht="15" hidden="false" customHeight="false" outlineLevel="0" collapsed="false">
      <c r="L1931" s="37" t="str">
        <f aca="false">IF(C1931="","",IF(C1931&lt;=5,"Night (00-05)",IF(C1931&lt;=11,"Morning (06-11)",IF(C1931&lt;=16,"Afternoon (12-16)",IF(C1931&lt;=20,"Evening (17-20)","Late (21-23)")))))</f>
        <v/>
      </c>
    </row>
    <row r="1932" customFormat="false" ht="15" hidden="false" customHeight="false" outlineLevel="0" collapsed="false">
      <c r="L1932" s="37" t="str">
        <f aca="false">IF(C1932="","",IF(C1932&lt;=5,"Night (00-05)",IF(C1932&lt;=11,"Morning (06-11)",IF(C1932&lt;=16,"Afternoon (12-16)",IF(C1932&lt;=20,"Evening (17-20)","Late (21-23)")))))</f>
        <v/>
      </c>
    </row>
    <row r="1933" customFormat="false" ht="15" hidden="false" customHeight="false" outlineLevel="0" collapsed="false">
      <c r="L1933" s="37" t="str">
        <f aca="false">IF(C1933="","",IF(C1933&lt;=5,"Night (00-05)",IF(C1933&lt;=11,"Morning (06-11)",IF(C1933&lt;=16,"Afternoon (12-16)",IF(C1933&lt;=20,"Evening (17-20)","Late (21-23)")))))</f>
        <v/>
      </c>
    </row>
    <row r="1934" customFormat="false" ht="15" hidden="false" customHeight="false" outlineLevel="0" collapsed="false">
      <c r="L1934" s="37" t="str">
        <f aca="false">IF(C1934="","",IF(C1934&lt;=5,"Night (00-05)",IF(C1934&lt;=11,"Morning (06-11)",IF(C1934&lt;=16,"Afternoon (12-16)",IF(C1934&lt;=20,"Evening (17-20)","Late (21-23)")))))</f>
        <v/>
      </c>
    </row>
    <row r="1935" customFormat="false" ht="15" hidden="false" customHeight="false" outlineLevel="0" collapsed="false">
      <c r="L1935" s="37" t="str">
        <f aca="false">IF(C1935="","",IF(C1935&lt;=5,"Night (00-05)",IF(C1935&lt;=11,"Morning (06-11)",IF(C1935&lt;=16,"Afternoon (12-16)",IF(C1935&lt;=20,"Evening (17-20)","Late (21-23)")))))</f>
        <v/>
      </c>
    </row>
    <row r="1936" customFormat="false" ht="15" hidden="false" customHeight="false" outlineLevel="0" collapsed="false">
      <c r="L1936" s="37" t="str">
        <f aca="false">IF(C1936="","",IF(C1936&lt;=5,"Night (00-05)",IF(C1936&lt;=11,"Morning (06-11)",IF(C1936&lt;=16,"Afternoon (12-16)",IF(C1936&lt;=20,"Evening (17-20)","Late (21-23)")))))</f>
        <v/>
      </c>
    </row>
    <row r="1937" customFormat="false" ht="15" hidden="false" customHeight="false" outlineLevel="0" collapsed="false">
      <c r="L1937" s="37" t="str">
        <f aca="false">IF(C1937="","",IF(C1937&lt;=5,"Night (00-05)",IF(C1937&lt;=11,"Morning (06-11)",IF(C1937&lt;=16,"Afternoon (12-16)",IF(C1937&lt;=20,"Evening (17-20)","Late (21-23)")))))</f>
        <v/>
      </c>
    </row>
    <row r="1938" customFormat="false" ht="15" hidden="false" customHeight="false" outlineLevel="0" collapsed="false">
      <c r="L1938" s="37" t="str">
        <f aca="false">IF(C1938="","",IF(C1938&lt;=5,"Night (00-05)",IF(C1938&lt;=11,"Morning (06-11)",IF(C1938&lt;=16,"Afternoon (12-16)",IF(C1938&lt;=20,"Evening (17-20)","Late (21-23)")))))</f>
        <v/>
      </c>
    </row>
    <row r="1939" customFormat="false" ht="15" hidden="false" customHeight="false" outlineLevel="0" collapsed="false">
      <c r="L1939" s="37" t="str">
        <f aca="false">IF(C1939="","",IF(C1939&lt;=5,"Night (00-05)",IF(C1939&lt;=11,"Morning (06-11)",IF(C1939&lt;=16,"Afternoon (12-16)",IF(C1939&lt;=20,"Evening (17-20)","Late (21-23)")))))</f>
        <v/>
      </c>
    </row>
    <row r="1940" customFormat="false" ht="15" hidden="false" customHeight="false" outlineLevel="0" collapsed="false">
      <c r="L1940" s="37" t="str">
        <f aca="false">IF(C1940="","",IF(C1940&lt;=5,"Night (00-05)",IF(C1940&lt;=11,"Morning (06-11)",IF(C1940&lt;=16,"Afternoon (12-16)",IF(C1940&lt;=20,"Evening (17-20)","Late (21-23)")))))</f>
        <v/>
      </c>
    </row>
    <row r="1941" customFormat="false" ht="15" hidden="false" customHeight="false" outlineLevel="0" collapsed="false">
      <c r="L1941" s="37" t="str">
        <f aca="false">IF(C1941="","",IF(C1941&lt;=5,"Night (00-05)",IF(C1941&lt;=11,"Morning (06-11)",IF(C1941&lt;=16,"Afternoon (12-16)",IF(C1941&lt;=20,"Evening (17-20)","Late (21-23)")))))</f>
        <v/>
      </c>
    </row>
    <row r="1942" customFormat="false" ht="15" hidden="false" customHeight="false" outlineLevel="0" collapsed="false">
      <c r="L1942" s="37" t="str">
        <f aca="false">IF(C1942="","",IF(C1942&lt;=5,"Night (00-05)",IF(C1942&lt;=11,"Morning (06-11)",IF(C1942&lt;=16,"Afternoon (12-16)",IF(C1942&lt;=20,"Evening (17-20)","Late (21-23)")))))</f>
        <v/>
      </c>
    </row>
    <row r="1943" customFormat="false" ht="15" hidden="false" customHeight="false" outlineLevel="0" collapsed="false">
      <c r="L1943" s="37" t="str">
        <f aca="false">IF(C1943="","",IF(C1943&lt;=5,"Night (00-05)",IF(C1943&lt;=11,"Morning (06-11)",IF(C1943&lt;=16,"Afternoon (12-16)",IF(C1943&lt;=20,"Evening (17-20)","Late (21-23)")))))</f>
        <v/>
      </c>
    </row>
    <row r="1944" customFormat="false" ht="15" hidden="false" customHeight="false" outlineLevel="0" collapsed="false">
      <c r="L1944" s="37" t="str">
        <f aca="false">IF(C1944="","",IF(C1944&lt;=5,"Night (00-05)",IF(C1944&lt;=11,"Morning (06-11)",IF(C1944&lt;=16,"Afternoon (12-16)",IF(C1944&lt;=20,"Evening (17-20)","Late (21-23)")))))</f>
        <v/>
      </c>
    </row>
    <row r="1945" customFormat="false" ht="15" hidden="false" customHeight="false" outlineLevel="0" collapsed="false">
      <c r="L1945" s="37" t="str">
        <f aca="false">IF(C1945="","",IF(C1945&lt;=5,"Night (00-05)",IF(C1945&lt;=11,"Morning (06-11)",IF(C1945&lt;=16,"Afternoon (12-16)",IF(C1945&lt;=20,"Evening (17-20)","Late (21-23)")))))</f>
        <v/>
      </c>
    </row>
    <row r="1946" customFormat="false" ht="15" hidden="false" customHeight="false" outlineLevel="0" collapsed="false">
      <c r="L1946" s="37" t="str">
        <f aca="false">IF(C1946="","",IF(C1946&lt;=5,"Night (00-05)",IF(C1946&lt;=11,"Morning (06-11)",IF(C1946&lt;=16,"Afternoon (12-16)",IF(C1946&lt;=20,"Evening (17-20)","Late (21-23)")))))</f>
        <v/>
      </c>
    </row>
    <row r="1947" customFormat="false" ht="15" hidden="false" customHeight="false" outlineLevel="0" collapsed="false">
      <c r="L1947" s="37" t="str">
        <f aca="false">IF(C1947="","",IF(C1947&lt;=5,"Night (00-05)",IF(C1947&lt;=11,"Morning (06-11)",IF(C1947&lt;=16,"Afternoon (12-16)",IF(C1947&lt;=20,"Evening (17-20)","Late (21-23)")))))</f>
        <v/>
      </c>
    </row>
    <row r="1948" customFormat="false" ht="15" hidden="false" customHeight="false" outlineLevel="0" collapsed="false">
      <c r="L1948" s="37" t="str">
        <f aca="false">IF(C1948="","",IF(C1948&lt;=5,"Night (00-05)",IF(C1948&lt;=11,"Morning (06-11)",IF(C1948&lt;=16,"Afternoon (12-16)",IF(C1948&lt;=20,"Evening (17-20)","Late (21-23)")))))</f>
        <v/>
      </c>
    </row>
    <row r="1949" customFormat="false" ht="15" hidden="false" customHeight="false" outlineLevel="0" collapsed="false">
      <c r="L1949" s="37" t="str">
        <f aca="false">IF(C1949="","",IF(C1949&lt;=5,"Night (00-05)",IF(C1949&lt;=11,"Morning (06-11)",IF(C1949&lt;=16,"Afternoon (12-16)",IF(C1949&lt;=20,"Evening (17-20)","Late (21-23)")))))</f>
        <v/>
      </c>
    </row>
    <row r="1950" customFormat="false" ht="15" hidden="false" customHeight="false" outlineLevel="0" collapsed="false">
      <c r="L1950" s="37" t="str">
        <f aca="false">IF(C1950="","",IF(C1950&lt;=5,"Night (00-05)",IF(C1950&lt;=11,"Morning (06-11)",IF(C1950&lt;=16,"Afternoon (12-16)",IF(C1950&lt;=20,"Evening (17-20)","Late (21-23)")))))</f>
        <v/>
      </c>
    </row>
    <row r="1951" customFormat="false" ht="15" hidden="false" customHeight="false" outlineLevel="0" collapsed="false">
      <c r="L1951" s="37" t="str">
        <f aca="false">IF(C1951="","",IF(C1951&lt;=5,"Night (00-05)",IF(C1951&lt;=11,"Morning (06-11)",IF(C1951&lt;=16,"Afternoon (12-16)",IF(C1951&lt;=20,"Evening (17-20)","Late (21-23)")))))</f>
        <v/>
      </c>
    </row>
    <row r="1952" customFormat="false" ht="15" hidden="false" customHeight="false" outlineLevel="0" collapsed="false">
      <c r="L1952" s="37" t="str">
        <f aca="false">IF(C1952="","",IF(C1952&lt;=5,"Night (00-05)",IF(C1952&lt;=11,"Morning (06-11)",IF(C1952&lt;=16,"Afternoon (12-16)",IF(C1952&lt;=20,"Evening (17-20)","Late (21-23)")))))</f>
        <v/>
      </c>
    </row>
    <row r="1953" customFormat="false" ht="15" hidden="false" customHeight="false" outlineLevel="0" collapsed="false">
      <c r="L1953" s="37" t="str">
        <f aca="false">IF(C1953="","",IF(C1953&lt;=5,"Night (00-05)",IF(C1953&lt;=11,"Morning (06-11)",IF(C1953&lt;=16,"Afternoon (12-16)",IF(C1953&lt;=20,"Evening (17-20)","Late (21-23)")))))</f>
        <v/>
      </c>
    </row>
    <row r="1954" customFormat="false" ht="15" hidden="false" customHeight="false" outlineLevel="0" collapsed="false">
      <c r="L1954" s="37" t="str">
        <f aca="false">IF(C1954="","",IF(C1954&lt;=5,"Night (00-05)",IF(C1954&lt;=11,"Morning (06-11)",IF(C1954&lt;=16,"Afternoon (12-16)",IF(C1954&lt;=20,"Evening (17-20)","Late (21-23)")))))</f>
        <v/>
      </c>
    </row>
    <row r="1955" customFormat="false" ht="15" hidden="false" customHeight="false" outlineLevel="0" collapsed="false">
      <c r="L1955" s="37" t="str">
        <f aca="false">IF(C1955="","",IF(C1955&lt;=5,"Night (00-05)",IF(C1955&lt;=11,"Morning (06-11)",IF(C1955&lt;=16,"Afternoon (12-16)",IF(C1955&lt;=20,"Evening (17-20)","Late (21-23)")))))</f>
        <v/>
      </c>
    </row>
    <row r="1956" customFormat="false" ht="15" hidden="false" customHeight="false" outlineLevel="0" collapsed="false">
      <c r="L1956" s="37" t="str">
        <f aca="false">IF(C1956="","",IF(C1956&lt;=5,"Night (00-05)",IF(C1956&lt;=11,"Morning (06-11)",IF(C1956&lt;=16,"Afternoon (12-16)",IF(C1956&lt;=20,"Evening (17-20)","Late (21-23)")))))</f>
        <v/>
      </c>
    </row>
    <row r="1957" customFormat="false" ht="15" hidden="false" customHeight="false" outlineLevel="0" collapsed="false">
      <c r="L1957" s="37" t="str">
        <f aca="false">IF(C1957="","",IF(C1957&lt;=5,"Night (00-05)",IF(C1957&lt;=11,"Morning (06-11)",IF(C1957&lt;=16,"Afternoon (12-16)",IF(C1957&lt;=20,"Evening (17-20)","Late (21-23)")))))</f>
        <v/>
      </c>
    </row>
    <row r="1958" customFormat="false" ht="15" hidden="false" customHeight="false" outlineLevel="0" collapsed="false">
      <c r="L1958" s="37" t="str">
        <f aca="false">IF(C1958="","",IF(C1958&lt;=5,"Night (00-05)",IF(C1958&lt;=11,"Morning (06-11)",IF(C1958&lt;=16,"Afternoon (12-16)",IF(C1958&lt;=20,"Evening (17-20)","Late (21-23)")))))</f>
        <v/>
      </c>
    </row>
    <row r="1959" customFormat="false" ht="15" hidden="false" customHeight="false" outlineLevel="0" collapsed="false">
      <c r="L1959" s="37" t="str">
        <f aca="false">IF(C1959="","",IF(C1959&lt;=5,"Night (00-05)",IF(C1959&lt;=11,"Morning (06-11)",IF(C1959&lt;=16,"Afternoon (12-16)",IF(C1959&lt;=20,"Evening (17-20)","Late (21-23)")))))</f>
        <v/>
      </c>
    </row>
    <row r="1960" customFormat="false" ht="15" hidden="false" customHeight="false" outlineLevel="0" collapsed="false">
      <c r="L1960" s="37" t="str">
        <f aca="false">IF(C1960="","",IF(C1960&lt;=5,"Night (00-05)",IF(C1960&lt;=11,"Morning (06-11)",IF(C1960&lt;=16,"Afternoon (12-16)",IF(C1960&lt;=20,"Evening (17-20)","Late (21-23)")))))</f>
        <v/>
      </c>
    </row>
    <row r="1961" customFormat="false" ht="15" hidden="false" customHeight="false" outlineLevel="0" collapsed="false">
      <c r="L1961" s="37" t="str">
        <f aca="false">IF(C1961="","",IF(C1961&lt;=5,"Night (00-05)",IF(C1961&lt;=11,"Morning (06-11)",IF(C1961&lt;=16,"Afternoon (12-16)",IF(C1961&lt;=20,"Evening (17-20)","Late (21-23)")))))</f>
        <v/>
      </c>
    </row>
    <row r="1962" customFormat="false" ht="15" hidden="false" customHeight="false" outlineLevel="0" collapsed="false">
      <c r="L1962" s="37" t="str">
        <f aca="false">IF(C1962="","",IF(C1962&lt;=5,"Night (00-05)",IF(C1962&lt;=11,"Morning (06-11)",IF(C1962&lt;=16,"Afternoon (12-16)",IF(C1962&lt;=20,"Evening (17-20)","Late (21-23)")))))</f>
        <v/>
      </c>
    </row>
    <row r="1963" customFormat="false" ht="15" hidden="false" customHeight="false" outlineLevel="0" collapsed="false">
      <c r="L1963" s="37" t="str">
        <f aca="false">IF(C1963="","",IF(C1963&lt;=5,"Night (00-05)",IF(C1963&lt;=11,"Morning (06-11)",IF(C1963&lt;=16,"Afternoon (12-16)",IF(C1963&lt;=20,"Evening (17-20)","Late (21-23)")))))</f>
        <v/>
      </c>
    </row>
    <row r="1964" customFormat="false" ht="15" hidden="false" customHeight="false" outlineLevel="0" collapsed="false">
      <c r="L1964" s="37" t="str">
        <f aca="false">IF(C1964="","",IF(C1964&lt;=5,"Night (00-05)",IF(C1964&lt;=11,"Morning (06-11)",IF(C1964&lt;=16,"Afternoon (12-16)",IF(C1964&lt;=20,"Evening (17-20)","Late (21-23)")))))</f>
        <v/>
      </c>
    </row>
    <row r="1965" customFormat="false" ht="15" hidden="false" customHeight="false" outlineLevel="0" collapsed="false">
      <c r="L1965" s="37" t="str">
        <f aca="false">IF(C1965="","",IF(C1965&lt;=5,"Night (00-05)",IF(C1965&lt;=11,"Morning (06-11)",IF(C1965&lt;=16,"Afternoon (12-16)",IF(C1965&lt;=20,"Evening (17-20)","Late (21-23)")))))</f>
        <v/>
      </c>
    </row>
    <row r="1966" customFormat="false" ht="15" hidden="false" customHeight="false" outlineLevel="0" collapsed="false">
      <c r="L1966" s="37" t="str">
        <f aca="false">IF(C1966="","",IF(C1966&lt;=5,"Night (00-05)",IF(C1966&lt;=11,"Morning (06-11)",IF(C1966&lt;=16,"Afternoon (12-16)",IF(C1966&lt;=20,"Evening (17-20)","Late (21-23)")))))</f>
        <v/>
      </c>
    </row>
    <row r="1967" customFormat="false" ht="15" hidden="false" customHeight="false" outlineLevel="0" collapsed="false">
      <c r="L1967" s="37" t="str">
        <f aca="false">IF(C1967="","",IF(C1967&lt;=5,"Night (00-05)",IF(C1967&lt;=11,"Morning (06-11)",IF(C1967&lt;=16,"Afternoon (12-16)",IF(C1967&lt;=20,"Evening (17-20)","Late (21-23)")))))</f>
        <v/>
      </c>
    </row>
    <row r="1968" customFormat="false" ht="15" hidden="false" customHeight="false" outlineLevel="0" collapsed="false">
      <c r="L1968" s="37" t="str">
        <f aca="false">IF(C1968="","",IF(C1968&lt;=5,"Night (00-05)",IF(C1968&lt;=11,"Morning (06-11)",IF(C1968&lt;=16,"Afternoon (12-16)",IF(C1968&lt;=20,"Evening (17-20)","Late (21-23)")))))</f>
        <v/>
      </c>
    </row>
    <row r="1969" customFormat="false" ht="15" hidden="false" customHeight="false" outlineLevel="0" collapsed="false">
      <c r="L1969" s="37" t="str">
        <f aca="false">IF(C1969="","",IF(C1969&lt;=5,"Night (00-05)",IF(C1969&lt;=11,"Morning (06-11)",IF(C1969&lt;=16,"Afternoon (12-16)",IF(C1969&lt;=20,"Evening (17-20)","Late (21-23)")))))</f>
        <v/>
      </c>
    </row>
    <row r="1970" customFormat="false" ht="15" hidden="false" customHeight="false" outlineLevel="0" collapsed="false">
      <c r="L1970" s="37" t="str">
        <f aca="false">IF(C1970="","",IF(C1970&lt;=5,"Night (00-05)",IF(C1970&lt;=11,"Morning (06-11)",IF(C1970&lt;=16,"Afternoon (12-16)",IF(C1970&lt;=20,"Evening (17-20)","Late (21-23)")))))</f>
        <v/>
      </c>
    </row>
    <row r="1971" customFormat="false" ht="15" hidden="false" customHeight="false" outlineLevel="0" collapsed="false">
      <c r="L1971" s="37" t="str">
        <f aca="false">IF(C1971="","",IF(C1971&lt;=5,"Night (00-05)",IF(C1971&lt;=11,"Morning (06-11)",IF(C1971&lt;=16,"Afternoon (12-16)",IF(C1971&lt;=20,"Evening (17-20)","Late (21-23)")))))</f>
        <v/>
      </c>
    </row>
    <row r="1972" customFormat="false" ht="15" hidden="false" customHeight="false" outlineLevel="0" collapsed="false">
      <c r="L1972" s="37" t="str">
        <f aca="false">IF(C1972="","",IF(C1972&lt;=5,"Night (00-05)",IF(C1972&lt;=11,"Morning (06-11)",IF(C1972&lt;=16,"Afternoon (12-16)",IF(C1972&lt;=20,"Evening (17-20)","Late (21-23)")))))</f>
        <v/>
      </c>
    </row>
    <row r="1973" customFormat="false" ht="15" hidden="false" customHeight="false" outlineLevel="0" collapsed="false">
      <c r="L1973" s="37" t="str">
        <f aca="false">IF(C1973="","",IF(C1973&lt;=5,"Night (00-05)",IF(C1973&lt;=11,"Morning (06-11)",IF(C1973&lt;=16,"Afternoon (12-16)",IF(C1973&lt;=20,"Evening (17-20)","Late (21-23)")))))</f>
        <v/>
      </c>
    </row>
    <row r="1974" customFormat="false" ht="15" hidden="false" customHeight="false" outlineLevel="0" collapsed="false">
      <c r="L1974" s="37" t="str">
        <f aca="false">IF(C1974="","",IF(C1974&lt;=5,"Night (00-05)",IF(C1974&lt;=11,"Morning (06-11)",IF(C1974&lt;=16,"Afternoon (12-16)",IF(C1974&lt;=20,"Evening (17-20)","Late (21-23)")))))</f>
        <v/>
      </c>
    </row>
    <row r="1975" customFormat="false" ht="15" hidden="false" customHeight="false" outlineLevel="0" collapsed="false">
      <c r="L1975" s="37" t="str">
        <f aca="false">IF(C1975="","",IF(C1975&lt;=5,"Night (00-05)",IF(C1975&lt;=11,"Morning (06-11)",IF(C1975&lt;=16,"Afternoon (12-16)",IF(C1975&lt;=20,"Evening (17-20)","Late (21-23)")))))</f>
        <v/>
      </c>
    </row>
    <row r="1976" customFormat="false" ht="15" hidden="false" customHeight="false" outlineLevel="0" collapsed="false">
      <c r="L1976" s="37" t="str">
        <f aca="false">IF(C1976="","",IF(C1976&lt;=5,"Night (00-05)",IF(C1976&lt;=11,"Morning (06-11)",IF(C1976&lt;=16,"Afternoon (12-16)",IF(C1976&lt;=20,"Evening (17-20)","Late (21-23)")))))</f>
        <v/>
      </c>
    </row>
    <row r="1977" customFormat="false" ht="15" hidden="false" customHeight="false" outlineLevel="0" collapsed="false">
      <c r="L1977" s="37" t="str">
        <f aca="false">IF(C1977="","",IF(C1977&lt;=5,"Night (00-05)",IF(C1977&lt;=11,"Morning (06-11)",IF(C1977&lt;=16,"Afternoon (12-16)",IF(C1977&lt;=20,"Evening (17-20)","Late (21-23)")))))</f>
        <v/>
      </c>
    </row>
    <row r="1978" customFormat="false" ht="15" hidden="false" customHeight="false" outlineLevel="0" collapsed="false">
      <c r="L1978" s="37" t="str">
        <f aca="false">IF(C1978="","",IF(C1978&lt;=5,"Night (00-05)",IF(C1978&lt;=11,"Morning (06-11)",IF(C1978&lt;=16,"Afternoon (12-16)",IF(C1978&lt;=20,"Evening (17-20)","Late (21-23)")))))</f>
        <v/>
      </c>
    </row>
    <row r="1979" customFormat="false" ht="15" hidden="false" customHeight="false" outlineLevel="0" collapsed="false">
      <c r="L1979" s="37" t="str">
        <f aca="false">IF(C1979="","",IF(C1979&lt;=5,"Night (00-05)",IF(C1979&lt;=11,"Morning (06-11)",IF(C1979&lt;=16,"Afternoon (12-16)",IF(C1979&lt;=20,"Evening (17-20)","Late (21-23)")))))</f>
        <v/>
      </c>
    </row>
    <row r="1980" customFormat="false" ht="15" hidden="false" customHeight="false" outlineLevel="0" collapsed="false">
      <c r="L1980" s="37" t="str">
        <f aca="false">IF(C1980="","",IF(C1980&lt;=5,"Night (00-05)",IF(C1980&lt;=11,"Morning (06-11)",IF(C1980&lt;=16,"Afternoon (12-16)",IF(C1980&lt;=20,"Evening (17-20)","Late (21-23)")))))</f>
        <v/>
      </c>
    </row>
    <row r="1981" customFormat="false" ht="15" hidden="false" customHeight="false" outlineLevel="0" collapsed="false">
      <c r="L1981" s="37" t="str">
        <f aca="false">IF(C1981="","",IF(C1981&lt;=5,"Night (00-05)",IF(C1981&lt;=11,"Morning (06-11)",IF(C1981&lt;=16,"Afternoon (12-16)",IF(C1981&lt;=20,"Evening (17-20)","Late (21-23)")))))</f>
        <v/>
      </c>
    </row>
    <row r="1982" customFormat="false" ht="15" hidden="false" customHeight="false" outlineLevel="0" collapsed="false">
      <c r="L1982" s="37" t="str">
        <f aca="false">IF(C1982="","",IF(C1982&lt;=5,"Night (00-05)",IF(C1982&lt;=11,"Morning (06-11)",IF(C1982&lt;=16,"Afternoon (12-16)",IF(C1982&lt;=20,"Evening (17-20)","Late (21-23)")))))</f>
        <v/>
      </c>
    </row>
    <row r="1983" customFormat="false" ht="15" hidden="false" customHeight="false" outlineLevel="0" collapsed="false">
      <c r="L1983" s="37" t="str">
        <f aca="false">IF(C1983="","",IF(C1983&lt;=5,"Night (00-05)",IF(C1983&lt;=11,"Morning (06-11)",IF(C1983&lt;=16,"Afternoon (12-16)",IF(C1983&lt;=20,"Evening (17-20)","Late (21-23)")))))</f>
        <v/>
      </c>
    </row>
    <row r="1984" customFormat="false" ht="15" hidden="false" customHeight="false" outlineLevel="0" collapsed="false">
      <c r="L1984" s="37" t="str">
        <f aca="false">IF(C1984="","",IF(C1984&lt;=5,"Night (00-05)",IF(C1984&lt;=11,"Morning (06-11)",IF(C1984&lt;=16,"Afternoon (12-16)",IF(C1984&lt;=20,"Evening (17-20)","Late (21-23)")))))</f>
        <v/>
      </c>
    </row>
    <row r="1985" customFormat="false" ht="15" hidden="false" customHeight="false" outlineLevel="0" collapsed="false">
      <c r="L1985" s="37" t="str">
        <f aca="false">IF(C1985="","",IF(C1985&lt;=5,"Night (00-05)",IF(C1985&lt;=11,"Morning (06-11)",IF(C1985&lt;=16,"Afternoon (12-16)",IF(C1985&lt;=20,"Evening (17-20)","Late (21-23)")))))</f>
        <v/>
      </c>
    </row>
    <row r="1986" customFormat="false" ht="15" hidden="false" customHeight="false" outlineLevel="0" collapsed="false">
      <c r="L1986" s="37" t="str">
        <f aca="false">IF(C1986="","",IF(C1986&lt;=5,"Night (00-05)",IF(C1986&lt;=11,"Morning (06-11)",IF(C1986&lt;=16,"Afternoon (12-16)",IF(C1986&lt;=20,"Evening (17-20)","Late (21-23)")))))</f>
        <v/>
      </c>
    </row>
    <row r="1987" customFormat="false" ht="15" hidden="false" customHeight="false" outlineLevel="0" collapsed="false">
      <c r="L1987" s="37" t="str">
        <f aca="false">IF(C1987="","",IF(C1987&lt;=5,"Night (00-05)",IF(C1987&lt;=11,"Morning (06-11)",IF(C1987&lt;=16,"Afternoon (12-16)",IF(C1987&lt;=20,"Evening (17-20)","Late (21-23)")))))</f>
        <v/>
      </c>
    </row>
    <row r="1988" customFormat="false" ht="15" hidden="false" customHeight="false" outlineLevel="0" collapsed="false">
      <c r="L1988" s="37" t="str">
        <f aca="false">IF(C1988="","",IF(C1988&lt;=5,"Night (00-05)",IF(C1988&lt;=11,"Morning (06-11)",IF(C1988&lt;=16,"Afternoon (12-16)",IF(C1988&lt;=20,"Evening (17-20)","Late (21-23)")))))</f>
        <v/>
      </c>
    </row>
    <row r="1989" customFormat="false" ht="15" hidden="false" customHeight="false" outlineLevel="0" collapsed="false">
      <c r="L1989" s="37" t="str">
        <f aca="false">IF(C1989="","",IF(C1989&lt;=5,"Night (00-05)",IF(C1989&lt;=11,"Morning (06-11)",IF(C1989&lt;=16,"Afternoon (12-16)",IF(C1989&lt;=20,"Evening (17-20)","Late (21-23)")))))</f>
        <v/>
      </c>
    </row>
    <row r="1990" customFormat="false" ht="15" hidden="false" customHeight="false" outlineLevel="0" collapsed="false">
      <c r="L1990" s="37" t="str">
        <f aca="false">IF(C1990="","",IF(C1990&lt;=5,"Night (00-05)",IF(C1990&lt;=11,"Morning (06-11)",IF(C1990&lt;=16,"Afternoon (12-16)",IF(C1990&lt;=20,"Evening (17-20)","Late (21-23)")))))</f>
        <v/>
      </c>
    </row>
    <row r="1991" customFormat="false" ht="15" hidden="false" customHeight="false" outlineLevel="0" collapsed="false">
      <c r="L1991" s="37" t="str">
        <f aca="false">IF(C1991="","",IF(C1991&lt;=5,"Night (00-05)",IF(C1991&lt;=11,"Morning (06-11)",IF(C1991&lt;=16,"Afternoon (12-16)",IF(C1991&lt;=20,"Evening (17-20)","Late (21-23)")))))</f>
        <v/>
      </c>
    </row>
    <row r="1992" customFormat="false" ht="15" hidden="false" customHeight="false" outlineLevel="0" collapsed="false">
      <c r="L1992" s="37" t="str">
        <f aca="false">IF(C1992="","",IF(C1992&lt;=5,"Night (00-05)",IF(C1992&lt;=11,"Morning (06-11)",IF(C1992&lt;=16,"Afternoon (12-16)",IF(C1992&lt;=20,"Evening (17-20)","Late (21-23)")))))</f>
        <v/>
      </c>
    </row>
    <row r="1993" customFormat="false" ht="15" hidden="false" customHeight="false" outlineLevel="0" collapsed="false">
      <c r="L1993" s="37" t="str">
        <f aca="false">IF(C1993="","",IF(C1993&lt;=5,"Night (00-05)",IF(C1993&lt;=11,"Morning (06-11)",IF(C1993&lt;=16,"Afternoon (12-16)",IF(C1993&lt;=20,"Evening (17-20)","Late (21-23)")))))</f>
        <v/>
      </c>
    </row>
    <row r="1994" customFormat="false" ht="15" hidden="false" customHeight="false" outlineLevel="0" collapsed="false">
      <c r="L1994" s="37" t="str">
        <f aca="false">IF(C1994="","",IF(C1994&lt;=5,"Night (00-05)",IF(C1994&lt;=11,"Morning (06-11)",IF(C1994&lt;=16,"Afternoon (12-16)",IF(C1994&lt;=20,"Evening (17-20)","Late (21-23)")))))</f>
        <v/>
      </c>
    </row>
    <row r="1995" customFormat="false" ht="15" hidden="false" customHeight="false" outlineLevel="0" collapsed="false">
      <c r="L1995" s="37" t="str">
        <f aca="false">IF(C1995="","",IF(C1995&lt;=5,"Night (00-05)",IF(C1995&lt;=11,"Morning (06-11)",IF(C1995&lt;=16,"Afternoon (12-16)",IF(C1995&lt;=20,"Evening (17-20)","Late (21-23)")))))</f>
        <v/>
      </c>
    </row>
    <row r="1996" customFormat="false" ht="15" hidden="false" customHeight="false" outlineLevel="0" collapsed="false">
      <c r="L1996" s="37" t="str">
        <f aca="false">IF(C1996="","",IF(C1996&lt;=5,"Night (00-05)",IF(C1996&lt;=11,"Morning (06-11)",IF(C1996&lt;=16,"Afternoon (12-16)",IF(C1996&lt;=20,"Evening (17-20)","Late (21-23)")))))</f>
        <v/>
      </c>
    </row>
    <row r="1997" customFormat="false" ht="15" hidden="false" customHeight="false" outlineLevel="0" collapsed="false">
      <c r="L1997" s="37" t="str">
        <f aca="false">IF(C1997="","",IF(C1997&lt;=5,"Night (00-05)",IF(C1997&lt;=11,"Morning (06-11)",IF(C1997&lt;=16,"Afternoon (12-16)",IF(C1997&lt;=20,"Evening (17-20)","Late (21-23)")))))</f>
        <v/>
      </c>
    </row>
    <row r="1998" customFormat="false" ht="15" hidden="false" customHeight="false" outlineLevel="0" collapsed="false">
      <c r="L1998" s="37" t="str">
        <f aca="false">IF(C1998="","",IF(C1998&lt;=5,"Night (00-05)",IF(C1998&lt;=11,"Morning (06-11)",IF(C1998&lt;=16,"Afternoon (12-16)",IF(C1998&lt;=20,"Evening (17-20)","Late (21-23)")))))</f>
        <v/>
      </c>
    </row>
    <row r="1999" customFormat="false" ht="15" hidden="false" customHeight="false" outlineLevel="0" collapsed="false">
      <c r="L1999" s="37" t="str">
        <f aca="false">IF(C1999="","",IF(C1999&lt;=5,"Night (00-05)",IF(C1999&lt;=11,"Morning (06-11)",IF(C1999&lt;=16,"Afternoon (12-16)",IF(C1999&lt;=20,"Evening (17-20)","Late (21-23)")))))</f>
        <v/>
      </c>
    </row>
    <row r="2000" customFormat="false" ht="15" hidden="false" customHeight="false" outlineLevel="0" collapsed="false">
      <c r="L2000" s="37" t="str">
        <f aca="false">IF(C2000="","",IF(C2000&lt;=5,"Night (00-05)",IF(C2000&lt;=11,"Morning (06-11)",IF(C2000&lt;=16,"Afternoon (12-16)",IF(C2000&lt;=20,"Evening (17-20)","Late (21-23)")))))</f>
        <v/>
      </c>
    </row>
    <row r="2001" customFormat="false" ht="15" hidden="false" customHeight="false" outlineLevel="0" collapsed="false">
      <c r="L2001" s="37" t="str">
        <f aca="false">IF(C2001="","",IF(C2001&lt;=5,"Night (00-05)",IF(C2001&lt;=11,"Morning (06-11)",IF(C2001&lt;=16,"Afternoon (12-16)",IF(C2001&lt;=20,"Evening (17-20)","Late (21-23)")))))</f>
        <v/>
      </c>
    </row>
    <row r="2002" customFormat="false" ht="15" hidden="false" customHeight="false" outlineLevel="0" collapsed="false">
      <c r="L2002" s="37" t="str">
        <f aca="false">IF(C2002="","",IF(C2002&lt;=5,"Night (00-05)",IF(C2002&lt;=11,"Morning (06-11)",IF(C2002&lt;=16,"Afternoon (12-16)",IF(C2002&lt;=20,"Evening (17-20)","Late (21-23)")))))</f>
        <v/>
      </c>
    </row>
    <row r="2003" customFormat="false" ht="15" hidden="false" customHeight="false" outlineLevel="0" collapsed="false">
      <c r="L2003" s="37" t="str">
        <f aca="false">IF(C2003="","",IF(C2003&lt;=5,"Night (00-05)",IF(C2003&lt;=11,"Morning (06-11)",IF(C2003&lt;=16,"Afternoon (12-16)",IF(C2003&lt;=20,"Evening (17-20)","Late (21-23)")))))</f>
        <v/>
      </c>
    </row>
    <row r="2004" customFormat="false" ht="15" hidden="false" customHeight="false" outlineLevel="0" collapsed="false">
      <c r="L2004" s="37" t="str">
        <f aca="false">IF(C2004="","",IF(C2004&lt;=5,"Night (00-05)",IF(C2004&lt;=11,"Morning (06-11)",IF(C2004&lt;=16,"Afternoon (12-16)",IF(C2004&lt;=20,"Evening (17-20)","Late (21-23)")))))</f>
        <v/>
      </c>
    </row>
    <row r="2005" customFormat="false" ht="15" hidden="false" customHeight="false" outlineLevel="0" collapsed="false">
      <c r="L2005" s="37" t="str">
        <f aca="false">IF(C2005="","",IF(C2005&lt;=5,"Night (00-05)",IF(C2005&lt;=11,"Morning (06-11)",IF(C2005&lt;=16,"Afternoon (12-16)",IF(C2005&lt;=20,"Evening (17-20)","Late (21-23)")))))</f>
        <v/>
      </c>
    </row>
    <row r="2006" customFormat="false" ht="15" hidden="false" customHeight="false" outlineLevel="0" collapsed="false">
      <c r="L2006" s="37" t="str">
        <f aca="false">IF(C2006="","",IF(C2006&lt;=5,"Night (00-05)",IF(C2006&lt;=11,"Morning (06-11)",IF(C2006&lt;=16,"Afternoon (12-16)",IF(C2006&lt;=20,"Evening (17-20)","Late (21-23)")))))</f>
        <v/>
      </c>
    </row>
    <row r="2007" customFormat="false" ht="15" hidden="false" customHeight="false" outlineLevel="0" collapsed="false">
      <c r="L2007" s="37" t="str">
        <f aca="false">IF(C2007="","",IF(C2007&lt;=5,"Night (00-05)",IF(C2007&lt;=11,"Morning (06-11)",IF(C2007&lt;=16,"Afternoon (12-16)",IF(C2007&lt;=20,"Evening (17-20)","Late (21-23)")))))</f>
        <v/>
      </c>
    </row>
    <row r="2008" customFormat="false" ht="15" hidden="false" customHeight="false" outlineLevel="0" collapsed="false">
      <c r="L2008" s="37" t="str">
        <f aca="false">IF(C2008="","",IF(C2008&lt;=5,"Night (00-05)",IF(C2008&lt;=11,"Morning (06-11)",IF(C2008&lt;=16,"Afternoon (12-16)",IF(C2008&lt;=20,"Evening (17-20)","Late (21-23)")))))</f>
        <v/>
      </c>
    </row>
    <row r="2009" customFormat="false" ht="15" hidden="false" customHeight="false" outlineLevel="0" collapsed="false">
      <c r="L2009" s="37" t="str">
        <f aca="false">IF(C2009="","",IF(C2009&lt;=5,"Night (00-05)",IF(C2009&lt;=11,"Morning (06-11)",IF(C2009&lt;=16,"Afternoon (12-16)",IF(C2009&lt;=20,"Evening (17-20)","Late (21-23)")))))</f>
        <v/>
      </c>
    </row>
    <row r="2010" customFormat="false" ht="15" hidden="false" customHeight="false" outlineLevel="0" collapsed="false">
      <c r="L2010" s="37" t="str">
        <f aca="false">IF(C2010="","",IF(C2010&lt;=5,"Night (00-05)",IF(C2010&lt;=11,"Morning (06-11)",IF(C2010&lt;=16,"Afternoon (12-16)",IF(C2010&lt;=20,"Evening (17-20)","Late (21-23)")))))</f>
        <v/>
      </c>
    </row>
    <row r="2011" customFormat="false" ht="15" hidden="false" customHeight="false" outlineLevel="0" collapsed="false">
      <c r="L2011" s="37" t="str">
        <f aca="false">IF(C2011="","",IF(C2011&lt;=5,"Night (00-05)",IF(C2011&lt;=11,"Morning (06-11)",IF(C2011&lt;=16,"Afternoon (12-16)",IF(C2011&lt;=20,"Evening (17-20)","Late (21-23)")))))</f>
        <v/>
      </c>
    </row>
    <row r="2012" customFormat="false" ht="15" hidden="false" customHeight="false" outlineLevel="0" collapsed="false">
      <c r="L2012" s="37" t="str">
        <f aca="false">IF(C2012="","",IF(C2012&lt;=5,"Night (00-05)",IF(C2012&lt;=11,"Morning (06-11)",IF(C2012&lt;=16,"Afternoon (12-16)",IF(C2012&lt;=20,"Evening (17-20)","Late (21-23)")))))</f>
        <v/>
      </c>
    </row>
    <row r="2013" customFormat="false" ht="15" hidden="false" customHeight="false" outlineLevel="0" collapsed="false">
      <c r="L2013" s="37" t="str">
        <f aca="false">IF(C2013="","",IF(C2013&lt;=5,"Night (00-05)",IF(C2013&lt;=11,"Morning (06-11)",IF(C2013&lt;=16,"Afternoon (12-16)",IF(C2013&lt;=20,"Evening (17-20)","Late (21-23)")))))</f>
        <v/>
      </c>
    </row>
    <row r="2014" customFormat="false" ht="15" hidden="false" customHeight="false" outlineLevel="0" collapsed="false">
      <c r="L2014" s="37" t="str">
        <f aca="false">IF(C2014="","",IF(C2014&lt;=5,"Night (00-05)",IF(C2014&lt;=11,"Morning (06-11)",IF(C2014&lt;=16,"Afternoon (12-16)",IF(C2014&lt;=20,"Evening (17-20)","Late (21-23)")))))</f>
        <v/>
      </c>
    </row>
    <row r="2015" customFormat="false" ht="15" hidden="false" customHeight="false" outlineLevel="0" collapsed="false">
      <c r="L2015" s="37" t="str">
        <f aca="false">IF(C2015="","",IF(C2015&lt;=5,"Night (00-05)",IF(C2015&lt;=11,"Morning (06-11)",IF(C2015&lt;=16,"Afternoon (12-16)",IF(C2015&lt;=20,"Evening (17-20)","Late (21-23)")))))</f>
        <v/>
      </c>
    </row>
    <row r="2016" customFormat="false" ht="15" hidden="false" customHeight="false" outlineLevel="0" collapsed="false">
      <c r="L2016" s="37" t="str">
        <f aca="false">IF(C2016="","",IF(C2016&lt;=5,"Night (00-05)",IF(C2016&lt;=11,"Morning (06-11)",IF(C2016&lt;=16,"Afternoon (12-16)",IF(C2016&lt;=20,"Evening (17-20)","Late (21-23)")))))</f>
        <v/>
      </c>
    </row>
    <row r="2017" customFormat="false" ht="15" hidden="false" customHeight="false" outlineLevel="0" collapsed="false">
      <c r="L2017" s="37" t="str">
        <f aca="false">IF(C2017="","",IF(C2017&lt;=5,"Night (00-05)",IF(C2017&lt;=11,"Morning (06-11)",IF(C2017&lt;=16,"Afternoon (12-16)",IF(C2017&lt;=20,"Evening (17-20)","Late (21-23)")))))</f>
        <v/>
      </c>
    </row>
    <row r="2018" customFormat="false" ht="15" hidden="false" customHeight="false" outlineLevel="0" collapsed="false">
      <c r="L2018" s="37" t="str">
        <f aca="false">IF(C2018="","",IF(C2018&lt;=5,"Night (00-05)",IF(C2018&lt;=11,"Morning (06-11)",IF(C2018&lt;=16,"Afternoon (12-16)",IF(C2018&lt;=20,"Evening (17-20)","Late (21-23)")))))</f>
        <v/>
      </c>
    </row>
    <row r="2019" customFormat="false" ht="15" hidden="false" customHeight="false" outlineLevel="0" collapsed="false">
      <c r="L2019" s="37" t="str">
        <f aca="false">IF(C2019="","",IF(C2019&lt;=5,"Night (00-05)",IF(C2019&lt;=11,"Morning (06-11)",IF(C2019&lt;=16,"Afternoon (12-16)",IF(C2019&lt;=20,"Evening (17-20)","Late (21-23)")))))</f>
        <v/>
      </c>
    </row>
    <row r="2020" customFormat="false" ht="15" hidden="false" customHeight="false" outlineLevel="0" collapsed="false">
      <c r="L2020" s="37" t="str">
        <f aca="false">IF(C2020="","",IF(C2020&lt;=5,"Night (00-05)",IF(C2020&lt;=11,"Morning (06-11)",IF(C2020&lt;=16,"Afternoon (12-16)",IF(C2020&lt;=20,"Evening (17-20)","Late (21-23)")))))</f>
        <v/>
      </c>
    </row>
    <row r="2021" customFormat="false" ht="15" hidden="false" customHeight="false" outlineLevel="0" collapsed="false">
      <c r="L2021" s="37" t="str">
        <f aca="false">IF(C2021="","",IF(C2021&lt;=5,"Night (00-05)",IF(C2021&lt;=11,"Morning (06-11)",IF(C2021&lt;=16,"Afternoon (12-16)",IF(C2021&lt;=20,"Evening (17-20)","Late (21-23)")))))</f>
        <v/>
      </c>
    </row>
    <row r="2022" customFormat="false" ht="15" hidden="false" customHeight="false" outlineLevel="0" collapsed="false">
      <c r="L2022" s="37" t="str">
        <f aca="false">IF(C2022="","",IF(C2022&lt;=5,"Night (00-05)",IF(C2022&lt;=11,"Morning (06-11)",IF(C2022&lt;=16,"Afternoon (12-16)",IF(C2022&lt;=20,"Evening (17-20)","Late (21-23)")))))</f>
        <v/>
      </c>
    </row>
    <row r="2023" customFormat="false" ht="15" hidden="false" customHeight="false" outlineLevel="0" collapsed="false">
      <c r="L2023" s="37" t="str">
        <f aca="false">IF(C2023="","",IF(C2023&lt;=5,"Night (00-05)",IF(C2023&lt;=11,"Morning (06-11)",IF(C2023&lt;=16,"Afternoon (12-16)",IF(C2023&lt;=20,"Evening (17-20)","Late (21-23)")))))</f>
        <v/>
      </c>
    </row>
    <row r="2024" customFormat="false" ht="15" hidden="false" customHeight="false" outlineLevel="0" collapsed="false">
      <c r="L2024" s="37" t="str">
        <f aca="false">IF(C2024="","",IF(C2024&lt;=5,"Night (00-05)",IF(C2024&lt;=11,"Morning (06-11)",IF(C2024&lt;=16,"Afternoon (12-16)",IF(C2024&lt;=20,"Evening (17-20)","Late (21-23)")))))</f>
        <v/>
      </c>
    </row>
    <row r="2025" customFormat="false" ht="15" hidden="false" customHeight="false" outlineLevel="0" collapsed="false">
      <c r="L2025" s="37" t="str">
        <f aca="false">IF(C2025="","",IF(C2025&lt;=5,"Night (00-05)",IF(C2025&lt;=11,"Morning (06-11)",IF(C2025&lt;=16,"Afternoon (12-16)",IF(C2025&lt;=20,"Evening (17-20)","Late (21-23)")))))</f>
        <v/>
      </c>
    </row>
    <row r="2026" customFormat="false" ht="15" hidden="false" customHeight="false" outlineLevel="0" collapsed="false">
      <c r="L2026" s="37" t="str">
        <f aca="false">IF(C2026="","",IF(C2026&lt;=5,"Night (00-05)",IF(C2026&lt;=11,"Morning (06-11)",IF(C2026&lt;=16,"Afternoon (12-16)",IF(C2026&lt;=20,"Evening (17-20)","Late (21-23)")))))</f>
        <v/>
      </c>
    </row>
    <row r="2027" customFormat="false" ht="15" hidden="false" customHeight="false" outlineLevel="0" collapsed="false">
      <c r="L2027" s="37" t="str">
        <f aca="false">IF(C2027="","",IF(C2027&lt;=5,"Night (00-05)",IF(C2027&lt;=11,"Morning (06-11)",IF(C2027&lt;=16,"Afternoon (12-16)",IF(C2027&lt;=20,"Evening (17-20)","Late (21-23)")))))</f>
        <v/>
      </c>
    </row>
    <row r="2028" customFormat="false" ht="15" hidden="false" customHeight="false" outlineLevel="0" collapsed="false">
      <c r="L2028" s="37" t="str">
        <f aca="false">IF(C2028="","",IF(C2028&lt;=5,"Night (00-05)",IF(C2028&lt;=11,"Morning (06-11)",IF(C2028&lt;=16,"Afternoon (12-16)",IF(C2028&lt;=20,"Evening (17-20)","Late (21-23)")))))</f>
        <v/>
      </c>
    </row>
    <row r="2029" customFormat="false" ht="15" hidden="false" customHeight="false" outlineLevel="0" collapsed="false">
      <c r="L2029" s="37" t="str">
        <f aca="false">IF(C2029="","",IF(C2029&lt;=5,"Night (00-05)",IF(C2029&lt;=11,"Morning (06-11)",IF(C2029&lt;=16,"Afternoon (12-16)",IF(C2029&lt;=20,"Evening (17-20)","Late (21-23)")))))</f>
        <v/>
      </c>
    </row>
    <row r="2030" customFormat="false" ht="15" hidden="false" customHeight="false" outlineLevel="0" collapsed="false">
      <c r="L2030" s="37" t="str">
        <f aca="false">IF(C2030="","",IF(C2030&lt;=5,"Night (00-05)",IF(C2030&lt;=11,"Morning (06-11)",IF(C2030&lt;=16,"Afternoon (12-16)",IF(C2030&lt;=20,"Evening (17-20)","Late (21-23)")))))</f>
        <v/>
      </c>
    </row>
    <row r="2031" customFormat="false" ht="15" hidden="false" customHeight="false" outlineLevel="0" collapsed="false">
      <c r="L2031" s="37" t="str">
        <f aca="false">IF(C2031="","",IF(C2031&lt;=5,"Night (00-05)",IF(C2031&lt;=11,"Morning (06-11)",IF(C2031&lt;=16,"Afternoon (12-16)",IF(C2031&lt;=20,"Evening (17-20)","Late (21-23)")))))</f>
        <v/>
      </c>
    </row>
    <row r="2032" customFormat="false" ht="15" hidden="false" customHeight="false" outlineLevel="0" collapsed="false">
      <c r="L2032" s="37" t="str">
        <f aca="false">IF(C2032="","",IF(C2032&lt;=5,"Night (00-05)",IF(C2032&lt;=11,"Morning (06-11)",IF(C2032&lt;=16,"Afternoon (12-16)",IF(C2032&lt;=20,"Evening (17-20)","Late (21-23)")))))</f>
        <v/>
      </c>
    </row>
    <row r="2033" customFormat="false" ht="15" hidden="false" customHeight="false" outlineLevel="0" collapsed="false">
      <c r="L2033" s="37" t="str">
        <f aca="false">IF(C2033="","",IF(C2033&lt;=5,"Night (00-05)",IF(C2033&lt;=11,"Morning (06-11)",IF(C2033&lt;=16,"Afternoon (12-16)",IF(C2033&lt;=20,"Evening (17-20)","Late (21-23)")))))</f>
        <v/>
      </c>
    </row>
    <row r="2034" customFormat="false" ht="15" hidden="false" customHeight="false" outlineLevel="0" collapsed="false">
      <c r="L2034" s="37" t="str">
        <f aca="false">IF(C2034="","",IF(C2034&lt;=5,"Night (00-05)",IF(C2034&lt;=11,"Morning (06-11)",IF(C2034&lt;=16,"Afternoon (12-16)",IF(C2034&lt;=20,"Evening (17-20)","Late (21-23)")))))</f>
        <v/>
      </c>
    </row>
    <row r="2035" customFormat="false" ht="15" hidden="false" customHeight="false" outlineLevel="0" collapsed="false">
      <c r="L2035" s="37" t="str">
        <f aca="false">IF(C2035="","",IF(C2035&lt;=5,"Night (00-05)",IF(C2035&lt;=11,"Morning (06-11)",IF(C2035&lt;=16,"Afternoon (12-16)",IF(C2035&lt;=20,"Evening (17-20)","Late (21-23)")))))</f>
        <v/>
      </c>
    </row>
    <row r="2036" customFormat="false" ht="15" hidden="false" customHeight="false" outlineLevel="0" collapsed="false">
      <c r="L2036" s="37" t="str">
        <f aca="false">IF(C2036="","",IF(C2036&lt;=5,"Night (00-05)",IF(C2036&lt;=11,"Morning (06-11)",IF(C2036&lt;=16,"Afternoon (12-16)",IF(C2036&lt;=20,"Evening (17-20)","Late (21-23)")))))</f>
        <v/>
      </c>
    </row>
    <row r="2037" customFormat="false" ht="15" hidden="false" customHeight="false" outlineLevel="0" collapsed="false">
      <c r="L2037" s="37" t="str">
        <f aca="false">IF(C2037="","",IF(C2037&lt;=5,"Night (00-05)",IF(C2037&lt;=11,"Morning (06-11)",IF(C2037&lt;=16,"Afternoon (12-16)",IF(C2037&lt;=20,"Evening (17-20)","Late (21-23)")))))</f>
        <v/>
      </c>
    </row>
    <row r="2038" customFormat="false" ht="15" hidden="false" customHeight="false" outlineLevel="0" collapsed="false">
      <c r="L2038" s="37" t="str">
        <f aca="false">IF(C2038="","",IF(C2038&lt;=5,"Night (00-05)",IF(C2038&lt;=11,"Morning (06-11)",IF(C2038&lt;=16,"Afternoon (12-16)",IF(C2038&lt;=20,"Evening (17-20)","Late (21-23)")))))</f>
        <v/>
      </c>
    </row>
    <row r="2039" customFormat="false" ht="15" hidden="false" customHeight="false" outlineLevel="0" collapsed="false">
      <c r="L2039" s="37" t="str">
        <f aca="false">IF(C2039="","",IF(C2039&lt;=5,"Night (00-05)",IF(C2039&lt;=11,"Morning (06-11)",IF(C2039&lt;=16,"Afternoon (12-16)",IF(C2039&lt;=20,"Evening (17-20)","Late (21-23)")))))</f>
        <v/>
      </c>
    </row>
    <row r="2040" customFormat="false" ht="15" hidden="false" customHeight="false" outlineLevel="0" collapsed="false">
      <c r="L2040" s="37" t="str">
        <f aca="false">IF(C2040="","",IF(C2040&lt;=5,"Night (00-05)",IF(C2040&lt;=11,"Morning (06-11)",IF(C2040&lt;=16,"Afternoon (12-16)",IF(C2040&lt;=20,"Evening (17-20)","Late (21-23)")))))</f>
        <v/>
      </c>
    </row>
    <row r="2041" customFormat="false" ht="15" hidden="false" customHeight="false" outlineLevel="0" collapsed="false">
      <c r="L2041" s="37" t="str">
        <f aca="false">IF(C2041="","",IF(C2041&lt;=5,"Night (00-05)",IF(C2041&lt;=11,"Morning (06-11)",IF(C2041&lt;=16,"Afternoon (12-16)",IF(C2041&lt;=20,"Evening (17-20)","Late (21-23)")))))</f>
        <v/>
      </c>
    </row>
    <row r="2042" customFormat="false" ht="15" hidden="false" customHeight="false" outlineLevel="0" collapsed="false">
      <c r="L2042" s="37" t="str">
        <f aca="false">IF(C2042="","",IF(C2042&lt;=5,"Night (00-05)",IF(C2042&lt;=11,"Morning (06-11)",IF(C2042&lt;=16,"Afternoon (12-16)",IF(C2042&lt;=20,"Evening (17-20)","Late (21-23)")))))</f>
        <v/>
      </c>
    </row>
    <row r="2043" customFormat="false" ht="15" hidden="false" customHeight="false" outlineLevel="0" collapsed="false">
      <c r="L2043" s="37" t="str">
        <f aca="false">IF(C2043="","",IF(C2043&lt;=5,"Night (00-05)",IF(C2043&lt;=11,"Morning (06-11)",IF(C2043&lt;=16,"Afternoon (12-16)",IF(C2043&lt;=20,"Evening (17-20)","Late (21-23)")))))</f>
        <v/>
      </c>
    </row>
    <row r="2044" customFormat="false" ht="15" hidden="false" customHeight="false" outlineLevel="0" collapsed="false">
      <c r="L2044" s="37" t="str">
        <f aca="false">IF(C2044="","",IF(C2044&lt;=5,"Night (00-05)",IF(C2044&lt;=11,"Morning (06-11)",IF(C2044&lt;=16,"Afternoon (12-16)",IF(C2044&lt;=20,"Evening (17-20)","Late (21-23)")))))</f>
        <v/>
      </c>
    </row>
    <row r="2045" customFormat="false" ht="15" hidden="false" customHeight="false" outlineLevel="0" collapsed="false">
      <c r="L2045" s="37" t="str">
        <f aca="false">IF(C2045="","",IF(C2045&lt;=5,"Night (00-05)",IF(C2045&lt;=11,"Morning (06-11)",IF(C2045&lt;=16,"Afternoon (12-16)",IF(C2045&lt;=20,"Evening (17-20)","Late (21-23)")))))</f>
        <v/>
      </c>
    </row>
    <row r="2046" customFormat="false" ht="15" hidden="false" customHeight="false" outlineLevel="0" collapsed="false">
      <c r="L2046" s="37" t="str">
        <f aca="false">IF(C2046="","",IF(C2046&lt;=5,"Night (00-05)",IF(C2046&lt;=11,"Morning (06-11)",IF(C2046&lt;=16,"Afternoon (12-16)",IF(C2046&lt;=20,"Evening (17-20)","Late (21-23)")))))</f>
        <v/>
      </c>
    </row>
    <row r="2047" customFormat="false" ht="15" hidden="false" customHeight="false" outlineLevel="0" collapsed="false">
      <c r="L2047" s="37" t="str">
        <f aca="false">IF(C2047="","",IF(C2047&lt;=5,"Night (00-05)",IF(C2047&lt;=11,"Morning (06-11)",IF(C2047&lt;=16,"Afternoon (12-16)",IF(C2047&lt;=20,"Evening (17-20)","Late (21-23)")))))</f>
        <v/>
      </c>
    </row>
    <row r="2048" customFormat="false" ht="15" hidden="false" customHeight="false" outlineLevel="0" collapsed="false">
      <c r="L2048" s="37" t="str">
        <f aca="false">IF(C2048="","",IF(C2048&lt;=5,"Night (00-05)",IF(C2048&lt;=11,"Morning (06-11)",IF(C2048&lt;=16,"Afternoon (12-16)",IF(C2048&lt;=20,"Evening (17-20)","Late (21-23)")))))</f>
        <v/>
      </c>
    </row>
    <row r="2049" customFormat="false" ht="15" hidden="false" customHeight="false" outlineLevel="0" collapsed="false">
      <c r="L2049" s="37" t="str">
        <f aca="false">IF(C2049="","",IF(C2049&lt;=5,"Night (00-05)",IF(C2049&lt;=11,"Morning (06-11)",IF(C2049&lt;=16,"Afternoon (12-16)",IF(C2049&lt;=20,"Evening (17-20)","Late (21-23)")))))</f>
        <v/>
      </c>
    </row>
    <row r="2050" customFormat="false" ht="15" hidden="false" customHeight="false" outlineLevel="0" collapsed="false">
      <c r="L2050" s="37" t="str">
        <f aca="false">IF(C2050="","",IF(C2050&lt;=5,"Night (00-05)",IF(C2050&lt;=11,"Morning (06-11)",IF(C2050&lt;=16,"Afternoon (12-16)",IF(C2050&lt;=20,"Evening (17-20)","Late (21-23)")))))</f>
        <v/>
      </c>
    </row>
    <row r="2051" customFormat="false" ht="15" hidden="false" customHeight="false" outlineLevel="0" collapsed="false">
      <c r="L2051" s="37" t="str">
        <f aca="false">IF(C2051="","",IF(C2051&lt;=5,"Night (00-05)",IF(C2051&lt;=11,"Morning (06-11)",IF(C2051&lt;=16,"Afternoon (12-16)",IF(C2051&lt;=20,"Evening (17-20)","Late (21-23)")))))</f>
        <v/>
      </c>
    </row>
    <row r="2052" customFormat="false" ht="15" hidden="false" customHeight="false" outlineLevel="0" collapsed="false">
      <c r="L2052" s="37" t="str">
        <f aca="false">IF(C2052="","",IF(C2052&lt;=5,"Night (00-05)",IF(C2052&lt;=11,"Morning (06-11)",IF(C2052&lt;=16,"Afternoon (12-16)",IF(C2052&lt;=20,"Evening (17-20)","Late (21-23)")))))</f>
        <v/>
      </c>
    </row>
    <row r="2053" customFormat="false" ht="15" hidden="false" customHeight="false" outlineLevel="0" collapsed="false">
      <c r="L2053" s="37" t="str">
        <f aca="false">IF(C2053="","",IF(C2053&lt;=5,"Night (00-05)",IF(C2053&lt;=11,"Morning (06-11)",IF(C2053&lt;=16,"Afternoon (12-16)",IF(C2053&lt;=20,"Evening (17-20)","Late (21-23)")))))</f>
        <v/>
      </c>
    </row>
    <row r="2054" customFormat="false" ht="15" hidden="false" customHeight="false" outlineLevel="0" collapsed="false">
      <c r="L2054" s="37" t="str">
        <f aca="false">IF(C2054="","",IF(C2054&lt;=5,"Night (00-05)",IF(C2054&lt;=11,"Morning (06-11)",IF(C2054&lt;=16,"Afternoon (12-16)",IF(C2054&lt;=20,"Evening (17-20)","Late (21-23)")))))</f>
        <v/>
      </c>
    </row>
    <row r="2055" customFormat="false" ht="15" hidden="false" customHeight="false" outlineLevel="0" collapsed="false">
      <c r="L2055" s="37" t="str">
        <f aca="false">IF(C2055="","",IF(C2055&lt;=5,"Night (00-05)",IF(C2055&lt;=11,"Morning (06-11)",IF(C2055&lt;=16,"Afternoon (12-16)",IF(C2055&lt;=20,"Evening (17-20)","Late (21-23)")))))</f>
        <v/>
      </c>
    </row>
    <row r="2056" customFormat="false" ht="15" hidden="false" customHeight="false" outlineLevel="0" collapsed="false">
      <c r="L2056" s="37" t="str">
        <f aca="false">IF(C2056="","",IF(C2056&lt;=5,"Night (00-05)",IF(C2056&lt;=11,"Morning (06-11)",IF(C2056&lt;=16,"Afternoon (12-16)",IF(C2056&lt;=20,"Evening (17-20)","Late (21-23)")))))</f>
        <v/>
      </c>
    </row>
    <row r="2057" customFormat="false" ht="15" hidden="false" customHeight="false" outlineLevel="0" collapsed="false">
      <c r="L2057" s="37" t="str">
        <f aca="false">IF(C2057="","",IF(C2057&lt;=5,"Night (00-05)",IF(C2057&lt;=11,"Morning (06-11)",IF(C2057&lt;=16,"Afternoon (12-16)",IF(C2057&lt;=20,"Evening (17-20)","Late (21-23)")))))</f>
        <v/>
      </c>
    </row>
    <row r="2058" customFormat="false" ht="15" hidden="false" customHeight="false" outlineLevel="0" collapsed="false">
      <c r="L2058" s="37" t="str">
        <f aca="false">IF(C2058="","",IF(C2058&lt;=5,"Night (00-05)",IF(C2058&lt;=11,"Morning (06-11)",IF(C2058&lt;=16,"Afternoon (12-16)",IF(C2058&lt;=20,"Evening (17-20)","Late (21-23)")))))</f>
        <v/>
      </c>
    </row>
    <row r="2059" customFormat="false" ht="15" hidden="false" customHeight="false" outlineLevel="0" collapsed="false">
      <c r="L2059" s="37" t="str">
        <f aca="false">IF(C2059="","",IF(C2059&lt;=5,"Night (00-05)",IF(C2059&lt;=11,"Morning (06-11)",IF(C2059&lt;=16,"Afternoon (12-16)",IF(C2059&lt;=20,"Evening (17-20)","Late (21-23)")))))</f>
        <v/>
      </c>
    </row>
    <row r="2060" customFormat="false" ht="15" hidden="false" customHeight="false" outlineLevel="0" collapsed="false">
      <c r="L2060" s="37" t="str">
        <f aca="false">IF(C2060="","",IF(C2060&lt;=5,"Night (00-05)",IF(C2060&lt;=11,"Morning (06-11)",IF(C2060&lt;=16,"Afternoon (12-16)",IF(C2060&lt;=20,"Evening (17-20)","Late (21-23)")))))</f>
        <v/>
      </c>
    </row>
    <row r="2061" customFormat="false" ht="15" hidden="false" customHeight="false" outlineLevel="0" collapsed="false">
      <c r="L2061" s="37" t="str">
        <f aca="false">IF(C2061="","",IF(C2061&lt;=5,"Night (00-05)",IF(C2061&lt;=11,"Morning (06-11)",IF(C2061&lt;=16,"Afternoon (12-16)",IF(C2061&lt;=20,"Evening (17-20)","Late (21-23)")))))</f>
        <v/>
      </c>
    </row>
    <row r="2062" customFormat="false" ht="15" hidden="false" customHeight="false" outlineLevel="0" collapsed="false">
      <c r="L2062" s="37" t="str">
        <f aca="false">IF(C2062="","",IF(C2062&lt;=5,"Night (00-05)",IF(C2062&lt;=11,"Morning (06-11)",IF(C2062&lt;=16,"Afternoon (12-16)",IF(C2062&lt;=20,"Evening (17-20)","Late (21-23)")))))</f>
        <v/>
      </c>
    </row>
    <row r="2063" customFormat="false" ht="15" hidden="false" customHeight="false" outlineLevel="0" collapsed="false">
      <c r="L2063" s="37" t="str">
        <f aca="false">IF(C2063="","",IF(C2063&lt;=5,"Night (00-05)",IF(C2063&lt;=11,"Morning (06-11)",IF(C2063&lt;=16,"Afternoon (12-16)",IF(C2063&lt;=20,"Evening (17-20)","Late (21-23)")))))</f>
        <v/>
      </c>
    </row>
    <row r="2064" customFormat="false" ht="15" hidden="false" customHeight="false" outlineLevel="0" collapsed="false">
      <c r="L2064" s="37" t="str">
        <f aca="false">IF(C2064="","",IF(C2064&lt;=5,"Night (00-05)",IF(C2064&lt;=11,"Morning (06-11)",IF(C2064&lt;=16,"Afternoon (12-16)",IF(C2064&lt;=20,"Evening (17-20)","Late (21-23)")))))</f>
        <v/>
      </c>
    </row>
    <row r="2065" customFormat="false" ht="15" hidden="false" customHeight="false" outlineLevel="0" collapsed="false">
      <c r="L2065" s="37" t="str">
        <f aca="false">IF(C2065="","",IF(C2065&lt;=5,"Night (00-05)",IF(C2065&lt;=11,"Morning (06-11)",IF(C2065&lt;=16,"Afternoon (12-16)",IF(C2065&lt;=20,"Evening (17-20)","Late (21-23)")))))</f>
        <v/>
      </c>
    </row>
    <row r="2066" customFormat="false" ht="15" hidden="false" customHeight="false" outlineLevel="0" collapsed="false">
      <c r="L2066" s="37" t="str">
        <f aca="false">IF(C2066="","",IF(C2066&lt;=5,"Night (00-05)",IF(C2066&lt;=11,"Morning (06-11)",IF(C2066&lt;=16,"Afternoon (12-16)",IF(C2066&lt;=20,"Evening (17-20)","Late (21-23)")))))</f>
        <v/>
      </c>
    </row>
    <row r="2067" customFormat="false" ht="15" hidden="false" customHeight="false" outlineLevel="0" collapsed="false">
      <c r="L2067" s="37" t="str">
        <f aca="false">IF(C2067="","",IF(C2067&lt;=5,"Night (00-05)",IF(C2067&lt;=11,"Morning (06-11)",IF(C2067&lt;=16,"Afternoon (12-16)",IF(C2067&lt;=20,"Evening (17-20)","Late (21-23)")))))</f>
        <v/>
      </c>
    </row>
    <row r="2068" customFormat="false" ht="15" hidden="false" customHeight="false" outlineLevel="0" collapsed="false">
      <c r="L2068" s="37" t="str">
        <f aca="false">IF(C2068="","",IF(C2068&lt;=5,"Night (00-05)",IF(C2068&lt;=11,"Morning (06-11)",IF(C2068&lt;=16,"Afternoon (12-16)",IF(C2068&lt;=20,"Evening (17-20)","Late (21-23)")))))</f>
        <v/>
      </c>
    </row>
    <row r="2069" customFormat="false" ht="15" hidden="false" customHeight="false" outlineLevel="0" collapsed="false">
      <c r="L2069" s="37" t="str">
        <f aca="false">IF(C2069="","",IF(C2069&lt;=5,"Night (00-05)",IF(C2069&lt;=11,"Morning (06-11)",IF(C2069&lt;=16,"Afternoon (12-16)",IF(C2069&lt;=20,"Evening (17-20)","Late (21-23)")))))</f>
        <v/>
      </c>
    </row>
    <row r="2070" customFormat="false" ht="15" hidden="false" customHeight="false" outlineLevel="0" collapsed="false">
      <c r="L2070" s="37" t="str">
        <f aca="false">IF(C2070="","",IF(C2070&lt;=5,"Night (00-05)",IF(C2070&lt;=11,"Morning (06-11)",IF(C2070&lt;=16,"Afternoon (12-16)",IF(C2070&lt;=20,"Evening (17-20)","Late (21-23)")))))</f>
        <v/>
      </c>
    </row>
    <row r="2071" customFormat="false" ht="15" hidden="false" customHeight="false" outlineLevel="0" collapsed="false">
      <c r="L2071" s="37" t="str">
        <f aca="false">IF(C2071="","",IF(C2071&lt;=5,"Night (00-05)",IF(C2071&lt;=11,"Morning (06-11)",IF(C2071&lt;=16,"Afternoon (12-16)",IF(C2071&lt;=20,"Evening (17-20)","Late (21-23)")))))</f>
        <v/>
      </c>
    </row>
    <row r="2072" customFormat="false" ht="15" hidden="false" customHeight="false" outlineLevel="0" collapsed="false">
      <c r="L2072" s="37" t="str">
        <f aca="false">IF(C2072="","",IF(C2072&lt;=5,"Night (00-05)",IF(C2072&lt;=11,"Morning (06-11)",IF(C2072&lt;=16,"Afternoon (12-16)",IF(C2072&lt;=20,"Evening (17-20)","Late (21-23)")))))</f>
        <v/>
      </c>
    </row>
    <row r="2073" customFormat="false" ht="15" hidden="false" customHeight="false" outlineLevel="0" collapsed="false">
      <c r="L2073" s="37" t="str">
        <f aca="false">IF(C2073="","",IF(C2073&lt;=5,"Night (00-05)",IF(C2073&lt;=11,"Morning (06-11)",IF(C2073&lt;=16,"Afternoon (12-16)",IF(C2073&lt;=20,"Evening (17-20)","Late (21-23)")))))</f>
        <v/>
      </c>
    </row>
    <row r="2074" customFormat="false" ht="15" hidden="false" customHeight="false" outlineLevel="0" collapsed="false">
      <c r="L2074" s="37" t="str">
        <f aca="false">IF(C2074="","",IF(C2074&lt;=5,"Night (00-05)",IF(C2074&lt;=11,"Morning (06-11)",IF(C2074&lt;=16,"Afternoon (12-16)",IF(C2074&lt;=20,"Evening (17-20)","Late (21-23)")))))</f>
        <v/>
      </c>
    </row>
    <row r="2075" customFormat="false" ht="15" hidden="false" customHeight="false" outlineLevel="0" collapsed="false">
      <c r="L2075" s="37" t="str">
        <f aca="false">IF(C2075="","",IF(C2075&lt;=5,"Night (00-05)",IF(C2075&lt;=11,"Morning (06-11)",IF(C2075&lt;=16,"Afternoon (12-16)",IF(C2075&lt;=20,"Evening (17-20)","Late (21-23)")))))</f>
        <v/>
      </c>
    </row>
    <row r="2076" customFormat="false" ht="15" hidden="false" customHeight="false" outlineLevel="0" collapsed="false">
      <c r="L2076" s="37" t="str">
        <f aca="false">IF(C2076="","",IF(C2076&lt;=5,"Night (00-05)",IF(C2076&lt;=11,"Morning (06-11)",IF(C2076&lt;=16,"Afternoon (12-16)",IF(C2076&lt;=20,"Evening (17-20)","Late (21-23)")))))</f>
        <v/>
      </c>
    </row>
    <row r="2077" customFormat="false" ht="15" hidden="false" customHeight="false" outlineLevel="0" collapsed="false">
      <c r="L2077" s="37" t="str">
        <f aca="false">IF(C2077="","",IF(C2077&lt;=5,"Night (00-05)",IF(C2077&lt;=11,"Morning (06-11)",IF(C2077&lt;=16,"Afternoon (12-16)",IF(C2077&lt;=20,"Evening (17-20)","Late (21-23)")))))</f>
        <v/>
      </c>
    </row>
    <row r="2078" customFormat="false" ht="15" hidden="false" customHeight="false" outlineLevel="0" collapsed="false">
      <c r="L2078" s="37" t="str">
        <f aca="false">IF(C2078="","",IF(C2078&lt;=5,"Night (00-05)",IF(C2078&lt;=11,"Morning (06-11)",IF(C2078&lt;=16,"Afternoon (12-16)",IF(C2078&lt;=20,"Evening (17-20)","Late (21-23)")))))</f>
        <v/>
      </c>
    </row>
    <row r="2079" customFormat="false" ht="15" hidden="false" customHeight="false" outlineLevel="0" collapsed="false">
      <c r="L2079" s="37" t="str">
        <f aca="false">IF(C2079="","",IF(C2079&lt;=5,"Night (00-05)",IF(C2079&lt;=11,"Morning (06-11)",IF(C2079&lt;=16,"Afternoon (12-16)",IF(C2079&lt;=20,"Evening (17-20)","Late (21-23)")))))</f>
        <v/>
      </c>
    </row>
    <row r="2080" customFormat="false" ht="15" hidden="false" customHeight="false" outlineLevel="0" collapsed="false">
      <c r="L2080" s="37" t="str">
        <f aca="false">IF(C2080="","",IF(C2080&lt;=5,"Night (00-05)",IF(C2080&lt;=11,"Morning (06-11)",IF(C2080&lt;=16,"Afternoon (12-16)",IF(C2080&lt;=20,"Evening (17-20)","Late (21-23)")))))</f>
        <v/>
      </c>
    </row>
    <row r="2081" customFormat="false" ht="15" hidden="false" customHeight="false" outlineLevel="0" collapsed="false">
      <c r="L2081" s="37" t="str">
        <f aca="false">IF(C2081="","",IF(C2081&lt;=5,"Night (00-05)",IF(C2081&lt;=11,"Morning (06-11)",IF(C2081&lt;=16,"Afternoon (12-16)",IF(C2081&lt;=20,"Evening (17-20)","Late (21-23)")))))</f>
        <v/>
      </c>
    </row>
    <row r="2082" customFormat="false" ht="15" hidden="false" customHeight="false" outlineLevel="0" collapsed="false">
      <c r="L2082" s="37" t="str">
        <f aca="false">IF(C2082="","",IF(C2082&lt;=5,"Night (00-05)",IF(C2082&lt;=11,"Morning (06-11)",IF(C2082&lt;=16,"Afternoon (12-16)",IF(C2082&lt;=20,"Evening (17-20)","Late (21-23)")))))</f>
        <v/>
      </c>
    </row>
    <row r="2083" customFormat="false" ht="15" hidden="false" customHeight="false" outlineLevel="0" collapsed="false">
      <c r="L2083" s="37" t="str">
        <f aca="false">IF(C2083="","",IF(C2083&lt;=5,"Night (00-05)",IF(C2083&lt;=11,"Morning (06-11)",IF(C2083&lt;=16,"Afternoon (12-16)",IF(C2083&lt;=20,"Evening (17-20)","Late (21-23)")))))</f>
        <v/>
      </c>
    </row>
    <row r="2084" customFormat="false" ht="15" hidden="false" customHeight="false" outlineLevel="0" collapsed="false">
      <c r="L2084" s="37" t="str">
        <f aca="false">IF(C2084="","",IF(C2084&lt;=5,"Night (00-05)",IF(C2084&lt;=11,"Morning (06-11)",IF(C2084&lt;=16,"Afternoon (12-16)",IF(C2084&lt;=20,"Evening (17-20)","Late (21-23)")))))</f>
        <v/>
      </c>
    </row>
    <row r="2085" customFormat="false" ht="15" hidden="false" customHeight="false" outlineLevel="0" collapsed="false">
      <c r="L2085" s="37" t="str">
        <f aca="false">IF(C2085="","",IF(C2085&lt;=5,"Night (00-05)",IF(C2085&lt;=11,"Morning (06-11)",IF(C2085&lt;=16,"Afternoon (12-16)",IF(C2085&lt;=20,"Evening (17-20)","Late (21-23)")))))</f>
        <v/>
      </c>
    </row>
    <row r="2086" customFormat="false" ht="15" hidden="false" customHeight="false" outlineLevel="0" collapsed="false">
      <c r="L2086" s="37" t="str">
        <f aca="false">IF(C2086="","",IF(C2086&lt;=5,"Night (00-05)",IF(C2086&lt;=11,"Morning (06-11)",IF(C2086&lt;=16,"Afternoon (12-16)",IF(C2086&lt;=20,"Evening (17-20)","Late (21-23)")))))</f>
        <v/>
      </c>
    </row>
    <row r="2087" customFormat="false" ht="15" hidden="false" customHeight="false" outlineLevel="0" collapsed="false">
      <c r="L2087" s="37" t="str">
        <f aca="false">IF(C2087="","",IF(C2087&lt;=5,"Night (00-05)",IF(C2087&lt;=11,"Morning (06-11)",IF(C2087&lt;=16,"Afternoon (12-16)",IF(C2087&lt;=20,"Evening (17-20)","Late (21-23)")))))</f>
        <v/>
      </c>
    </row>
    <row r="2088" customFormat="false" ht="15" hidden="false" customHeight="false" outlineLevel="0" collapsed="false">
      <c r="L2088" s="37" t="str">
        <f aca="false">IF(C2088="","",IF(C2088&lt;=5,"Night (00-05)",IF(C2088&lt;=11,"Morning (06-11)",IF(C2088&lt;=16,"Afternoon (12-16)",IF(C2088&lt;=20,"Evening (17-20)","Late (21-23)")))))</f>
        <v/>
      </c>
    </row>
    <row r="2089" customFormat="false" ht="15" hidden="false" customHeight="false" outlineLevel="0" collapsed="false">
      <c r="L2089" s="37" t="str">
        <f aca="false">IF(C2089="","",IF(C2089&lt;=5,"Night (00-05)",IF(C2089&lt;=11,"Morning (06-11)",IF(C2089&lt;=16,"Afternoon (12-16)",IF(C2089&lt;=20,"Evening (17-20)","Late (21-23)")))))</f>
        <v/>
      </c>
    </row>
    <row r="2090" customFormat="false" ht="15" hidden="false" customHeight="false" outlineLevel="0" collapsed="false">
      <c r="L2090" s="37" t="str">
        <f aca="false">IF(C2090="","",IF(C2090&lt;=5,"Night (00-05)",IF(C2090&lt;=11,"Morning (06-11)",IF(C2090&lt;=16,"Afternoon (12-16)",IF(C2090&lt;=20,"Evening (17-20)","Late (21-23)")))))</f>
        <v/>
      </c>
    </row>
    <row r="2091" customFormat="false" ht="15" hidden="false" customHeight="false" outlineLevel="0" collapsed="false">
      <c r="L2091" s="37" t="str">
        <f aca="false">IF(C2091="","",IF(C2091&lt;=5,"Night (00-05)",IF(C2091&lt;=11,"Morning (06-11)",IF(C2091&lt;=16,"Afternoon (12-16)",IF(C2091&lt;=20,"Evening (17-20)","Late (21-23)")))))</f>
        <v/>
      </c>
    </row>
    <row r="2092" customFormat="false" ht="15" hidden="false" customHeight="false" outlineLevel="0" collapsed="false">
      <c r="L2092" s="37" t="str">
        <f aca="false">IF(C2092="","",IF(C2092&lt;=5,"Night (00-05)",IF(C2092&lt;=11,"Morning (06-11)",IF(C2092&lt;=16,"Afternoon (12-16)",IF(C2092&lt;=20,"Evening (17-20)","Late (21-23)")))))</f>
        <v/>
      </c>
    </row>
    <row r="2093" customFormat="false" ht="15" hidden="false" customHeight="false" outlineLevel="0" collapsed="false">
      <c r="L2093" s="37" t="str">
        <f aca="false">IF(C2093="","",IF(C2093&lt;=5,"Night (00-05)",IF(C2093&lt;=11,"Morning (06-11)",IF(C2093&lt;=16,"Afternoon (12-16)",IF(C2093&lt;=20,"Evening (17-20)","Late (21-23)")))))</f>
        <v/>
      </c>
    </row>
    <row r="2094" customFormat="false" ht="15" hidden="false" customHeight="false" outlineLevel="0" collapsed="false">
      <c r="L2094" s="37" t="str">
        <f aca="false">IF(C2094="","",IF(C2094&lt;=5,"Night (00-05)",IF(C2094&lt;=11,"Morning (06-11)",IF(C2094&lt;=16,"Afternoon (12-16)",IF(C2094&lt;=20,"Evening (17-20)","Late (21-23)")))))</f>
        <v/>
      </c>
    </row>
    <row r="2095" customFormat="false" ht="15" hidden="false" customHeight="false" outlineLevel="0" collapsed="false">
      <c r="L2095" s="37" t="str">
        <f aca="false">IF(C2095="","",IF(C2095&lt;=5,"Night (00-05)",IF(C2095&lt;=11,"Morning (06-11)",IF(C2095&lt;=16,"Afternoon (12-16)",IF(C2095&lt;=20,"Evening (17-20)","Late (21-23)")))))</f>
        <v/>
      </c>
    </row>
    <row r="2096" customFormat="false" ht="15" hidden="false" customHeight="false" outlineLevel="0" collapsed="false">
      <c r="L2096" s="37" t="str">
        <f aca="false">IF(C2096="","",IF(C2096&lt;=5,"Night (00-05)",IF(C2096&lt;=11,"Morning (06-11)",IF(C2096&lt;=16,"Afternoon (12-16)",IF(C2096&lt;=20,"Evening (17-20)","Late (21-23)")))))</f>
        <v/>
      </c>
    </row>
    <row r="2097" customFormat="false" ht="15" hidden="false" customHeight="false" outlineLevel="0" collapsed="false">
      <c r="L2097" s="37" t="str">
        <f aca="false">IF(C2097="","",IF(C2097&lt;=5,"Night (00-05)",IF(C2097&lt;=11,"Morning (06-11)",IF(C2097&lt;=16,"Afternoon (12-16)",IF(C2097&lt;=20,"Evening (17-20)","Late (21-23)")))))</f>
        <v/>
      </c>
    </row>
    <row r="2098" customFormat="false" ht="15" hidden="false" customHeight="false" outlineLevel="0" collapsed="false">
      <c r="L2098" s="37" t="str">
        <f aca="false">IF(C2098="","",IF(C2098&lt;=5,"Night (00-05)",IF(C2098&lt;=11,"Morning (06-11)",IF(C2098&lt;=16,"Afternoon (12-16)",IF(C2098&lt;=20,"Evening (17-20)","Late (21-23)")))))</f>
        <v/>
      </c>
    </row>
    <row r="2099" customFormat="false" ht="15" hidden="false" customHeight="false" outlineLevel="0" collapsed="false">
      <c r="L2099" s="37" t="str">
        <f aca="false">IF(C2099="","",IF(C2099&lt;=5,"Night (00-05)",IF(C2099&lt;=11,"Morning (06-11)",IF(C2099&lt;=16,"Afternoon (12-16)",IF(C2099&lt;=20,"Evening (17-20)","Late (21-23)")))))</f>
        <v/>
      </c>
    </row>
    <row r="2100" customFormat="false" ht="15" hidden="false" customHeight="false" outlineLevel="0" collapsed="false">
      <c r="L2100" s="37" t="str">
        <f aca="false">IF(C2100="","",IF(C2100&lt;=5,"Night (00-05)",IF(C2100&lt;=11,"Morning (06-11)",IF(C2100&lt;=16,"Afternoon (12-16)",IF(C2100&lt;=20,"Evening (17-20)","Late (21-23)")))))</f>
        <v/>
      </c>
    </row>
    <row r="2101" customFormat="false" ht="15" hidden="false" customHeight="false" outlineLevel="0" collapsed="false">
      <c r="L2101" s="37" t="str">
        <f aca="false">IF(C2101="","",IF(C2101&lt;=5,"Night (00-05)",IF(C2101&lt;=11,"Morning (06-11)",IF(C2101&lt;=16,"Afternoon (12-16)",IF(C2101&lt;=20,"Evening (17-20)","Late (21-23)")))))</f>
        <v/>
      </c>
    </row>
    <row r="2102" customFormat="false" ht="15" hidden="false" customHeight="false" outlineLevel="0" collapsed="false">
      <c r="L2102" s="37" t="str">
        <f aca="false">IF(C2102="","",IF(C2102&lt;=5,"Night (00-05)",IF(C2102&lt;=11,"Morning (06-11)",IF(C2102&lt;=16,"Afternoon (12-16)",IF(C2102&lt;=20,"Evening (17-20)","Late (21-23)")))))</f>
        <v/>
      </c>
    </row>
    <row r="2103" customFormat="false" ht="15" hidden="false" customHeight="false" outlineLevel="0" collapsed="false">
      <c r="L2103" s="37" t="str">
        <f aca="false">IF(C2103="","",IF(C2103&lt;=5,"Night (00-05)",IF(C2103&lt;=11,"Morning (06-11)",IF(C2103&lt;=16,"Afternoon (12-16)",IF(C2103&lt;=20,"Evening (17-20)","Late (21-23)")))))</f>
        <v/>
      </c>
    </row>
    <row r="2104" customFormat="false" ht="15" hidden="false" customHeight="false" outlineLevel="0" collapsed="false">
      <c r="L2104" s="37" t="str">
        <f aca="false">IF(C2104="","",IF(C2104&lt;=5,"Night (00-05)",IF(C2104&lt;=11,"Morning (06-11)",IF(C2104&lt;=16,"Afternoon (12-16)",IF(C2104&lt;=20,"Evening (17-20)","Late (21-23)")))))</f>
        <v/>
      </c>
    </row>
    <row r="2105" customFormat="false" ht="15" hidden="false" customHeight="false" outlineLevel="0" collapsed="false">
      <c r="L2105" s="37" t="str">
        <f aca="false">IF(C2105="","",IF(C2105&lt;=5,"Night (00-05)",IF(C2105&lt;=11,"Morning (06-11)",IF(C2105&lt;=16,"Afternoon (12-16)",IF(C2105&lt;=20,"Evening (17-20)","Late (21-23)")))))</f>
        <v/>
      </c>
    </row>
    <row r="2106" customFormat="false" ht="15" hidden="false" customHeight="false" outlineLevel="0" collapsed="false">
      <c r="L2106" s="37" t="str">
        <f aca="false">IF(C2106="","",IF(C2106&lt;=5,"Night (00-05)",IF(C2106&lt;=11,"Morning (06-11)",IF(C2106&lt;=16,"Afternoon (12-16)",IF(C2106&lt;=20,"Evening (17-20)","Late (21-23)")))))</f>
        <v/>
      </c>
    </row>
    <row r="2107" customFormat="false" ht="15" hidden="false" customHeight="false" outlineLevel="0" collapsed="false">
      <c r="L2107" s="37" t="str">
        <f aca="false">IF(C2107="","",IF(C2107&lt;=5,"Night (00-05)",IF(C2107&lt;=11,"Morning (06-11)",IF(C2107&lt;=16,"Afternoon (12-16)",IF(C2107&lt;=20,"Evening (17-20)","Late (21-23)")))))</f>
        <v/>
      </c>
    </row>
    <row r="2108" customFormat="false" ht="15" hidden="false" customHeight="false" outlineLevel="0" collapsed="false">
      <c r="L2108" s="37" t="str">
        <f aca="false">IF(C2108="","",IF(C2108&lt;=5,"Night (00-05)",IF(C2108&lt;=11,"Morning (06-11)",IF(C2108&lt;=16,"Afternoon (12-16)",IF(C2108&lt;=20,"Evening (17-20)","Late (21-23)")))))</f>
        <v/>
      </c>
    </row>
    <row r="2109" customFormat="false" ht="15" hidden="false" customHeight="false" outlineLevel="0" collapsed="false">
      <c r="L2109" s="37" t="str">
        <f aca="false">IF(C2109="","",IF(C2109&lt;=5,"Night (00-05)",IF(C2109&lt;=11,"Morning (06-11)",IF(C2109&lt;=16,"Afternoon (12-16)",IF(C2109&lt;=20,"Evening (17-20)","Late (21-23)")))))</f>
        <v/>
      </c>
    </row>
    <row r="2110" customFormat="false" ht="15" hidden="false" customHeight="false" outlineLevel="0" collapsed="false">
      <c r="L2110" s="37" t="str">
        <f aca="false">IF(C2110="","",IF(C2110&lt;=5,"Night (00-05)",IF(C2110&lt;=11,"Morning (06-11)",IF(C2110&lt;=16,"Afternoon (12-16)",IF(C2110&lt;=20,"Evening (17-20)","Late (21-23)")))))</f>
        <v/>
      </c>
    </row>
    <row r="2111" customFormat="false" ht="15" hidden="false" customHeight="false" outlineLevel="0" collapsed="false">
      <c r="L2111" s="37" t="str">
        <f aca="false">IF(C2111="","",IF(C2111&lt;=5,"Night (00-05)",IF(C2111&lt;=11,"Morning (06-11)",IF(C2111&lt;=16,"Afternoon (12-16)",IF(C2111&lt;=20,"Evening (17-20)","Late (21-23)")))))</f>
        <v/>
      </c>
    </row>
    <row r="2112" customFormat="false" ht="15" hidden="false" customHeight="false" outlineLevel="0" collapsed="false">
      <c r="L2112" s="37" t="str">
        <f aca="false">IF(C2112="","",IF(C2112&lt;=5,"Night (00-05)",IF(C2112&lt;=11,"Morning (06-11)",IF(C2112&lt;=16,"Afternoon (12-16)",IF(C2112&lt;=20,"Evening (17-20)","Late (21-23)")))))</f>
        <v/>
      </c>
    </row>
    <row r="2113" customFormat="false" ht="15" hidden="false" customHeight="false" outlineLevel="0" collapsed="false">
      <c r="L2113" s="37" t="str">
        <f aca="false">IF(C2113="","",IF(C2113&lt;=5,"Night (00-05)",IF(C2113&lt;=11,"Morning (06-11)",IF(C2113&lt;=16,"Afternoon (12-16)",IF(C2113&lt;=20,"Evening (17-20)","Late (21-23)")))))</f>
        <v/>
      </c>
    </row>
    <row r="2114" customFormat="false" ht="15" hidden="false" customHeight="false" outlineLevel="0" collapsed="false">
      <c r="L2114" s="37" t="str">
        <f aca="false">IF(C2114="","",IF(C2114&lt;=5,"Night (00-05)",IF(C2114&lt;=11,"Morning (06-11)",IF(C2114&lt;=16,"Afternoon (12-16)",IF(C2114&lt;=20,"Evening (17-20)","Late (21-23)")))))</f>
        <v/>
      </c>
    </row>
    <row r="2115" customFormat="false" ht="15" hidden="false" customHeight="false" outlineLevel="0" collapsed="false">
      <c r="L2115" s="37" t="str">
        <f aca="false">IF(C2115="","",IF(C2115&lt;=5,"Night (00-05)",IF(C2115&lt;=11,"Morning (06-11)",IF(C2115&lt;=16,"Afternoon (12-16)",IF(C2115&lt;=20,"Evening (17-20)","Late (21-23)")))))</f>
        <v/>
      </c>
    </row>
    <row r="2116" customFormat="false" ht="15" hidden="false" customHeight="false" outlineLevel="0" collapsed="false">
      <c r="L2116" s="37" t="str">
        <f aca="false">IF(C2116="","",IF(C2116&lt;=5,"Night (00-05)",IF(C2116&lt;=11,"Morning (06-11)",IF(C2116&lt;=16,"Afternoon (12-16)",IF(C2116&lt;=20,"Evening (17-20)","Late (21-23)")))))</f>
        <v/>
      </c>
    </row>
    <row r="2117" customFormat="false" ht="15" hidden="false" customHeight="false" outlineLevel="0" collapsed="false">
      <c r="L2117" s="37" t="str">
        <f aca="false">IF(C2117="","",IF(C2117&lt;=5,"Night (00-05)",IF(C2117&lt;=11,"Morning (06-11)",IF(C2117&lt;=16,"Afternoon (12-16)",IF(C2117&lt;=20,"Evening (17-20)","Late (21-23)")))))</f>
        <v/>
      </c>
    </row>
    <row r="2118" customFormat="false" ht="15" hidden="false" customHeight="false" outlineLevel="0" collapsed="false">
      <c r="L2118" s="37" t="str">
        <f aca="false">IF(C2118="","",IF(C2118&lt;=5,"Night (00-05)",IF(C2118&lt;=11,"Morning (06-11)",IF(C2118&lt;=16,"Afternoon (12-16)",IF(C2118&lt;=20,"Evening (17-20)","Late (21-23)")))))</f>
        <v/>
      </c>
    </row>
    <row r="2119" customFormat="false" ht="15" hidden="false" customHeight="false" outlineLevel="0" collapsed="false">
      <c r="L2119" s="37" t="str">
        <f aca="false">IF(C2119="","",IF(C2119&lt;=5,"Night (00-05)",IF(C2119&lt;=11,"Morning (06-11)",IF(C2119&lt;=16,"Afternoon (12-16)",IF(C2119&lt;=20,"Evening (17-20)","Late (21-23)")))))</f>
        <v/>
      </c>
    </row>
    <row r="2120" customFormat="false" ht="15" hidden="false" customHeight="false" outlineLevel="0" collapsed="false">
      <c r="L2120" s="37" t="str">
        <f aca="false">IF(C2120="","",IF(C2120&lt;=5,"Night (00-05)",IF(C2120&lt;=11,"Morning (06-11)",IF(C2120&lt;=16,"Afternoon (12-16)",IF(C2120&lt;=20,"Evening (17-20)","Late (21-23)")))))</f>
        <v/>
      </c>
    </row>
    <row r="2121" customFormat="false" ht="15" hidden="false" customHeight="false" outlineLevel="0" collapsed="false">
      <c r="L2121" s="37" t="str">
        <f aca="false">IF(C2121="","",IF(C2121&lt;=5,"Night (00-05)",IF(C2121&lt;=11,"Morning (06-11)",IF(C2121&lt;=16,"Afternoon (12-16)",IF(C2121&lt;=20,"Evening (17-20)","Late (21-23)")))))</f>
        <v/>
      </c>
    </row>
    <row r="2122" customFormat="false" ht="15" hidden="false" customHeight="false" outlineLevel="0" collapsed="false">
      <c r="L2122" s="37" t="str">
        <f aca="false">IF(C2122="","",IF(C2122&lt;=5,"Night (00-05)",IF(C2122&lt;=11,"Morning (06-11)",IF(C2122&lt;=16,"Afternoon (12-16)",IF(C2122&lt;=20,"Evening (17-20)","Late (21-23)")))))</f>
        <v/>
      </c>
    </row>
    <row r="2123" customFormat="false" ht="15" hidden="false" customHeight="false" outlineLevel="0" collapsed="false">
      <c r="L2123" s="37" t="str">
        <f aca="false">IF(C2123="","",IF(C2123&lt;=5,"Night (00-05)",IF(C2123&lt;=11,"Morning (06-11)",IF(C2123&lt;=16,"Afternoon (12-16)",IF(C2123&lt;=20,"Evening (17-20)","Late (21-23)")))))</f>
        <v/>
      </c>
    </row>
    <row r="2124" customFormat="false" ht="15" hidden="false" customHeight="false" outlineLevel="0" collapsed="false">
      <c r="L2124" s="37" t="str">
        <f aca="false">IF(C2124="","",IF(C2124&lt;=5,"Night (00-05)",IF(C2124&lt;=11,"Morning (06-11)",IF(C2124&lt;=16,"Afternoon (12-16)",IF(C2124&lt;=20,"Evening (17-20)","Late (21-23)")))))</f>
        <v/>
      </c>
    </row>
    <row r="2125" customFormat="false" ht="15" hidden="false" customHeight="false" outlineLevel="0" collapsed="false">
      <c r="L2125" s="37" t="str">
        <f aca="false">IF(C2125="","",IF(C2125&lt;=5,"Night (00-05)",IF(C2125&lt;=11,"Morning (06-11)",IF(C2125&lt;=16,"Afternoon (12-16)",IF(C2125&lt;=20,"Evening (17-20)","Late (21-23)")))))</f>
        <v/>
      </c>
    </row>
    <row r="2126" customFormat="false" ht="15" hidden="false" customHeight="false" outlineLevel="0" collapsed="false">
      <c r="L2126" s="37" t="str">
        <f aca="false">IF(C2126="","",IF(C2126&lt;=5,"Night (00-05)",IF(C2126&lt;=11,"Morning (06-11)",IF(C2126&lt;=16,"Afternoon (12-16)",IF(C2126&lt;=20,"Evening (17-20)","Late (21-23)")))))</f>
        <v/>
      </c>
    </row>
    <row r="2127" customFormat="false" ht="15" hidden="false" customHeight="false" outlineLevel="0" collapsed="false">
      <c r="L2127" s="37" t="str">
        <f aca="false">IF(C2127="","",IF(C2127&lt;=5,"Night (00-05)",IF(C2127&lt;=11,"Morning (06-11)",IF(C2127&lt;=16,"Afternoon (12-16)",IF(C2127&lt;=20,"Evening (17-20)","Late (21-23)")))))</f>
        <v/>
      </c>
    </row>
    <row r="2128" customFormat="false" ht="15" hidden="false" customHeight="false" outlineLevel="0" collapsed="false">
      <c r="L2128" s="37" t="str">
        <f aca="false">IF(C2128="","",IF(C2128&lt;=5,"Night (00-05)",IF(C2128&lt;=11,"Morning (06-11)",IF(C2128&lt;=16,"Afternoon (12-16)",IF(C2128&lt;=20,"Evening (17-20)","Late (21-23)")))))</f>
        <v/>
      </c>
    </row>
    <row r="2129" customFormat="false" ht="15" hidden="false" customHeight="false" outlineLevel="0" collapsed="false">
      <c r="L2129" s="37" t="str">
        <f aca="false">IF(C2129="","",IF(C2129&lt;=5,"Night (00-05)",IF(C2129&lt;=11,"Morning (06-11)",IF(C2129&lt;=16,"Afternoon (12-16)",IF(C2129&lt;=20,"Evening (17-20)","Late (21-23)")))))</f>
        <v/>
      </c>
    </row>
    <row r="2130" customFormat="false" ht="15" hidden="false" customHeight="false" outlineLevel="0" collapsed="false">
      <c r="L2130" s="37" t="str">
        <f aca="false">IF(C2130="","",IF(C2130&lt;=5,"Night (00-05)",IF(C2130&lt;=11,"Morning (06-11)",IF(C2130&lt;=16,"Afternoon (12-16)",IF(C2130&lt;=20,"Evening (17-20)","Late (21-23)")))))</f>
        <v/>
      </c>
    </row>
    <row r="2131" customFormat="false" ht="15" hidden="false" customHeight="false" outlineLevel="0" collapsed="false">
      <c r="L2131" s="37" t="str">
        <f aca="false">IF(C2131="","",IF(C2131&lt;=5,"Night (00-05)",IF(C2131&lt;=11,"Morning (06-11)",IF(C2131&lt;=16,"Afternoon (12-16)",IF(C2131&lt;=20,"Evening (17-20)","Late (21-23)")))))</f>
        <v/>
      </c>
    </row>
    <row r="2132" customFormat="false" ht="15" hidden="false" customHeight="false" outlineLevel="0" collapsed="false">
      <c r="L2132" s="37" t="str">
        <f aca="false">IF(C2132="","",IF(C2132&lt;=5,"Night (00-05)",IF(C2132&lt;=11,"Morning (06-11)",IF(C2132&lt;=16,"Afternoon (12-16)",IF(C2132&lt;=20,"Evening (17-20)","Late (21-23)")))))</f>
        <v/>
      </c>
    </row>
    <row r="2133" customFormat="false" ht="15" hidden="false" customHeight="false" outlineLevel="0" collapsed="false">
      <c r="L2133" s="37" t="str">
        <f aca="false">IF(C2133="","",IF(C2133&lt;=5,"Night (00-05)",IF(C2133&lt;=11,"Morning (06-11)",IF(C2133&lt;=16,"Afternoon (12-16)",IF(C2133&lt;=20,"Evening (17-20)","Late (21-23)")))))</f>
        <v/>
      </c>
    </row>
    <row r="2134" customFormat="false" ht="15" hidden="false" customHeight="false" outlineLevel="0" collapsed="false">
      <c r="L2134" s="37" t="str">
        <f aca="false">IF(C2134="","",IF(C2134&lt;=5,"Night (00-05)",IF(C2134&lt;=11,"Morning (06-11)",IF(C2134&lt;=16,"Afternoon (12-16)",IF(C2134&lt;=20,"Evening (17-20)","Late (21-23)")))))</f>
        <v/>
      </c>
    </row>
    <row r="2135" customFormat="false" ht="15" hidden="false" customHeight="false" outlineLevel="0" collapsed="false">
      <c r="L2135" s="37" t="str">
        <f aca="false">IF(C2135="","",IF(C2135&lt;=5,"Night (00-05)",IF(C2135&lt;=11,"Morning (06-11)",IF(C2135&lt;=16,"Afternoon (12-16)",IF(C2135&lt;=20,"Evening (17-20)","Late (21-23)")))))</f>
        <v/>
      </c>
    </row>
    <row r="2136" customFormat="false" ht="15" hidden="false" customHeight="false" outlineLevel="0" collapsed="false">
      <c r="L2136" s="37" t="str">
        <f aca="false">IF(C2136="","",IF(C2136&lt;=5,"Night (00-05)",IF(C2136&lt;=11,"Morning (06-11)",IF(C2136&lt;=16,"Afternoon (12-16)",IF(C2136&lt;=20,"Evening (17-20)","Late (21-23)")))))</f>
        <v/>
      </c>
    </row>
    <row r="2137" customFormat="false" ht="15" hidden="false" customHeight="false" outlineLevel="0" collapsed="false">
      <c r="L2137" s="37" t="str">
        <f aca="false">IF(C2137="","",IF(C2137&lt;=5,"Night (00-05)",IF(C2137&lt;=11,"Morning (06-11)",IF(C2137&lt;=16,"Afternoon (12-16)",IF(C2137&lt;=20,"Evening (17-20)","Late (21-23)")))))</f>
        <v/>
      </c>
    </row>
    <row r="2138" customFormat="false" ht="15" hidden="false" customHeight="false" outlineLevel="0" collapsed="false">
      <c r="L2138" s="37" t="str">
        <f aca="false">IF(C2138="","",IF(C2138&lt;=5,"Night (00-05)",IF(C2138&lt;=11,"Morning (06-11)",IF(C2138&lt;=16,"Afternoon (12-16)",IF(C2138&lt;=20,"Evening (17-20)","Late (21-23)")))))</f>
        <v/>
      </c>
    </row>
    <row r="2139" customFormat="false" ht="15" hidden="false" customHeight="false" outlineLevel="0" collapsed="false">
      <c r="L2139" s="37" t="str">
        <f aca="false">IF(C2139="","",IF(C2139&lt;=5,"Night (00-05)",IF(C2139&lt;=11,"Morning (06-11)",IF(C2139&lt;=16,"Afternoon (12-16)",IF(C2139&lt;=20,"Evening (17-20)","Late (21-23)")))))</f>
        <v/>
      </c>
    </row>
    <row r="2140" customFormat="false" ht="15" hidden="false" customHeight="false" outlineLevel="0" collapsed="false">
      <c r="L2140" s="37" t="str">
        <f aca="false">IF(C2140="","",IF(C2140&lt;=5,"Night (00-05)",IF(C2140&lt;=11,"Morning (06-11)",IF(C2140&lt;=16,"Afternoon (12-16)",IF(C2140&lt;=20,"Evening (17-20)","Late (21-23)")))))</f>
        <v/>
      </c>
    </row>
    <row r="2141" customFormat="false" ht="15" hidden="false" customHeight="false" outlineLevel="0" collapsed="false">
      <c r="L2141" s="37" t="str">
        <f aca="false">IF(C2141="","",IF(C2141&lt;=5,"Night (00-05)",IF(C2141&lt;=11,"Morning (06-11)",IF(C2141&lt;=16,"Afternoon (12-16)",IF(C2141&lt;=20,"Evening (17-20)","Late (21-23)")))))</f>
        <v/>
      </c>
    </row>
    <row r="2142" customFormat="false" ht="15" hidden="false" customHeight="false" outlineLevel="0" collapsed="false">
      <c r="L2142" s="37" t="str">
        <f aca="false">IF(C2142="","",IF(C2142&lt;=5,"Night (00-05)",IF(C2142&lt;=11,"Morning (06-11)",IF(C2142&lt;=16,"Afternoon (12-16)",IF(C2142&lt;=20,"Evening (17-20)","Late (21-23)")))))</f>
        <v/>
      </c>
    </row>
    <row r="2143" customFormat="false" ht="15" hidden="false" customHeight="false" outlineLevel="0" collapsed="false">
      <c r="L2143" s="37" t="str">
        <f aca="false">IF(C2143="","",IF(C2143&lt;=5,"Night (00-05)",IF(C2143&lt;=11,"Morning (06-11)",IF(C2143&lt;=16,"Afternoon (12-16)",IF(C2143&lt;=20,"Evening (17-20)","Late (21-23)")))))</f>
        <v/>
      </c>
    </row>
    <row r="2144" customFormat="false" ht="15" hidden="false" customHeight="false" outlineLevel="0" collapsed="false">
      <c r="L2144" s="37" t="str">
        <f aca="false">IF(C2144="","",IF(C2144&lt;=5,"Night (00-05)",IF(C2144&lt;=11,"Morning (06-11)",IF(C2144&lt;=16,"Afternoon (12-16)",IF(C2144&lt;=20,"Evening (17-20)","Late (21-23)")))))</f>
        <v/>
      </c>
    </row>
    <row r="2145" customFormat="false" ht="15" hidden="false" customHeight="false" outlineLevel="0" collapsed="false">
      <c r="L2145" s="37" t="str">
        <f aca="false">IF(C2145="","",IF(C2145&lt;=5,"Night (00-05)",IF(C2145&lt;=11,"Morning (06-11)",IF(C2145&lt;=16,"Afternoon (12-16)",IF(C2145&lt;=20,"Evening (17-20)","Late (21-23)")))))</f>
        <v/>
      </c>
    </row>
    <row r="2146" customFormat="false" ht="15" hidden="false" customHeight="false" outlineLevel="0" collapsed="false">
      <c r="L2146" s="37" t="str">
        <f aca="false">IF(C2146="","",IF(C2146&lt;=5,"Night (00-05)",IF(C2146&lt;=11,"Morning (06-11)",IF(C2146&lt;=16,"Afternoon (12-16)",IF(C2146&lt;=20,"Evening (17-20)","Late (21-23)")))))</f>
        <v/>
      </c>
    </row>
    <row r="2147" customFormat="false" ht="15" hidden="false" customHeight="false" outlineLevel="0" collapsed="false">
      <c r="L2147" s="37" t="str">
        <f aca="false">IF(C2147="","",IF(C2147&lt;=5,"Night (00-05)",IF(C2147&lt;=11,"Morning (06-11)",IF(C2147&lt;=16,"Afternoon (12-16)",IF(C2147&lt;=20,"Evening (17-20)","Late (21-23)")))))</f>
        <v/>
      </c>
    </row>
    <row r="2148" customFormat="false" ht="15" hidden="false" customHeight="false" outlineLevel="0" collapsed="false">
      <c r="L2148" s="37" t="str">
        <f aca="false">IF(C2148="","",IF(C2148&lt;=5,"Night (00-05)",IF(C2148&lt;=11,"Morning (06-11)",IF(C2148&lt;=16,"Afternoon (12-16)",IF(C2148&lt;=20,"Evening (17-20)","Late (21-23)")))))</f>
        <v/>
      </c>
    </row>
    <row r="2149" customFormat="false" ht="15" hidden="false" customHeight="false" outlineLevel="0" collapsed="false">
      <c r="L2149" s="37" t="str">
        <f aca="false">IF(C2149="","",IF(C2149&lt;=5,"Night (00-05)",IF(C2149&lt;=11,"Morning (06-11)",IF(C2149&lt;=16,"Afternoon (12-16)",IF(C2149&lt;=20,"Evening (17-20)","Late (21-23)")))))</f>
        <v/>
      </c>
    </row>
    <row r="2150" customFormat="false" ht="15" hidden="false" customHeight="false" outlineLevel="0" collapsed="false">
      <c r="L2150" s="37" t="str">
        <f aca="false">IF(C2150="","",IF(C2150&lt;=5,"Night (00-05)",IF(C2150&lt;=11,"Morning (06-11)",IF(C2150&lt;=16,"Afternoon (12-16)",IF(C2150&lt;=20,"Evening (17-20)","Late (21-23)")))))</f>
        <v/>
      </c>
    </row>
    <row r="2151" customFormat="false" ht="15" hidden="false" customHeight="false" outlineLevel="0" collapsed="false">
      <c r="L2151" s="37" t="str">
        <f aca="false">IF(C2151="","",IF(C2151&lt;=5,"Night (00-05)",IF(C2151&lt;=11,"Morning (06-11)",IF(C2151&lt;=16,"Afternoon (12-16)",IF(C2151&lt;=20,"Evening (17-20)","Late (21-23)")))))</f>
        <v/>
      </c>
    </row>
    <row r="2152" customFormat="false" ht="15" hidden="false" customHeight="false" outlineLevel="0" collapsed="false">
      <c r="L2152" s="37" t="str">
        <f aca="false">IF(C2152="","",IF(C2152&lt;=5,"Night (00-05)",IF(C2152&lt;=11,"Morning (06-11)",IF(C2152&lt;=16,"Afternoon (12-16)",IF(C2152&lt;=20,"Evening (17-20)","Late (21-23)")))))</f>
        <v/>
      </c>
    </row>
    <row r="2153" customFormat="false" ht="15" hidden="false" customHeight="false" outlineLevel="0" collapsed="false">
      <c r="L2153" s="37" t="str">
        <f aca="false">IF(C2153="","",IF(C2153&lt;=5,"Night (00-05)",IF(C2153&lt;=11,"Morning (06-11)",IF(C2153&lt;=16,"Afternoon (12-16)",IF(C2153&lt;=20,"Evening (17-20)","Late (21-23)")))))</f>
        <v/>
      </c>
    </row>
    <row r="2154" customFormat="false" ht="15" hidden="false" customHeight="false" outlineLevel="0" collapsed="false">
      <c r="L2154" s="37" t="str">
        <f aca="false">IF(C2154="","",IF(C2154&lt;=5,"Night (00-05)",IF(C2154&lt;=11,"Morning (06-11)",IF(C2154&lt;=16,"Afternoon (12-16)",IF(C2154&lt;=20,"Evening (17-20)","Late (21-23)")))))</f>
        <v/>
      </c>
    </row>
    <row r="2155" customFormat="false" ht="15" hidden="false" customHeight="false" outlineLevel="0" collapsed="false">
      <c r="L2155" s="37" t="str">
        <f aca="false">IF(C2155="","",IF(C2155&lt;=5,"Night (00-05)",IF(C2155&lt;=11,"Morning (06-11)",IF(C2155&lt;=16,"Afternoon (12-16)",IF(C2155&lt;=20,"Evening (17-20)","Late (21-23)")))))</f>
        <v/>
      </c>
    </row>
    <row r="2156" customFormat="false" ht="15" hidden="false" customHeight="false" outlineLevel="0" collapsed="false">
      <c r="L2156" s="37" t="str">
        <f aca="false">IF(C2156="","",IF(C2156&lt;=5,"Night (00-05)",IF(C2156&lt;=11,"Morning (06-11)",IF(C2156&lt;=16,"Afternoon (12-16)",IF(C2156&lt;=20,"Evening (17-20)","Late (21-23)")))))</f>
        <v/>
      </c>
    </row>
    <row r="2157" customFormat="false" ht="15" hidden="false" customHeight="false" outlineLevel="0" collapsed="false">
      <c r="L2157" s="37" t="str">
        <f aca="false">IF(C2157="","",IF(C2157&lt;=5,"Night (00-05)",IF(C2157&lt;=11,"Morning (06-11)",IF(C2157&lt;=16,"Afternoon (12-16)",IF(C2157&lt;=20,"Evening (17-20)","Late (21-23)")))))</f>
        <v/>
      </c>
    </row>
    <row r="2158" customFormat="false" ht="15" hidden="false" customHeight="false" outlineLevel="0" collapsed="false">
      <c r="L2158" s="37" t="str">
        <f aca="false">IF(C2158="","",IF(C2158&lt;=5,"Night (00-05)",IF(C2158&lt;=11,"Morning (06-11)",IF(C2158&lt;=16,"Afternoon (12-16)",IF(C2158&lt;=20,"Evening (17-20)","Late (21-23)")))))</f>
        <v/>
      </c>
    </row>
    <row r="2159" customFormat="false" ht="15" hidden="false" customHeight="false" outlineLevel="0" collapsed="false">
      <c r="L2159" s="37" t="str">
        <f aca="false">IF(C2159="","",IF(C2159&lt;=5,"Night (00-05)",IF(C2159&lt;=11,"Morning (06-11)",IF(C2159&lt;=16,"Afternoon (12-16)",IF(C2159&lt;=20,"Evening (17-20)","Late (21-23)")))))</f>
        <v/>
      </c>
    </row>
    <row r="2160" customFormat="false" ht="15" hidden="false" customHeight="false" outlineLevel="0" collapsed="false">
      <c r="L2160" s="37" t="str">
        <f aca="false">IF(C2160="","",IF(C2160&lt;=5,"Night (00-05)",IF(C2160&lt;=11,"Morning (06-11)",IF(C2160&lt;=16,"Afternoon (12-16)",IF(C2160&lt;=20,"Evening (17-20)","Late (21-23)")))))</f>
        <v/>
      </c>
    </row>
    <row r="2161" customFormat="false" ht="15" hidden="false" customHeight="false" outlineLevel="0" collapsed="false">
      <c r="L2161" s="37" t="str">
        <f aca="false">IF(C2161="","",IF(C2161&lt;=5,"Night (00-05)",IF(C2161&lt;=11,"Morning (06-11)",IF(C2161&lt;=16,"Afternoon (12-16)",IF(C2161&lt;=20,"Evening (17-20)","Late (21-23)")))))</f>
        <v/>
      </c>
    </row>
    <row r="2162" customFormat="false" ht="15" hidden="false" customHeight="false" outlineLevel="0" collapsed="false">
      <c r="L2162" s="37" t="str">
        <f aca="false">IF(C2162="","",IF(C2162&lt;=5,"Night (00-05)",IF(C2162&lt;=11,"Morning (06-11)",IF(C2162&lt;=16,"Afternoon (12-16)",IF(C2162&lt;=20,"Evening (17-20)","Late (21-23)")))))</f>
        <v/>
      </c>
    </row>
    <row r="2163" customFormat="false" ht="15" hidden="false" customHeight="false" outlineLevel="0" collapsed="false">
      <c r="L2163" s="37" t="str">
        <f aca="false">IF(C2163="","",IF(C2163&lt;=5,"Night (00-05)",IF(C2163&lt;=11,"Morning (06-11)",IF(C2163&lt;=16,"Afternoon (12-16)",IF(C2163&lt;=20,"Evening (17-20)","Late (21-23)")))))</f>
        <v/>
      </c>
    </row>
    <row r="2164" customFormat="false" ht="15" hidden="false" customHeight="false" outlineLevel="0" collapsed="false">
      <c r="L2164" s="37" t="str">
        <f aca="false">IF(C2164="","",IF(C2164&lt;=5,"Night (00-05)",IF(C2164&lt;=11,"Morning (06-11)",IF(C2164&lt;=16,"Afternoon (12-16)",IF(C2164&lt;=20,"Evening (17-20)","Late (21-23)")))))</f>
        <v/>
      </c>
    </row>
    <row r="2165" customFormat="false" ht="15" hidden="false" customHeight="false" outlineLevel="0" collapsed="false">
      <c r="L2165" s="37" t="str">
        <f aca="false">IF(C2165="","",IF(C2165&lt;=5,"Night (00-05)",IF(C2165&lt;=11,"Morning (06-11)",IF(C2165&lt;=16,"Afternoon (12-16)",IF(C2165&lt;=20,"Evening (17-20)","Late (21-23)")))))</f>
        <v/>
      </c>
    </row>
    <row r="2166" customFormat="false" ht="15" hidden="false" customHeight="false" outlineLevel="0" collapsed="false">
      <c r="L2166" s="37" t="str">
        <f aca="false">IF(C2166="","",IF(C2166&lt;=5,"Night (00-05)",IF(C2166&lt;=11,"Morning (06-11)",IF(C2166&lt;=16,"Afternoon (12-16)",IF(C2166&lt;=20,"Evening (17-20)","Late (21-23)")))))</f>
        <v/>
      </c>
    </row>
    <row r="2167" customFormat="false" ht="15" hidden="false" customHeight="false" outlineLevel="0" collapsed="false">
      <c r="L2167" s="37" t="str">
        <f aca="false">IF(C2167="","",IF(C2167&lt;=5,"Night (00-05)",IF(C2167&lt;=11,"Morning (06-11)",IF(C2167&lt;=16,"Afternoon (12-16)",IF(C2167&lt;=20,"Evening (17-20)","Late (21-23)")))))</f>
        <v/>
      </c>
    </row>
    <row r="2168" customFormat="false" ht="15" hidden="false" customHeight="false" outlineLevel="0" collapsed="false">
      <c r="L2168" s="37" t="str">
        <f aca="false">IF(C2168="","",IF(C2168&lt;=5,"Night (00-05)",IF(C2168&lt;=11,"Morning (06-11)",IF(C2168&lt;=16,"Afternoon (12-16)",IF(C2168&lt;=20,"Evening (17-20)","Late (21-23)")))))</f>
        <v/>
      </c>
    </row>
    <row r="2169" customFormat="false" ht="15" hidden="false" customHeight="false" outlineLevel="0" collapsed="false">
      <c r="L2169" s="37" t="str">
        <f aca="false">IF(C2169="","",IF(C2169&lt;=5,"Night (00-05)",IF(C2169&lt;=11,"Morning (06-11)",IF(C2169&lt;=16,"Afternoon (12-16)",IF(C2169&lt;=20,"Evening (17-20)","Late (21-23)")))))</f>
        <v/>
      </c>
    </row>
    <row r="2170" customFormat="false" ht="15" hidden="false" customHeight="false" outlineLevel="0" collapsed="false">
      <c r="L2170" s="37" t="str">
        <f aca="false">IF(C2170="","",IF(C2170&lt;=5,"Night (00-05)",IF(C2170&lt;=11,"Morning (06-11)",IF(C2170&lt;=16,"Afternoon (12-16)",IF(C2170&lt;=20,"Evening (17-20)","Late (21-23)")))))</f>
        <v/>
      </c>
    </row>
    <row r="2171" customFormat="false" ht="15" hidden="false" customHeight="false" outlineLevel="0" collapsed="false">
      <c r="L2171" s="37" t="str">
        <f aca="false">IF(C2171="","",IF(C2171&lt;=5,"Night (00-05)",IF(C2171&lt;=11,"Morning (06-11)",IF(C2171&lt;=16,"Afternoon (12-16)",IF(C2171&lt;=20,"Evening (17-20)","Late (21-23)")))))</f>
        <v/>
      </c>
    </row>
    <row r="2172" customFormat="false" ht="15" hidden="false" customHeight="false" outlineLevel="0" collapsed="false">
      <c r="L2172" s="37" t="str">
        <f aca="false">IF(C2172="","",IF(C2172&lt;=5,"Night (00-05)",IF(C2172&lt;=11,"Morning (06-11)",IF(C2172&lt;=16,"Afternoon (12-16)",IF(C2172&lt;=20,"Evening (17-20)","Late (21-23)")))))</f>
        <v/>
      </c>
    </row>
    <row r="2173" customFormat="false" ht="15" hidden="false" customHeight="false" outlineLevel="0" collapsed="false">
      <c r="L2173" s="37" t="str">
        <f aca="false">IF(C2173="","",IF(C2173&lt;=5,"Night (00-05)",IF(C2173&lt;=11,"Morning (06-11)",IF(C2173&lt;=16,"Afternoon (12-16)",IF(C2173&lt;=20,"Evening (17-20)","Late (21-23)")))))</f>
        <v/>
      </c>
    </row>
    <row r="2174" customFormat="false" ht="15" hidden="false" customHeight="false" outlineLevel="0" collapsed="false">
      <c r="L2174" s="37" t="str">
        <f aca="false">IF(C2174="","",IF(C2174&lt;=5,"Night (00-05)",IF(C2174&lt;=11,"Morning (06-11)",IF(C2174&lt;=16,"Afternoon (12-16)",IF(C2174&lt;=20,"Evening (17-20)","Late (21-23)")))))</f>
        <v/>
      </c>
    </row>
    <row r="2175" customFormat="false" ht="15" hidden="false" customHeight="false" outlineLevel="0" collapsed="false">
      <c r="L2175" s="37" t="str">
        <f aca="false">IF(C2175="","",IF(C2175&lt;=5,"Night (00-05)",IF(C2175&lt;=11,"Morning (06-11)",IF(C2175&lt;=16,"Afternoon (12-16)",IF(C2175&lt;=20,"Evening (17-20)","Late (21-23)")))))</f>
        <v/>
      </c>
    </row>
    <row r="2176" customFormat="false" ht="15" hidden="false" customHeight="false" outlineLevel="0" collapsed="false">
      <c r="L2176" s="37" t="str">
        <f aca="false">IF(C2176="","",IF(C2176&lt;=5,"Night (00-05)",IF(C2176&lt;=11,"Morning (06-11)",IF(C2176&lt;=16,"Afternoon (12-16)",IF(C2176&lt;=20,"Evening (17-20)","Late (21-23)")))))</f>
        <v/>
      </c>
    </row>
    <row r="2177" customFormat="false" ht="15" hidden="false" customHeight="false" outlineLevel="0" collapsed="false">
      <c r="L2177" s="37" t="str">
        <f aca="false">IF(C2177="","",IF(C2177&lt;=5,"Night (00-05)",IF(C2177&lt;=11,"Morning (06-11)",IF(C2177&lt;=16,"Afternoon (12-16)",IF(C2177&lt;=20,"Evening (17-20)","Late (21-23)")))))</f>
        <v/>
      </c>
    </row>
    <row r="2178" customFormat="false" ht="15" hidden="false" customHeight="false" outlineLevel="0" collapsed="false">
      <c r="L2178" s="37" t="str">
        <f aca="false">IF(C2178="","",IF(C2178&lt;=5,"Night (00-05)",IF(C2178&lt;=11,"Morning (06-11)",IF(C2178&lt;=16,"Afternoon (12-16)",IF(C2178&lt;=20,"Evening (17-20)","Late (21-23)")))))</f>
        <v/>
      </c>
    </row>
    <row r="2179" customFormat="false" ht="15" hidden="false" customHeight="false" outlineLevel="0" collapsed="false">
      <c r="L2179" s="37" t="str">
        <f aca="false">IF(C2179="","",IF(C2179&lt;=5,"Night (00-05)",IF(C2179&lt;=11,"Morning (06-11)",IF(C2179&lt;=16,"Afternoon (12-16)",IF(C2179&lt;=20,"Evening (17-20)","Late (21-23)")))))</f>
        <v/>
      </c>
    </row>
    <row r="2180" customFormat="false" ht="15" hidden="false" customHeight="false" outlineLevel="0" collapsed="false">
      <c r="L2180" s="37" t="str">
        <f aca="false">IF(C2180="","",IF(C2180&lt;=5,"Night (00-05)",IF(C2180&lt;=11,"Morning (06-11)",IF(C2180&lt;=16,"Afternoon (12-16)",IF(C2180&lt;=20,"Evening (17-20)","Late (21-23)")))))</f>
        <v/>
      </c>
    </row>
    <row r="2181" customFormat="false" ht="15" hidden="false" customHeight="false" outlineLevel="0" collapsed="false">
      <c r="L2181" s="37" t="str">
        <f aca="false">IF(C2181="","",IF(C2181&lt;=5,"Night (00-05)",IF(C2181&lt;=11,"Morning (06-11)",IF(C2181&lt;=16,"Afternoon (12-16)",IF(C2181&lt;=20,"Evening (17-20)","Late (21-23)")))))</f>
        <v/>
      </c>
    </row>
    <row r="2182" customFormat="false" ht="15" hidden="false" customHeight="false" outlineLevel="0" collapsed="false">
      <c r="L2182" s="37" t="str">
        <f aca="false">IF(C2182="","",IF(C2182&lt;=5,"Night (00-05)",IF(C2182&lt;=11,"Morning (06-11)",IF(C2182&lt;=16,"Afternoon (12-16)",IF(C2182&lt;=20,"Evening (17-20)","Late (21-23)")))))</f>
        <v/>
      </c>
    </row>
    <row r="2183" customFormat="false" ht="15" hidden="false" customHeight="false" outlineLevel="0" collapsed="false">
      <c r="L2183" s="37" t="str">
        <f aca="false">IF(C2183="","",IF(C2183&lt;=5,"Night (00-05)",IF(C2183&lt;=11,"Morning (06-11)",IF(C2183&lt;=16,"Afternoon (12-16)",IF(C2183&lt;=20,"Evening (17-20)","Late (21-23)")))))</f>
        <v/>
      </c>
    </row>
    <row r="2184" customFormat="false" ht="15" hidden="false" customHeight="false" outlineLevel="0" collapsed="false">
      <c r="L2184" s="37" t="str">
        <f aca="false">IF(C2184="","",IF(C2184&lt;=5,"Night (00-05)",IF(C2184&lt;=11,"Morning (06-11)",IF(C2184&lt;=16,"Afternoon (12-16)",IF(C2184&lt;=20,"Evening (17-20)","Late (21-23)")))))</f>
        <v/>
      </c>
    </row>
    <row r="2185" customFormat="false" ht="15" hidden="false" customHeight="false" outlineLevel="0" collapsed="false">
      <c r="L2185" s="37" t="str">
        <f aca="false">IF(C2185="","",IF(C2185&lt;=5,"Night (00-05)",IF(C2185&lt;=11,"Morning (06-11)",IF(C2185&lt;=16,"Afternoon (12-16)",IF(C2185&lt;=20,"Evening (17-20)","Late (21-23)")))))</f>
        <v/>
      </c>
    </row>
    <row r="2186" customFormat="false" ht="15" hidden="false" customHeight="false" outlineLevel="0" collapsed="false">
      <c r="L2186" s="37" t="str">
        <f aca="false">IF(C2186="","",IF(C2186&lt;=5,"Night (00-05)",IF(C2186&lt;=11,"Morning (06-11)",IF(C2186&lt;=16,"Afternoon (12-16)",IF(C2186&lt;=20,"Evening (17-20)","Late (21-23)")))))</f>
        <v/>
      </c>
    </row>
    <row r="2187" customFormat="false" ht="15" hidden="false" customHeight="false" outlineLevel="0" collapsed="false">
      <c r="L2187" s="37" t="str">
        <f aca="false">IF(C2187="","",IF(C2187&lt;=5,"Night (00-05)",IF(C2187&lt;=11,"Morning (06-11)",IF(C2187&lt;=16,"Afternoon (12-16)",IF(C2187&lt;=20,"Evening (17-20)","Late (21-23)")))))</f>
        <v/>
      </c>
    </row>
    <row r="2188" customFormat="false" ht="15" hidden="false" customHeight="false" outlineLevel="0" collapsed="false">
      <c r="L2188" s="37" t="str">
        <f aca="false">IF(C2188="","",IF(C2188&lt;=5,"Night (00-05)",IF(C2188&lt;=11,"Morning (06-11)",IF(C2188&lt;=16,"Afternoon (12-16)",IF(C2188&lt;=20,"Evening (17-20)","Late (21-23)")))))</f>
        <v/>
      </c>
    </row>
    <row r="2189" customFormat="false" ht="15" hidden="false" customHeight="false" outlineLevel="0" collapsed="false">
      <c r="L2189" s="37" t="str">
        <f aca="false">IF(C2189="","",IF(C2189&lt;=5,"Night (00-05)",IF(C2189&lt;=11,"Morning (06-11)",IF(C2189&lt;=16,"Afternoon (12-16)",IF(C2189&lt;=20,"Evening (17-20)","Late (21-23)")))))</f>
        <v/>
      </c>
    </row>
    <row r="2190" customFormat="false" ht="15" hidden="false" customHeight="false" outlineLevel="0" collapsed="false">
      <c r="L2190" s="37" t="str">
        <f aca="false">IF(C2190="","",IF(C2190&lt;=5,"Night (00-05)",IF(C2190&lt;=11,"Morning (06-11)",IF(C2190&lt;=16,"Afternoon (12-16)",IF(C2190&lt;=20,"Evening (17-20)","Late (21-23)")))))</f>
        <v/>
      </c>
    </row>
    <row r="2191" customFormat="false" ht="15" hidden="false" customHeight="false" outlineLevel="0" collapsed="false">
      <c r="L2191" s="37" t="str">
        <f aca="false">IF(C2191="","",IF(C2191&lt;=5,"Night (00-05)",IF(C2191&lt;=11,"Morning (06-11)",IF(C2191&lt;=16,"Afternoon (12-16)",IF(C2191&lt;=20,"Evening (17-20)","Late (21-23)")))))</f>
        <v/>
      </c>
    </row>
    <row r="2192" customFormat="false" ht="15" hidden="false" customHeight="false" outlineLevel="0" collapsed="false">
      <c r="L2192" s="37" t="str">
        <f aca="false">IF(C2192="","",IF(C2192&lt;=5,"Night (00-05)",IF(C2192&lt;=11,"Morning (06-11)",IF(C2192&lt;=16,"Afternoon (12-16)",IF(C2192&lt;=20,"Evening (17-20)","Late (21-23)")))))</f>
        <v/>
      </c>
    </row>
    <row r="2193" customFormat="false" ht="15" hidden="false" customHeight="false" outlineLevel="0" collapsed="false">
      <c r="L2193" s="37" t="str">
        <f aca="false">IF(C2193="","",IF(C2193&lt;=5,"Night (00-05)",IF(C2193&lt;=11,"Morning (06-11)",IF(C2193&lt;=16,"Afternoon (12-16)",IF(C2193&lt;=20,"Evening (17-20)","Late (21-23)")))))</f>
        <v/>
      </c>
    </row>
    <row r="2194" customFormat="false" ht="15" hidden="false" customHeight="false" outlineLevel="0" collapsed="false">
      <c r="L2194" s="37" t="str">
        <f aca="false">IF(C2194="","",IF(C2194&lt;=5,"Night (00-05)",IF(C2194&lt;=11,"Morning (06-11)",IF(C2194&lt;=16,"Afternoon (12-16)",IF(C2194&lt;=20,"Evening (17-20)","Late (21-23)")))))</f>
        <v/>
      </c>
    </row>
    <row r="2195" customFormat="false" ht="15" hidden="false" customHeight="false" outlineLevel="0" collapsed="false">
      <c r="L2195" s="37" t="str">
        <f aca="false">IF(C2195="","",IF(C2195&lt;=5,"Night (00-05)",IF(C2195&lt;=11,"Morning (06-11)",IF(C2195&lt;=16,"Afternoon (12-16)",IF(C2195&lt;=20,"Evening (17-20)","Late (21-23)")))))</f>
        <v/>
      </c>
    </row>
    <row r="2196" customFormat="false" ht="15" hidden="false" customHeight="false" outlineLevel="0" collapsed="false">
      <c r="L2196" s="37" t="str">
        <f aca="false">IF(C2196="","",IF(C2196&lt;=5,"Night (00-05)",IF(C2196&lt;=11,"Morning (06-11)",IF(C2196&lt;=16,"Afternoon (12-16)",IF(C2196&lt;=20,"Evening (17-20)","Late (21-23)")))))</f>
        <v/>
      </c>
    </row>
    <row r="2197" customFormat="false" ht="15" hidden="false" customHeight="false" outlineLevel="0" collapsed="false">
      <c r="L2197" s="37" t="str">
        <f aca="false">IF(C2197="","",IF(C2197&lt;=5,"Night (00-05)",IF(C2197&lt;=11,"Morning (06-11)",IF(C2197&lt;=16,"Afternoon (12-16)",IF(C2197&lt;=20,"Evening (17-20)","Late (21-23)")))))</f>
        <v/>
      </c>
    </row>
    <row r="2198" customFormat="false" ht="15" hidden="false" customHeight="false" outlineLevel="0" collapsed="false">
      <c r="L2198" s="37" t="str">
        <f aca="false">IF(C2198="","",IF(C2198&lt;=5,"Night (00-05)",IF(C2198&lt;=11,"Morning (06-11)",IF(C2198&lt;=16,"Afternoon (12-16)",IF(C2198&lt;=20,"Evening (17-20)","Late (21-23)")))))</f>
        <v/>
      </c>
    </row>
    <row r="2199" customFormat="false" ht="15" hidden="false" customHeight="false" outlineLevel="0" collapsed="false">
      <c r="L2199" s="37" t="str">
        <f aca="false">IF(C2199="","",IF(C2199&lt;=5,"Night (00-05)",IF(C2199&lt;=11,"Morning (06-11)",IF(C2199&lt;=16,"Afternoon (12-16)",IF(C2199&lt;=20,"Evening (17-20)","Late (21-23)")))))</f>
        <v/>
      </c>
    </row>
    <row r="2200" customFormat="false" ht="15" hidden="false" customHeight="false" outlineLevel="0" collapsed="false">
      <c r="L2200" s="37" t="str">
        <f aca="false">IF(C2200="","",IF(C2200&lt;=5,"Night (00-05)",IF(C2200&lt;=11,"Morning (06-11)",IF(C2200&lt;=16,"Afternoon (12-16)",IF(C2200&lt;=20,"Evening (17-20)","Late (21-23)")))))</f>
        <v/>
      </c>
    </row>
    <row r="2201" customFormat="false" ht="15" hidden="false" customHeight="false" outlineLevel="0" collapsed="false">
      <c r="L2201" s="37" t="str">
        <f aca="false">IF(C2201="","",IF(C2201&lt;=5,"Night (00-05)",IF(C2201&lt;=11,"Morning (06-11)",IF(C2201&lt;=16,"Afternoon (12-16)",IF(C2201&lt;=20,"Evening (17-20)","Late (21-23)")))))</f>
        <v/>
      </c>
    </row>
    <row r="2202" customFormat="false" ht="15" hidden="false" customHeight="false" outlineLevel="0" collapsed="false">
      <c r="L2202" s="37" t="str">
        <f aca="false">IF(C2202="","",IF(C2202&lt;=5,"Night (00-05)",IF(C2202&lt;=11,"Morning (06-11)",IF(C2202&lt;=16,"Afternoon (12-16)",IF(C2202&lt;=20,"Evening (17-20)","Late (21-23)")))))</f>
        <v/>
      </c>
    </row>
    <row r="2203" customFormat="false" ht="15" hidden="false" customHeight="false" outlineLevel="0" collapsed="false">
      <c r="L2203" s="37" t="str">
        <f aca="false">IF(C2203="","",IF(C2203&lt;=5,"Night (00-05)",IF(C2203&lt;=11,"Morning (06-11)",IF(C2203&lt;=16,"Afternoon (12-16)",IF(C2203&lt;=20,"Evening (17-20)","Late (21-23)")))))</f>
        <v/>
      </c>
    </row>
    <row r="2204" customFormat="false" ht="15" hidden="false" customHeight="false" outlineLevel="0" collapsed="false">
      <c r="L2204" s="37" t="str">
        <f aca="false">IF(C2204="","",IF(C2204&lt;=5,"Night (00-05)",IF(C2204&lt;=11,"Morning (06-11)",IF(C2204&lt;=16,"Afternoon (12-16)",IF(C2204&lt;=20,"Evening (17-20)","Late (21-23)")))))</f>
        <v/>
      </c>
    </row>
    <row r="2205" customFormat="false" ht="15" hidden="false" customHeight="false" outlineLevel="0" collapsed="false">
      <c r="L2205" s="37" t="str">
        <f aca="false">IF(C2205="","",IF(C2205&lt;=5,"Night (00-05)",IF(C2205&lt;=11,"Morning (06-11)",IF(C2205&lt;=16,"Afternoon (12-16)",IF(C2205&lt;=20,"Evening (17-20)","Late (21-23)")))))</f>
        <v/>
      </c>
    </row>
    <row r="2206" customFormat="false" ht="15" hidden="false" customHeight="false" outlineLevel="0" collapsed="false">
      <c r="L2206" s="37" t="str">
        <f aca="false">IF(C2206="","",IF(C2206&lt;=5,"Night (00-05)",IF(C2206&lt;=11,"Morning (06-11)",IF(C2206&lt;=16,"Afternoon (12-16)",IF(C2206&lt;=20,"Evening (17-20)","Late (21-23)")))))</f>
        <v/>
      </c>
    </row>
    <row r="2207" customFormat="false" ht="15" hidden="false" customHeight="false" outlineLevel="0" collapsed="false">
      <c r="L2207" s="37" t="str">
        <f aca="false">IF(C2207="","",IF(C2207&lt;=5,"Night (00-05)",IF(C2207&lt;=11,"Morning (06-11)",IF(C2207&lt;=16,"Afternoon (12-16)",IF(C2207&lt;=20,"Evening (17-20)","Late (21-23)")))))</f>
        <v/>
      </c>
    </row>
    <row r="2208" customFormat="false" ht="15" hidden="false" customHeight="false" outlineLevel="0" collapsed="false">
      <c r="L2208" s="37" t="str">
        <f aca="false">IF(C2208="","",IF(C2208&lt;=5,"Night (00-05)",IF(C2208&lt;=11,"Morning (06-11)",IF(C2208&lt;=16,"Afternoon (12-16)",IF(C2208&lt;=20,"Evening (17-20)","Late (21-23)")))))</f>
        <v/>
      </c>
    </row>
    <row r="2209" customFormat="false" ht="15" hidden="false" customHeight="false" outlineLevel="0" collapsed="false">
      <c r="L2209" s="37" t="str">
        <f aca="false">IF(C2209="","",IF(C2209&lt;=5,"Night (00-05)",IF(C2209&lt;=11,"Morning (06-11)",IF(C2209&lt;=16,"Afternoon (12-16)",IF(C2209&lt;=20,"Evening (17-20)","Late (21-23)")))))</f>
        <v/>
      </c>
    </row>
    <row r="2210" customFormat="false" ht="15" hidden="false" customHeight="false" outlineLevel="0" collapsed="false">
      <c r="L2210" s="37" t="str">
        <f aca="false">IF(C2210="","",IF(C2210&lt;=5,"Night (00-05)",IF(C2210&lt;=11,"Morning (06-11)",IF(C2210&lt;=16,"Afternoon (12-16)",IF(C2210&lt;=20,"Evening (17-20)","Late (21-23)")))))</f>
        <v/>
      </c>
    </row>
    <row r="2211" customFormat="false" ht="15" hidden="false" customHeight="false" outlineLevel="0" collapsed="false">
      <c r="L2211" s="37" t="str">
        <f aca="false">IF(C2211="","",IF(C2211&lt;=5,"Night (00-05)",IF(C2211&lt;=11,"Morning (06-11)",IF(C2211&lt;=16,"Afternoon (12-16)",IF(C2211&lt;=20,"Evening (17-20)","Late (21-23)")))))</f>
        <v/>
      </c>
    </row>
    <row r="2212" customFormat="false" ht="15" hidden="false" customHeight="false" outlineLevel="0" collapsed="false">
      <c r="L2212" s="37" t="str">
        <f aca="false">IF(C2212="","",IF(C2212&lt;=5,"Night (00-05)",IF(C2212&lt;=11,"Morning (06-11)",IF(C2212&lt;=16,"Afternoon (12-16)",IF(C2212&lt;=20,"Evening (17-20)","Late (21-23)")))))</f>
        <v/>
      </c>
    </row>
    <row r="2213" customFormat="false" ht="15" hidden="false" customHeight="false" outlineLevel="0" collapsed="false">
      <c r="L2213" s="37" t="str">
        <f aca="false">IF(C2213="","",IF(C2213&lt;=5,"Night (00-05)",IF(C2213&lt;=11,"Morning (06-11)",IF(C2213&lt;=16,"Afternoon (12-16)",IF(C2213&lt;=20,"Evening (17-20)","Late (21-23)")))))</f>
        <v/>
      </c>
    </row>
    <row r="2214" customFormat="false" ht="15" hidden="false" customHeight="false" outlineLevel="0" collapsed="false">
      <c r="L2214" s="37" t="str">
        <f aca="false">IF(C2214="","",IF(C2214&lt;=5,"Night (00-05)",IF(C2214&lt;=11,"Morning (06-11)",IF(C2214&lt;=16,"Afternoon (12-16)",IF(C2214&lt;=20,"Evening (17-20)","Late (21-23)")))))</f>
        <v/>
      </c>
    </row>
    <row r="2215" customFormat="false" ht="15" hidden="false" customHeight="false" outlineLevel="0" collapsed="false">
      <c r="L2215" s="37" t="str">
        <f aca="false">IF(C2215="","",IF(C2215&lt;=5,"Night (00-05)",IF(C2215&lt;=11,"Morning (06-11)",IF(C2215&lt;=16,"Afternoon (12-16)",IF(C2215&lt;=20,"Evening (17-20)","Late (21-23)")))))</f>
        <v/>
      </c>
    </row>
    <row r="2216" customFormat="false" ht="15" hidden="false" customHeight="false" outlineLevel="0" collapsed="false">
      <c r="L2216" s="37" t="str">
        <f aca="false">IF(C2216="","",IF(C2216&lt;=5,"Night (00-05)",IF(C2216&lt;=11,"Morning (06-11)",IF(C2216&lt;=16,"Afternoon (12-16)",IF(C2216&lt;=20,"Evening (17-20)","Late (21-23)")))))</f>
        <v/>
      </c>
    </row>
    <row r="2217" customFormat="false" ht="15" hidden="false" customHeight="false" outlineLevel="0" collapsed="false">
      <c r="L2217" s="37" t="str">
        <f aca="false">IF(C2217="","",IF(C2217&lt;=5,"Night (00-05)",IF(C2217&lt;=11,"Morning (06-11)",IF(C2217&lt;=16,"Afternoon (12-16)",IF(C2217&lt;=20,"Evening (17-20)","Late (21-23)")))))</f>
        <v/>
      </c>
    </row>
    <row r="2218" customFormat="false" ht="15" hidden="false" customHeight="false" outlineLevel="0" collapsed="false">
      <c r="L2218" s="37" t="str">
        <f aca="false">IF(C2218="","",IF(C2218&lt;=5,"Night (00-05)",IF(C2218&lt;=11,"Morning (06-11)",IF(C2218&lt;=16,"Afternoon (12-16)",IF(C2218&lt;=20,"Evening (17-20)","Late (21-23)")))))</f>
        <v/>
      </c>
    </row>
    <row r="2219" customFormat="false" ht="15" hidden="false" customHeight="false" outlineLevel="0" collapsed="false">
      <c r="L2219" s="37" t="str">
        <f aca="false">IF(C2219="","",IF(C2219&lt;=5,"Night (00-05)",IF(C2219&lt;=11,"Morning (06-11)",IF(C2219&lt;=16,"Afternoon (12-16)",IF(C2219&lt;=20,"Evening (17-20)","Late (21-23)")))))</f>
        <v/>
      </c>
    </row>
    <row r="2220" customFormat="false" ht="15" hidden="false" customHeight="false" outlineLevel="0" collapsed="false">
      <c r="L2220" s="37" t="str">
        <f aca="false">IF(C2220="","",IF(C2220&lt;=5,"Night (00-05)",IF(C2220&lt;=11,"Morning (06-11)",IF(C2220&lt;=16,"Afternoon (12-16)",IF(C2220&lt;=20,"Evening (17-20)","Late (21-23)")))))</f>
        <v/>
      </c>
    </row>
    <row r="2221" customFormat="false" ht="15" hidden="false" customHeight="false" outlineLevel="0" collapsed="false">
      <c r="L2221" s="37" t="str">
        <f aca="false">IF(C2221="","",IF(C2221&lt;=5,"Night (00-05)",IF(C2221&lt;=11,"Morning (06-11)",IF(C2221&lt;=16,"Afternoon (12-16)",IF(C2221&lt;=20,"Evening (17-20)","Late (21-23)")))))</f>
        <v/>
      </c>
    </row>
    <row r="2222" customFormat="false" ht="15" hidden="false" customHeight="false" outlineLevel="0" collapsed="false">
      <c r="L2222" s="37" t="str">
        <f aca="false">IF(C2222="","",IF(C2222&lt;=5,"Night (00-05)",IF(C2222&lt;=11,"Morning (06-11)",IF(C2222&lt;=16,"Afternoon (12-16)",IF(C2222&lt;=20,"Evening (17-20)","Late (21-23)")))))</f>
        <v/>
      </c>
    </row>
    <row r="2223" customFormat="false" ht="15" hidden="false" customHeight="false" outlineLevel="0" collapsed="false">
      <c r="L2223" s="37" t="str">
        <f aca="false">IF(C2223="","",IF(C2223&lt;=5,"Night (00-05)",IF(C2223&lt;=11,"Morning (06-11)",IF(C2223&lt;=16,"Afternoon (12-16)",IF(C2223&lt;=20,"Evening (17-20)","Late (21-23)")))))</f>
        <v/>
      </c>
    </row>
    <row r="2224" customFormat="false" ht="15" hidden="false" customHeight="false" outlineLevel="0" collapsed="false">
      <c r="L2224" s="37" t="str">
        <f aca="false">IF(C2224="","",IF(C2224&lt;=5,"Night (00-05)",IF(C2224&lt;=11,"Morning (06-11)",IF(C2224&lt;=16,"Afternoon (12-16)",IF(C2224&lt;=20,"Evening (17-20)","Late (21-23)")))))</f>
        <v/>
      </c>
    </row>
    <row r="2225" customFormat="false" ht="15" hidden="false" customHeight="false" outlineLevel="0" collapsed="false">
      <c r="L2225" s="37" t="str">
        <f aca="false">IF(C2225="","",IF(C2225&lt;=5,"Night (00-05)",IF(C2225&lt;=11,"Morning (06-11)",IF(C2225&lt;=16,"Afternoon (12-16)",IF(C2225&lt;=20,"Evening (17-20)","Late (21-23)")))))</f>
        <v/>
      </c>
    </row>
    <row r="2226" customFormat="false" ht="15" hidden="false" customHeight="false" outlineLevel="0" collapsed="false">
      <c r="L2226" s="37" t="str">
        <f aca="false">IF(C2226="","",IF(C2226&lt;=5,"Night (00-05)",IF(C2226&lt;=11,"Morning (06-11)",IF(C2226&lt;=16,"Afternoon (12-16)",IF(C2226&lt;=20,"Evening (17-20)","Late (21-23)")))))</f>
        <v/>
      </c>
    </row>
    <row r="2227" customFormat="false" ht="15" hidden="false" customHeight="false" outlineLevel="0" collapsed="false">
      <c r="L2227" s="37" t="str">
        <f aca="false">IF(C2227="","",IF(C2227&lt;=5,"Night (00-05)",IF(C2227&lt;=11,"Morning (06-11)",IF(C2227&lt;=16,"Afternoon (12-16)",IF(C2227&lt;=20,"Evening (17-20)","Late (21-23)")))))</f>
        <v/>
      </c>
    </row>
    <row r="2228" customFormat="false" ht="15" hidden="false" customHeight="false" outlineLevel="0" collapsed="false">
      <c r="L2228" s="37" t="str">
        <f aca="false">IF(C2228="","",IF(C2228&lt;=5,"Night (00-05)",IF(C2228&lt;=11,"Morning (06-11)",IF(C2228&lt;=16,"Afternoon (12-16)",IF(C2228&lt;=20,"Evening (17-20)","Late (21-23)")))))</f>
        <v/>
      </c>
    </row>
    <row r="2229" customFormat="false" ht="15" hidden="false" customHeight="false" outlineLevel="0" collapsed="false">
      <c r="L2229" s="37" t="str">
        <f aca="false">IF(C2229="","",IF(C2229&lt;=5,"Night (00-05)",IF(C2229&lt;=11,"Morning (06-11)",IF(C2229&lt;=16,"Afternoon (12-16)",IF(C2229&lt;=20,"Evening (17-20)","Late (21-23)")))))</f>
        <v/>
      </c>
    </row>
    <row r="2230" customFormat="false" ht="15" hidden="false" customHeight="false" outlineLevel="0" collapsed="false">
      <c r="L2230" s="37" t="str">
        <f aca="false">IF(C2230="","",IF(C2230&lt;=5,"Night (00-05)",IF(C2230&lt;=11,"Morning (06-11)",IF(C2230&lt;=16,"Afternoon (12-16)",IF(C2230&lt;=20,"Evening (17-20)","Late (21-23)")))))</f>
        <v/>
      </c>
    </row>
    <row r="2231" customFormat="false" ht="15" hidden="false" customHeight="false" outlineLevel="0" collapsed="false">
      <c r="L2231" s="37" t="str">
        <f aca="false">IF(C2231="","",IF(C2231&lt;=5,"Night (00-05)",IF(C2231&lt;=11,"Morning (06-11)",IF(C2231&lt;=16,"Afternoon (12-16)",IF(C2231&lt;=20,"Evening (17-20)","Late (21-23)")))))</f>
        <v/>
      </c>
    </row>
    <row r="2232" customFormat="false" ht="15" hidden="false" customHeight="false" outlineLevel="0" collapsed="false">
      <c r="L2232" s="37" t="str">
        <f aca="false">IF(C2232="","",IF(C2232&lt;=5,"Night (00-05)",IF(C2232&lt;=11,"Morning (06-11)",IF(C2232&lt;=16,"Afternoon (12-16)",IF(C2232&lt;=20,"Evening (17-20)","Late (21-23)")))))</f>
        <v/>
      </c>
    </row>
    <row r="2233" customFormat="false" ht="15" hidden="false" customHeight="false" outlineLevel="0" collapsed="false">
      <c r="L2233" s="37" t="str">
        <f aca="false">IF(C2233="","",IF(C2233&lt;=5,"Night (00-05)",IF(C2233&lt;=11,"Morning (06-11)",IF(C2233&lt;=16,"Afternoon (12-16)",IF(C2233&lt;=20,"Evening (17-20)","Late (21-23)")))))</f>
        <v/>
      </c>
    </row>
    <row r="2234" customFormat="false" ht="15" hidden="false" customHeight="false" outlineLevel="0" collapsed="false">
      <c r="L2234" s="37" t="str">
        <f aca="false">IF(C2234="","",IF(C2234&lt;=5,"Night (00-05)",IF(C2234&lt;=11,"Morning (06-11)",IF(C2234&lt;=16,"Afternoon (12-16)",IF(C2234&lt;=20,"Evening (17-20)","Late (21-23)")))))</f>
        <v/>
      </c>
    </row>
    <row r="2235" customFormat="false" ht="15" hidden="false" customHeight="false" outlineLevel="0" collapsed="false">
      <c r="L2235" s="37" t="str">
        <f aca="false">IF(C2235="","",IF(C2235&lt;=5,"Night (00-05)",IF(C2235&lt;=11,"Morning (06-11)",IF(C2235&lt;=16,"Afternoon (12-16)",IF(C2235&lt;=20,"Evening (17-20)","Late (21-23)")))))</f>
        <v/>
      </c>
    </row>
    <row r="2236" customFormat="false" ht="15" hidden="false" customHeight="false" outlineLevel="0" collapsed="false">
      <c r="L2236" s="37" t="str">
        <f aca="false">IF(C2236="","",IF(C2236&lt;=5,"Night (00-05)",IF(C2236&lt;=11,"Morning (06-11)",IF(C2236&lt;=16,"Afternoon (12-16)",IF(C2236&lt;=20,"Evening (17-20)","Late (21-23)")))))</f>
        <v/>
      </c>
    </row>
    <row r="2237" customFormat="false" ht="15" hidden="false" customHeight="false" outlineLevel="0" collapsed="false">
      <c r="L2237" s="37" t="str">
        <f aca="false">IF(C2237="","",IF(C2237&lt;=5,"Night (00-05)",IF(C2237&lt;=11,"Morning (06-11)",IF(C2237&lt;=16,"Afternoon (12-16)",IF(C2237&lt;=20,"Evening (17-20)","Late (21-23)")))))</f>
        <v/>
      </c>
    </row>
    <row r="2238" customFormat="false" ht="15" hidden="false" customHeight="false" outlineLevel="0" collapsed="false">
      <c r="L2238" s="37" t="str">
        <f aca="false">IF(C2238="","",IF(C2238&lt;=5,"Night (00-05)",IF(C2238&lt;=11,"Morning (06-11)",IF(C2238&lt;=16,"Afternoon (12-16)",IF(C2238&lt;=20,"Evening (17-20)","Late (21-23)")))))</f>
        <v/>
      </c>
    </row>
    <row r="2239" customFormat="false" ht="15" hidden="false" customHeight="false" outlineLevel="0" collapsed="false">
      <c r="L2239" s="37" t="str">
        <f aca="false">IF(C2239="","",IF(C2239&lt;=5,"Night (00-05)",IF(C2239&lt;=11,"Morning (06-11)",IF(C2239&lt;=16,"Afternoon (12-16)",IF(C2239&lt;=20,"Evening (17-20)","Late (21-23)")))))</f>
        <v/>
      </c>
    </row>
    <row r="2240" customFormat="false" ht="15" hidden="false" customHeight="false" outlineLevel="0" collapsed="false">
      <c r="L2240" s="37" t="str">
        <f aca="false">IF(C2240="","",IF(C2240&lt;=5,"Night (00-05)",IF(C2240&lt;=11,"Morning (06-11)",IF(C2240&lt;=16,"Afternoon (12-16)",IF(C2240&lt;=20,"Evening (17-20)","Late (21-23)")))))</f>
        <v/>
      </c>
    </row>
    <row r="2241" customFormat="false" ht="15" hidden="false" customHeight="false" outlineLevel="0" collapsed="false">
      <c r="L2241" s="37" t="str">
        <f aca="false">IF(C2241="","",IF(C2241&lt;=5,"Night (00-05)",IF(C2241&lt;=11,"Morning (06-11)",IF(C2241&lt;=16,"Afternoon (12-16)",IF(C2241&lt;=20,"Evening (17-20)","Late (21-23)")))))</f>
        <v/>
      </c>
    </row>
    <row r="2242" customFormat="false" ht="15" hidden="false" customHeight="false" outlineLevel="0" collapsed="false">
      <c r="L2242" s="37" t="str">
        <f aca="false">IF(C2242="","",IF(C2242&lt;=5,"Night (00-05)",IF(C2242&lt;=11,"Morning (06-11)",IF(C2242&lt;=16,"Afternoon (12-16)",IF(C2242&lt;=20,"Evening (17-20)","Late (21-23)")))))</f>
        <v/>
      </c>
    </row>
    <row r="2243" customFormat="false" ht="15" hidden="false" customHeight="false" outlineLevel="0" collapsed="false">
      <c r="L2243" s="37" t="str">
        <f aca="false">IF(C2243="","",IF(C2243&lt;=5,"Night (00-05)",IF(C2243&lt;=11,"Morning (06-11)",IF(C2243&lt;=16,"Afternoon (12-16)",IF(C2243&lt;=20,"Evening (17-20)","Late (21-23)")))))</f>
        <v/>
      </c>
    </row>
    <row r="2244" customFormat="false" ht="15" hidden="false" customHeight="false" outlineLevel="0" collapsed="false">
      <c r="L2244" s="37" t="str">
        <f aca="false">IF(C2244="","",IF(C2244&lt;=5,"Night (00-05)",IF(C2244&lt;=11,"Morning (06-11)",IF(C2244&lt;=16,"Afternoon (12-16)",IF(C2244&lt;=20,"Evening (17-20)","Late (21-23)")))))</f>
        <v/>
      </c>
    </row>
    <row r="2245" customFormat="false" ht="15" hidden="false" customHeight="false" outlineLevel="0" collapsed="false">
      <c r="L2245" s="37" t="str">
        <f aca="false">IF(C2245="","",IF(C2245&lt;=5,"Night (00-05)",IF(C2245&lt;=11,"Morning (06-11)",IF(C2245&lt;=16,"Afternoon (12-16)",IF(C2245&lt;=20,"Evening (17-20)","Late (21-23)")))))</f>
        <v/>
      </c>
    </row>
    <row r="2246" customFormat="false" ht="15" hidden="false" customHeight="false" outlineLevel="0" collapsed="false">
      <c r="L2246" s="37" t="str">
        <f aca="false">IF(C2246="","",IF(C2246&lt;=5,"Night (00-05)",IF(C2246&lt;=11,"Morning (06-11)",IF(C2246&lt;=16,"Afternoon (12-16)",IF(C2246&lt;=20,"Evening (17-20)","Late (21-23)")))))</f>
        <v/>
      </c>
    </row>
    <row r="2247" customFormat="false" ht="15" hidden="false" customHeight="false" outlineLevel="0" collapsed="false">
      <c r="L2247" s="37" t="str">
        <f aca="false">IF(C2247="","",IF(C2247&lt;=5,"Night (00-05)",IF(C2247&lt;=11,"Morning (06-11)",IF(C2247&lt;=16,"Afternoon (12-16)",IF(C2247&lt;=20,"Evening (17-20)","Late (21-23)")))))</f>
        <v/>
      </c>
    </row>
    <row r="2248" customFormat="false" ht="15" hidden="false" customHeight="false" outlineLevel="0" collapsed="false">
      <c r="L2248" s="37" t="str">
        <f aca="false">IF(C2248="","",IF(C2248&lt;=5,"Night (00-05)",IF(C2248&lt;=11,"Morning (06-11)",IF(C2248&lt;=16,"Afternoon (12-16)",IF(C2248&lt;=20,"Evening (17-20)","Late (21-23)")))))</f>
        <v/>
      </c>
    </row>
    <row r="2249" customFormat="false" ht="15" hidden="false" customHeight="false" outlineLevel="0" collapsed="false">
      <c r="L2249" s="37" t="str">
        <f aca="false">IF(C2249="","",IF(C2249&lt;=5,"Night (00-05)",IF(C2249&lt;=11,"Morning (06-11)",IF(C2249&lt;=16,"Afternoon (12-16)",IF(C2249&lt;=20,"Evening (17-20)","Late (21-23)")))))</f>
        <v/>
      </c>
    </row>
    <row r="2250" customFormat="false" ht="15" hidden="false" customHeight="false" outlineLevel="0" collapsed="false">
      <c r="L2250" s="37" t="str">
        <f aca="false">IF(C2250="","",IF(C2250&lt;=5,"Night (00-05)",IF(C2250&lt;=11,"Morning (06-11)",IF(C2250&lt;=16,"Afternoon (12-16)",IF(C2250&lt;=20,"Evening (17-20)","Late (21-23)")))))</f>
        <v/>
      </c>
    </row>
    <row r="2251" customFormat="false" ht="15" hidden="false" customHeight="false" outlineLevel="0" collapsed="false">
      <c r="L2251" s="37" t="str">
        <f aca="false">IF(C2251="","",IF(C2251&lt;=5,"Night (00-05)",IF(C2251&lt;=11,"Morning (06-11)",IF(C2251&lt;=16,"Afternoon (12-16)",IF(C2251&lt;=20,"Evening (17-20)","Late (21-23)")))))</f>
        <v/>
      </c>
    </row>
    <row r="2252" customFormat="false" ht="15" hidden="false" customHeight="false" outlineLevel="0" collapsed="false">
      <c r="L2252" s="37" t="str">
        <f aca="false">IF(C2252="","",IF(C2252&lt;=5,"Night (00-05)",IF(C2252&lt;=11,"Morning (06-11)",IF(C2252&lt;=16,"Afternoon (12-16)",IF(C2252&lt;=20,"Evening (17-20)","Late (21-23)")))))</f>
        <v/>
      </c>
    </row>
    <row r="2253" customFormat="false" ht="15" hidden="false" customHeight="false" outlineLevel="0" collapsed="false">
      <c r="L2253" s="37" t="str">
        <f aca="false">IF(C2253="","",IF(C2253&lt;=5,"Night (00-05)",IF(C2253&lt;=11,"Morning (06-11)",IF(C2253&lt;=16,"Afternoon (12-16)",IF(C2253&lt;=20,"Evening (17-20)","Late (21-23)")))))</f>
        <v/>
      </c>
    </row>
    <row r="2254" customFormat="false" ht="15" hidden="false" customHeight="false" outlineLevel="0" collapsed="false">
      <c r="L2254" s="37" t="str">
        <f aca="false">IF(C2254="","",IF(C2254&lt;=5,"Night (00-05)",IF(C2254&lt;=11,"Morning (06-11)",IF(C2254&lt;=16,"Afternoon (12-16)",IF(C2254&lt;=20,"Evening (17-20)","Late (21-23)")))))</f>
        <v/>
      </c>
    </row>
    <row r="2255" customFormat="false" ht="15" hidden="false" customHeight="false" outlineLevel="0" collapsed="false">
      <c r="L2255" s="37" t="str">
        <f aca="false">IF(C2255="","",IF(C2255&lt;=5,"Night (00-05)",IF(C2255&lt;=11,"Morning (06-11)",IF(C2255&lt;=16,"Afternoon (12-16)",IF(C2255&lt;=20,"Evening (17-20)","Late (21-23)")))))</f>
        <v/>
      </c>
    </row>
    <row r="2256" customFormat="false" ht="15" hidden="false" customHeight="false" outlineLevel="0" collapsed="false">
      <c r="L2256" s="37" t="str">
        <f aca="false">IF(C2256="","",IF(C2256&lt;=5,"Night (00-05)",IF(C2256&lt;=11,"Morning (06-11)",IF(C2256&lt;=16,"Afternoon (12-16)",IF(C2256&lt;=20,"Evening (17-20)","Late (21-23)")))))</f>
        <v/>
      </c>
    </row>
    <row r="2257" customFormat="false" ht="15" hidden="false" customHeight="false" outlineLevel="0" collapsed="false">
      <c r="L2257" s="37" t="str">
        <f aca="false">IF(C2257="","",IF(C2257&lt;=5,"Night (00-05)",IF(C2257&lt;=11,"Morning (06-11)",IF(C2257&lt;=16,"Afternoon (12-16)",IF(C2257&lt;=20,"Evening (17-20)","Late (21-23)")))))</f>
        <v/>
      </c>
    </row>
    <row r="2258" customFormat="false" ht="15" hidden="false" customHeight="false" outlineLevel="0" collapsed="false">
      <c r="L2258" s="37" t="str">
        <f aca="false">IF(C2258="","",IF(C2258&lt;=5,"Night (00-05)",IF(C2258&lt;=11,"Morning (06-11)",IF(C2258&lt;=16,"Afternoon (12-16)",IF(C2258&lt;=20,"Evening (17-20)","Late (21-23)")))))</f>
        <v/>
      </c>
    </row>
    <row r="2259" customFormat="false" ht="15" hidden="false" customHeight="false" outlineLevel="0" collapsed="false">
      <c r="L2259" s="37" t="str">
        <f aca="false">IF(C2259="","",IF(C2259&lt;=5,"Night (00-05)",IF(C2259&lt;=11,"Morning (06-11)",IF(C2259&lt;=16,"Afternoon (12-16)",IF(C2259&lt;=20,"Evening (17-20)","Late (21-23)")))))</f>
        <v/>
      </c>
    </row>
    <row r="2260" customFormat="false" ht="15" hidden="false" customHeight="false" outlineLevel="0" collapsed="false">
      <c r="L2260" s="37" t="str">
        <f aca="false">IF(C2260="","",IF(C2260&lt;=5,"Night (00-05)",IF(C2260&lt;=11,"Morning (06-11)",IF(C2260&lt;=16,"Afternoon (12-16)",IF(C2260&lt;=20,"Evening (17-20)","Late (21-23)")))))</f>
        <v/>
      </c>
    </row>
    <row r="2261" customFormat="false" ht="15" hidden="false" customHeight="false" outlineLevel="0" collapsed="false">
      <c r="L2261" s="37" t="str">
        <f aca="false">IF(C2261="","",IF(C2261&lt;=5,"Night (00-05)",IF(C2261&lt;=11,"Morning (06-11)",IF(C2261&lt;=16,"Afternoon (12-16)",IF(C2261&lt;=20,"Evening (17-20)","Late (21-23)")))))</f>
        <v/>
      </c>
    </row>
    <row r="2262" customFormat="false" ht="15" hidden="false" customHeight="false" outlineLevel="0" collapsed="false">
      <c r="L2262" s="37" t="str">
        <f aca="false">IF(C2262="","",IF(C2262&lt;=5,"Night (00-05)",IF(C2262&lt;=11,"Morning (06-11)",IF(C2262&lt;=16,"Afternoon (12-16)",IF(C2262&lt;=20,"Evening (17-20)","Late (21-23)")))))</f>
        <v/>
      </c>
    </row>
    <row r="2263" customFormat="false" ht="15" hidden="false" customHeight="false" outlineLevel="0" collapsed="false">
      <c r="L2263" s="37" t="str">
        <f aca="false">IF(C2263="","",IF(C2263&lt;=5,"Night (00-05)",IF(C2263&lt;=11,"Morning (06-11)",IF(C2263&lt;=16,"Afternoon (12-16)",IF(C2263&lt;=20,"Evening (17-20)","Late (21-23)")))))</f>
        <v/>
      </c>
    </row>
    <row r="2264" customFormat="false" ht="15" hidden="false" customHeight="false" outlineLevel="0" collapsed="false">
      <c r="L2264" s="37" t="str">
        <f aca="false">IF(C2264="","",IF(C2264&lt;=5,"Night (00-05)",IF(C2264&lt;=11,"Morning (06-11)",IF(C2264&lt;=16,"Afternoon (12-16)",IF(C2264&lt;=20,"Evening (17-20)","Late (21-23)")))))</f>
        <v/>
      </c>
    </row>
    <row r="2265" customFormat="false" ht="15" hidden="false" customHeight="false" outlineLevel="0" collapsed="false">
      <c r="L2265" s="37" t="str">
        <f aca="false">IF(C2265="","",IF(C2265&lt;=5,"Night (00-05)",IF(C2265&lt;=11,"Morning (06-11)",IF(C2265&lt;=16,"Afternoon (12-16)",IF(C2265&lt;=20,"Evening (17-20)","Late (21-23)")))))</f>
        <v/>
      </c>
    </row>
    <row r="2266" customFormat="false" ht="15" hidden="false" customHeight="false" outlineLevel="0" collapsed="false">
      <c r="L2266" s="37" t="str">
        <f aca="false">IF(C2266="","",IF(C2266&lt;=5,"Night (00-05)",IF(C2266&lt;=11,"Morning (06-11)",IF(C2266&lt;=16,"Afternoon (12-16)",IF(C2266&lt;=20,"Evening (17-20)","Late (21-23)")))))</f>
        <v/>
      </c>
    </row>
    <row r="2267" customFormat="false" ht="15" hidden="false" customHeight="false" outlineLevel="0" collapsed="false">
      <c r="L2267" s="37" t="str">
        <f aca="false">IF(C2267="","",IF(C2267&lt;=5,"Night (00-05)",IF(C2267&lt;=11,"Morning (06-11)",IF(C2267&lt;=16,"Afternoon (12-16)",IF(C2267&lt;=20,"Evening (17-20)","Late (21-23)")))))</f>
        <v/>
      </c>
    </row>
    <row r="2268" customFormat="false" ht="15" hidden="false" customHeight="false" outlineLevel="0" collapsed="false">
      <c r="L2268" s="37" t="str">
        <f aca="false">IF(C2268="","",IF(C2268&lt;=5,"Night (00-05)",IF(C2268&lt;=11,"Morning (06-11)",IF(C2268&lt;=16,"Afternoon (12-16)",IF(C2268&lt;=20,"Evening (17-20)","Late (21-23)")))))</f>
        <v/>
      </c>
    </row>
    <row r="2269" customFormat="false" ht="15" hidden="false" customHeight="false" outlineLevel="0" collapsed="false">
      <c r="L2269" s="37" t="str">
        <f aca="false">IF(C2269="","",IF(C2269&lt;=5,"Night (00-05)",IF(C2269&lt;=11,"Morning (06-11)",IF(C2269&lt;=16,"Afternoon (12-16)",IF(C2269&lt;=20,"Evening (17-20)","Late (21-23)")))))</f>
        <v/>
      </c>
    </row>
    <row r="2270" customFormat="false" ht="15" hidden="false" customHeight="false" outlineLevel="0" collapsed="false">
      <c r="L2270" s="37" t="str">
        <f aca="false">IF(C2270="","",IF(C2270&lt;=5,"Night (00-05)",IF(C2270&lt;=11,"Morning (06-11)",IF(C2270&lt;=16,"Afternoon (12-16)",IF(C2270&lt;=20,"Evening (17-20)","Late (21-23)")))))</f>
        <v/>
      </c>
    </row>
    <row r="2271" customFormat="false" ht="15" hidden="false" customHeight="false" outlineLevel="0" collapsed="false">
      <c r="L2271" s="37" t="str">
        <f aca="false">IF(C2271="","",IF(C2271&lt;=5,"Night (00-05)",IF(C2271&lt;=11,"Morning (06-11)",IF(C2271&lt;=16,"Afternoon (12-16)",IF(C2271&lt;=20,"Evening (17-20)","Late (21-23)")))))</f>
        <v/>
      </c>
    </row>
    <row r="2272" customFormat="false" ht="15" hidden="false" customHeight="false" outlineLevel="0" collapsed="false">
      <c r="L2272" s="37" t="str">
        <f aca="false">IF(C2272="","",IF(C2272&lt;=5,"Night (00-05)",IF(C2272&lt;=11,"Morning (06-11)",IF(C2272&lt;=16,"Afternoon (12-16)",IF(C2272&lt;=20,"Evening (17-20)","Late (21-23)")))))</f>
        <v/>
      </c>
    </row>
    <row r="2273" customFormat="false" ht="15" hidden="false" customHeight="false" outlineLevel="0" collapsed="false">
      <c r="L2273" s="37" t="str">
        <f aca="false">IF(C2273="","",IF(C2273&lt;=5,"Night (00-05)",IF(C2273&lt;=11,"Morning (06-11)",IF(C2273&lt;=16,"Afternoon (12-16)",IF(C2273&lt;=20,"Evening (17-20)","Late (21-23)")))))</f>
        <v/>
      </c>
    </row>
    <row r="2274" customFormat="false" ht="15" hidden="false" customHeight="false" outlineLevel="0" collapsed="false">
      <c r="L2274" s="37" t="str">
        <f aca="false">IF(C2274="","",IF(C2274&lt;=5,"Night (00-05)",IF(C2274&lt;=11,"Morning (06-11)",IF(C2274&lt;=16,"Afternoon (12-16)",IF(C2274&lt;=20,"Evening (17-20)","Late (21-23)")))))</f>
        <v/>
      </c>
    </row>
    <row r="2275" customFormat="false" ht="15" hidden="false" customHeight="false" outlineLevel="0" collapsed="false">
      <c r="L2275" s="37" t="str">
        <f aca="false">IF(C2275="","",IF(C2275&lt;=5,"Night (00-05)",IF(C2275&lt;=11,"Morning (06-11)",IF(C2275&lt;=16,"Afternoon (12-16)",IF(C2275&lt;=20,"Evening (17-20)","Late (21-23)")))))</f>
        <v/>
      </c>
    </row>
    <row r="2276" customFormat="false" ht="15" hidden="false" customHeight="false" outlineLevel="0" collapsed="false">
      <c r="L2276" s="37" t="str">
        <f aca="false">IF(C2276="","",IF(C2276&lt;=5,"Night (00-05)",IF(C2276&lt;=11,"Morning (06-11)",IF(C2276&lt;=16,"Afternoon (12-16)",IF(C2276&lt;=20,"Evening (17-20)","Late (21-23)")))))</f>
        <v/>
      </c>
    </row>
    <row r="2277" customFormat="false" ht="15" hidden="false" customHeight="false" outlineLevel="0" collapsed="false">
      <c r="L2277" s="37" t="str">
        <f aca="false">IF(C2277="","",IF(C2277&lt;=5,"Night (00-05)",IF(C2277&lt;=11,"Morning (06-11)",IF(C2277&lt;=16,"Afternoon (12-16)",IF(C2277&lt;=20,"Evening (17-20)","Late (21-23)")))))</f>
        <v/>
      </c>
    </row>
    <row r="2278" customFormat="false" ht="15" hidden="false" customHeight="false" outlineLevel="0" collapsed="false">
      <c r="L2278" s="37" t="str">
        <f aca="false">IF(C2278="","",IF(C2278&lt;=5,"Night (00-05)",IF(C2278&lt;=11,"Morning (06-11)",IF(C2278&lt;=16,"Afternoon (12-16)",IF(C2278&lt;=20,"Evening (17-20)","Late (21-23)")))))</f>
        <v/>
      </c>
    </row>
    <row r="2279" customFormat="false" ht="15" hidden="false" customHeight="false" outlineLevel="0" collapsed="false">
      <c r="L2279" s="37" t="str">
        <f aca="false">IF(C2279="","",IF(C2279&lt;=5,"Night (00-05)",IF(C2279&lt;=11,"Morning (06-11)",IF(C2279&lt;=16,"Afternoon (12-16)",IF(C2279&lt;=20,"Evening (17-20)","Late (21-23)")))))</f>
        <v/>
      </c>
    </row>
    <row r="2280" customFormat="false" ht="15" hidden="false" customHeight="false" outlineLevel="0" collapsed="false">
      <c r="L2280" s="37" t="str">
        <f aca="false">IF(C2280="","",IF(C2280&lt;=5,"Night (00-05)",IF(C2280&lt;=11,"Morning (06-11)",IF(C2280&lt;=16,"Afternoon (12-16)",IF(C2280&lt;=20,"Evening (17-20)","Late (21-23)")))))</f>
        <v/>
      </c>
    </row>
    <row r="2281" customFormat="false" ht="15" hidden="false" customHeight="false" outlineLevel="0" collapsed="false">
      <c r="L2281" s="37" t="str">
        <f aca="false">IF(C2281="","",IF(C2281&lt;=5,"Night (00-05)",IF(C2281&lt;=11,"Morning (06-11)",IF(C2281&lt;=16,"Afternoon (12-16)",IF(C2281&lt;=20,"Evening (17-20)","Late (21-23)")))))</f>
        <v/>
      </c>
    </row>
    <row r="2282" customFormat="false" ht="15" hidden="false" customHeight="false" outlineLevel="0" collapsed="false">
      <c r="L2282" s="37" t="str">
        <f aca="false">IF(C2282="","",IF(C2282&lt;=5,"Night (00-05)",IF(C2282&lt;=11,"Morning (06-11)",IF(C2282&lt;=16,"Afternoon (12-16)",IF(C2282&lt;=20,"Evening (17-20)","Late (21-23)")))))</f>
        <v/>
      </c>
    </row>
    <row r="2283" customFormat="false" ht="15" hidden="false" customHeight="false" outlineLevel="0" collapsed="false">
      <c r="L2283" s="37" t="str">
        <f aca="false">IF(C2283="","",IF(C2283&lt;=5,"Night (00-05)",IF(C2283&lt;=11,"Morning (06-11)",IF(C2283&lt;=16,"Afternoon (12-16)",IF(C2283&lt;=20,"Evening (17-20)","Late (21-23)")))))</f>
        <v/>
      </c>
    </row>
    <row r="2284" customFormat="false" ht="15" hidden="false" customHeight="false" outlineLevel="0" collapsed="false">
      <c r="L2284" s="37" t="str">
        <f aca="false">IF(C2284="","",IF(C2284&lt;=5,"Night (00-05)",IF(C2284&lt;=11,"Morning (06-11)",IF(C2284&lt;=16,"Afternoon (12-16)",IF(C2284&lt;=20,"Evening (17-20)","Late (21-23)")))))</f>
        <v/>
      </c>
    </row>
    <row r="2285" customFormat="false" ht="15" hidden="false" customHeight="false" outlineLevel="0" collapsed="false">
      <c r="L2285" s="37" t="str">
        <f aca="false">IF(C2285="","",IF(C2285&lt;=5,"Night (00-05)",IF(C2285&lt;=11,"Morning (06-11)",IF(C2285&lt;=16,"Afternoon (12-16)",IF(C2285&lt;=20,"Evening (17-20)","Late (21-23)")))))</f>
        <v/>
      </c>
    </row>
    <row r="2286" customFormat="false" ht="15" hidden="false" customHeight="false" outlineLevel="0" collapsed="false">
      <c r="L2286" s="37" t="str">
        <f aca="false">IF(C2286="","",IF(C2286&lt;=5,"Night (00-05)",IF(C2286&lt;=11,"Morning (06-11)",IF(C2286&lt;=16,"Afternoon (12-16)",IF(C2286&lt;=20,"Evening (17-20)","Late (21-23)")))))</f>
        <v/>
      </c>
    </row>
    <row r="2287" customFormat="false" ht="15" hidden="false" customHeight="false" outlineLevel="0" collapsed="false">
      <c r="L2287" s="37" t="str">
        <f aca="false">IF(C2287="","",IF(C2287&lt;=5,"Night (00-05)",IF(C2287&lt;=11,"Morning (06-11)",IF(C2287&lt;=16,"Afternoon (12-16)",IF(C2287&lt;=20,"Evening (17-20)","Late (21-23)")))))</f>
        <v/>
      </c>
    </row>
    <row r="2288" customFormat="false" ht="15" hidden="false" customHeight="false" outlineLevel="0" collapsed="false">
      <c r="L2288" s="37" t="str">
        <f aca="false">IF(C2288="","",IF(C2288&lt;=5,"Night (00-05)",IF(C2288&lt;=11,"Morning (06-11)",IF(C2288&lt;=16,"Afternoon (12-16)",IF(C2288&lt;=20,"Evening (17-20)","Late (21-23)")))))</f>
        <v/>
      </c>
    </row>
    <row r="2289" customFormat="false" ht="15" hidden="false" customHeight="false" outlineLevel="0" collapsed="false">
      <c r="L2289" s="37" t="str">
        <f aca="false">IF(C2289="","",IF(C2289&lt;=5,"Night (00-05)",IF(C2289&lt;=11,"Morning (06-11)",IF(C2289&lt;=16,"Afternoon (12-16)",IF(C2289&lt;=20,"Evening (17-20)","Late (21-23)")))))</f>
        <v/>
      </c>
    </row>
    <row r="2290" customFormat="false" ht="15" hidden="false" customHeight="false" outlineLevel="0" collapsed="false">
      <c r="L2290" s="37" t="str">
        <f aca="false">IF(C2290="","",IF(C2290&lt;=5,"Night (00-05)",IF(C2290&lt;=11,"Morning (06-11)",IF(C2290&lt;=16,"Afternoon (12-16)",IF(C2290&lt;=20,"Evening (17-20)","Late (21-23)")))))</f>
        <v/>
      </c>
    </row>
    <row r="2291" customFormat="false" ht="15" hidden="false" customHeight="false" outlineLevel="0" collapsed="false">
      <c r="L2291" s="37" t="str">
        <f aca="false">IF(C2291="","",IF(C2291&lt;=5,"Night (00-05)",IF(C2291&lt;=11,"Morning (06-11)",IF(C2291&lt;=16,"Afternoon (12-16)",IF(C2291&lt;=20,"Evening (17-20)","Late (21-23)")))))</f>
        <v/>
      </c>
    </row>
    <row r="2292" customFormat="false" ht="15" hidden="false" customHeight="false" outlineLevel="0" collapsed="false">
      <c r="L2292" s="37" t="str">
        <f aca="false">IF(C2292="","",IF(C2292&lt;=5,"Night (00-05)",IF(C2292&lt;=11,"Morning (06-11)",IF(C2292&lt;=16,"Afternoon (12-16)",IF(C2292&lt;=20,"Evening (17-20)","Late (21-23)")))))</f>
        <v/>
      </c>
    </row>
    <row r="2293" customFormat="false" ht="15" hidden="false" customHeight="false" outlineLevel="0" collapsed="false">
      <c r="L2293" s="37" t="str">
        <f aca="false">IF(C2293="","",IF(C2293&lt;=5,"Night (00-05)",IF(C2293&lt;=11,"Morning (06-11)",IF(C2293&lt;=16,"Afternoon (12-16)",IF(C2293&lt;=20,"Evening (17-20)","Late (21-23)")))))</f>
        <v/>
      </c>
    </row>
    <row r="2294" customFormat="false" ht="15" hidden="false" customHeight="false" outlineLevel="0" collapsed="false">
      <c r="L2294" s="37" t="str">
        <f aca="false">IF(C2294="","",IF(C2294&lt;=5,"Night (00-05)",IF(C2294&lt;=11,"Morning (06-11)",IF(C2294&lt;=16,"Afternoon (12-16)",IF(C2294&lt;=20,"Evening (17-20)","Late (21-23)")))))</f>
        <v/>
      </c>
    </row>
    <row r="2295" customFormat="false" ht="15" hidden="false" customHeight="false" outlineLevel="0" collapsed="false">
      <c r="L2295" s="37" t="str">
        <f aca="false">IF(C2295="","",IF(C2295&lt;=5,"Night (00-05)",IF(C2295&lt;=11,"Morning (06-11)",IF(C2295&lt;=16,"Afternoon (12-16)",IF(C2295&lt;=20,"Evening (17-20)","Late (21-23)")))))</f>
        <v/>
      </c>
    </row>
    <row r="2296" customFormat="false" ht="15" hidden="false" customHeight="false" outlineLevel="0" collapsed="false">
      <c r="L2296" s="37" t="str">
        <f aca="false">IF(C2296="","",IF(C2296&lt;=5,"Night (00-05)",IF(C2296&lt;=11,"Morning (06-11)",IF(C2296&lt;=16,"Afternoon (12-16)",IF(C2296&lt;=20,"Evening (17-20)","Late (21-23)")))))</f>
        <v/>
      </c>
    </row>
    <row r="2297" customFormat="false" ht="15" hidden="false" customHeight="false" outlineLevel="0" collapsed="false">
      <c r="L2297" s="37" t="str">
        <f aca="false">IF(C2297="","",IF(C2297&lt;=5,"Night (00-05)",IF(C2297&lt;=11,"Morning (06-11)",IF(C2297&lt;=16,"Afternoon (12-16)",IF(C2297&lt;=20,"Evening (17-20)","Late (21-23)")))))</f>
        <v/>
      </c>
    </row>
    <row r="2298" customFormat="false" ht="15" hidden="false" customHeight="false" outlineLevel="0" collapsed="false">
      <c r="L2298" s="37" t="str">
        <f aca="false">IF(C2298="","",IF(C2298&lt;=5,"Night (00-05)",IF(C2298&lt;=11,"Morning (06-11)",IF(C2298&lt;=16,"Afternoon (12-16)",IF(C2298&lt;=20,"Evening (17-20)","Late (21-23)")))))</f>
        <v/>
      </c>
    </row>
    <row r="2299" customFormat="false" ht="15" hidden="false" customHeight="false" outlineLevel="0" collapsed="false">
      <c r="L2299" s="37" t="str">
        <f aca="false">IF(C2299="","",IF(C2299&lt;=5,"Night (00-05)",IF(C2299&lt;=11,"Morning (06-11)",IF(C2299&lt;=16,"Afternoon (12-16)",IF(C2299&lt;=20,"Evening (17-20)","Late (21-23)")))))</f>
        <v/>
      </c>
    </row>
    <row r="2300" customFormat="false" ht="15" hidden="false" customHeight="false" outlineLevel="0" collapsed="false">
      <c r="L2300" s="37" t="str">
        <f aca="false">IF(C2300="","",IF(C2300&lt;=5,"Night (00-05)",IF(C2300&lt;=11,"Morning (06-11)",IF(C2300&lt;=16,"Afternoon (12-16)",IF(C2300&lt;=20,"Evening (17-20)","Late (21-23)")))))</f>
        <v/>
      </c>
    </row>
    <row r="2301" customFormat="false" ht="15" hidden="false" customHeight="false" outlineLevel="0" collapsed="false">
      <c r="L2301" s="37" t="str">
        <f aca="false">IF(C2301="","",IF(C2301&lt;=5,"Night (00-05)",IF(C2301&lt;=11,"Morning (06-11)",IF(C2301&lt;=16,"Afternoon (12-16)",IF(C2301&lt;=20,"Evening (17-20)","Late (21-23)")))))</f>
        <v/>
      </c>
    </row>
    <row r="2302" customFormat="false" ht="15" hidden="false" customHeight="false" outlineLevel="0" collapsed="false">
      <c r="L2302" s="37" t="str">
        <f aca="false">IF(C2302="","",IF(C2302&lt;=5,"Night (00-05)",IF(C2302&lt;=11,"Morning (06-11)",IF(C2302&lt;=16,"Afternoon (12-16)",IF(C2302&lt;=20,"Evening (17-20)","Late (21-23)")))))</f>
        <v/>
      </c>
    </row>
    <row r="2303" customFormat="false" ht="15" hidden="false" customHeight="false" outlineLevel="0" collapsed="false">
      <c r="L2303" s="37" t="str">
        <f aca="false">IF(C2303="","",IF(C2303&lt;=5,"Night (00-05)",IF(C2303&lt;=11,"Morning (06-11)",IF(C2303&lt;=16,"Afternoon (12-16)",IF(C2303&lt;=20,"Evening (17-20)","Late (21-23)")))))</f>
        <v/>
      </c>
    </row>
    <row r="2304" customFormat="false" ht="15" hidden="false" customHeight="false" outlineLevel="0" collapsed="false">
      <c r="L2304" s="37" t="str">
        <f aca="false">IF(C2304="","",IF(C2304&lt;=5,"Night (00-05)",IF(C2304&lt;=11,"Morning (06-11)",IF(C2304&lt;=16,"Afternoon (12-16)",IF(C2304&lt;=20,"Evening (17-20)","Late (21-23)")))))</f>
        <v/>
      </c>
    </row>
    <row r="2305" customFormat="false" ht="15" hidden="false" customHeight="false" outlineLevel="0" collapsed="false">
      <c r="L2305" s="37" t="str">
        <f aca="false">IF(C2305="","",IF(C2305&lt;=5,"Night (00-05)",IF(C2305&lt;=11,"Morning (06-11)",IF(C2305&lt;=16,"Afternoon (12-16)",IF(C2305&lt;=20,"Evening (17-20)","Late (21-23)")))))</f>
        <v/>
      </c>
    </row>
    <row r="2306" customFormat="false" ht="15" hidden="false" customHeight="false" outlineLevel="0" collapsed="false">
      <c r="L2306" s="37" t="str">
        <f aca="false">IF(C2306="","",IF(C2306&lt;=5,"Night (00-05)",IF(C2306&lt;=11,"Morning (06-11)",IF(C2306&lt;=16,"Afternoon (12-16)",IF(C2306&lt;=20,"Evening (17-20)","Late (21-23)")))))</f>
        <v/>
      </c>
    </row>
    <row r="2307" customFormat="false" ht="15" hidden="false" customHeight="false" outlineLevel="0" collapsed="false">
      <c r="L2307" s="37" t="str">
        <f aca="false">IF(C2307="","",IF(C2307&lt;=5,"Night (00-05)",IF(C2307&lt;=11,"Morning (06-11)",IF(C2307&lt;=16,"Afternoon (12-16)",IF(C2307&lt;=20,"Evening (17-20)","Late (21-23)")))))</f>
        <v/>
      </c>
    </row>
    <row r="2308" customFormat="false" ht="15" hidden="false" customHeight="false" outlineLevel="0" collapsed="false">
      <c r="L2308" s="37" t="str">
        <f aca="false">IF(C2308="","",IF(C2308&lt;=5,"Night (00-05)",IF(C2308&lt;=11,"Morning (06-11)",IF(C2308&lt;=16,"Afternoon (12-16)",IF(C2308&lt;=20,"Evening (17-20)","Late (21-23)")))))</f>
        <v/>
      </c>
    </row>
    <row r="2309" customFormat="false" ht="15" hidden="false" customHeight="false" outlineLevel="0" collapsed="false">
      <c r="L2309" s="37" t="str">
        <f aca="false">IF(C2309="","",IF(C2309&lt;=5,"Night (00-05)",IF(C2309&lt;=11,"Morning (06-11)",IF(C2309&lt;=16,"Afternoon (12-16)",IF(C2309&lt;=20,"Evening (17-20)","Late (21-23)")))))</f>
        <v/>
      </c>
    </row>
    <row r="2310" customFormat="false" ht="15" hidden="false" customHeight="false" outlineLevel="0" collapsed="false">
      <c r="L2310" s="37" t="str">
        <f aca="false">IF(C2310="","",IF(C2310&lt;=5,"Night (00-05)",IF(C2310&lt;=11,"Morning (06-11)",IF(C2310&lt;=16,"Afternoon (12-16)",IF(C2310&lt;=20,"Evening (17-20)","Late (21-23)")))))</f>
        <v/>
      </c>
    </row>
    <row r="2311" customFormat="false" ht="15" hidden="false" customHeight="false" outlineLevel="0" collapsed="false">
      <c r="L2311" s="37" t="str">
        <f aca="false">IF(C2311="","",IF(C2311&lt;=5,"Night (00-05)",IF(C2311&lt;=11,"Morning (06-11)",IF(C2311&lt;=16,"Afternoon (12-16)",IF(C2311&lt;=20,"Evening (17-20)","Late (21-23)")))))</f>
        <v/>
      </c>
    </row>
    <row r="2312" customFormat="false" ht="15" hidden="false" customHeight="false" outlineLevel="0" collapsed="false">
      <c r="L2312" s="37" t="str">
        <f aca="false">IF(C2312="","",IF(C2312&lt;=5,"Night (00-05)",IF(C2312&lt;=11,"Morning (06-11)",IF(C2312&lt;=16,"Afternoon (12-16)",IF(C2312&lt;=20,"Evening (17-20)","Late (21-23)")))))</f>
        <v/>
      </c>
    </row>
    <row r="2313" customFormat="false" ht="15" hidden="false" customHeight="false" outlineLevel="0" collapsed="false">
      <c r="L2313" s="37" t="str">
        <f aca="false">IF(C2313="","",IF(C2313&lt;=5,"Night (00-05)",IF(C2313&lt;=11,"Morning (06-11)",IF(C2313&lt;=16,"Afternoon (12-16)",IF(C2313&lt;=20,"Evening (17-20)","Late (21-23)")))))</f>
        <v/>
      </c>
    </row>
    <row r="2314" customFormat="false" ht="15" hidden="false" customHeight="false" outlineLevel="0" collapsed="false">
      <c r="L2314" s="37" t="str">
        <f aca="false">IF(C2314="","",IF(C2314&lt;=5,"Night (00-05)",IF(C2314&lt;=11,"Morning (06-11)",IF(C2314&lt;=16,"Afternoon (12-16)",IF(C2314&lt;=20,"Evening (17-20)","Late (21-23)")))))</f>
        <v/>
      </c>
    </row>
    <row r="2315" customFormat="false" ht="15" hidden="false" customHeight="false" outlineLevel="0" collapsed="false">
      <c r="L2315" s="37" t="str">
        <f aca="false">IF(C2315="","",IF(C2315&lt;=5,"Night (00-05)",IF(C2315&lt;=11,"Morning (06-11)",IF(C2315&lt;=16,"Afternoon (12-16)",IF(C2315&lt;=20,"Evening (17-20)","Late (21-23)")))))</f>
        <v/>
      </c>
    </row>
    <row r="2316" customFormat="false" ht="15" hidden="false" customHeight="false" outlineLevel="0" collapsed="false">
      <c r="L2316" s="37" t="str">
        <f aca="false">IF(C2316="","",IF(C2316&lt;=5,"Night (00-05)",IF(C2316&lt;=11,"Morning (06-11)",IF(C2316&lt;=16,"Afternoon (12-16)",IF(C2316&lt;=20,"Evening (17-20)","Late (21-23)")))))</f>
        <v/>
      </c>
    </row>
    <row r="2317" customFormat="false" ht="15" hidden="false" customHeight="false" outlineLevel="0" collapsed="false">
      <c r="L2317" s="37" t="str">
        <f aca="false">IF(C2317="","",IF(C2317&lt;=5,"Night (00-05)",IF(C2317&lt;=11,"Morning (06-11)",IF(C2317&lt;=16,"Afternoon (12-16)",IF(C2317&lt;=20,"Evening (17-20)","Late (21-23)")))))</f>
        <v/>
      </c>
    </row>
    <row r="2318" customFormat="false" ht="15" hidden="false" customHeight="false" outlineLevel="0" collapsed="false">
      <c r="L2318" s="37" t="str">
        <f aca="false">IF(C2318="","",IF(C2318&lt;=5,"Night (00-05)",IF(C2318&lt;=11,"Morning (06-11)",IF(C2318&lt;=16,"Afternoon (12-16)",IF(C2318&lt;=20,"Evening (17-20)","Late (21-23)")))))</f>
        <v/>
      </c>
    </row>
    <row r="2319" customFormat="false" ht="15" hidden="false" customHeight="false" outlineLevel="0" collapsed="false">
      <c r="L2319" s="37" t="str">
        <f aca="false">IF(C2319="","",IF(C2319&lt;=5,"Night (00-05)",IF(C2319&lt;=11,"Morning (06-11)",IF(C2319&lt;=16,"Afternoon (12-16)",IF(C2319&lt;=20,"Evening (17-20)","Late (21-23)")))))</f>
        <v/>
      </c>
    </row>
    <row r="2320" customFormat="false" ht="15" hidden="false" customHeight="false" outlineLevel="0" collapsed="false">
      <c r="L2320" s="37" t="str">
        <f aca="false">IF(C2320="","",IF(C2320&lt;=5,"Night (00-05)",IF(C2320&lt;=11,"Morning (06-11)",IF(C2320&lt;=16,"Afternoon (12-16)",IF(C2320&lt;=20,"Evening (17-20)","Late (21-23)")))))</f>
        <v/>
      </c>
    </row>
    <row r="2321" customFormat="false" ht="15" hidden="false" customHeight="false" outlineLevel="0" collapsed="false">
      <c r="L2321" s="37" t="str">
        <f aca="false">IF(C2321="","",IF(C2321&lt;=5,"Night (00-05)",IF(C2321&lt;=11,"Morning (06-11)",IF(C2321&lt;=16,"Afternoon (12-16)",IF(C2321&lt;=20,"Evening (17-20)","Late (21-23)")))))</f>
        <v/>
      </c>
    </row>
    <row r="2322" customFormat="false" ht="15" hidden="false" customHeight="false" outlineLevel="0" collapsed="false">
      <c r="L2322" s="37" t="str">
        <f aca="false">IF(C2322="","",IF(C2322&lt;=5,"Night (00-05)",IF(C2322&lt;=11,"Morning (06-11)",IF(C2322&lt;=16,"Afternoon (12-16)",IF(C2322&lt;=20,"Evening (17-20)","Late (21-23)")))))</f>
        <v/>
      </c>
    </row>
    <row r="2323" customFormat="false" ht="15" hidden="false" customHeight="false" outlineLevel="0" collapsed="false">
      <c r="L2323" s="37" t="str">
        <f aca="false">IF(C2323="","",IF(C2323&lt;=5,"Night (00-05)",IF(C2323&lt;=11,"Morning (06-11)",IF(C2323&lt;=16,"Afternoon (12-16)",IF(C2323&lt;=20,"Evening (17-20)","Late (21-23)")))))</f>
        <v/>
      </c>
    </row>
    <row r="2324" customFormat="false" ht="15" hidden="false" customHeight="false" outlineLevel="0" collapsed="false">
      <c r="L2324" s="37" t="str">
        <f aca="false">IF(C2324="","",IF(C2324&lt;=5,"Night (00-05)",IF(C2324&lt;=11,"Morning (06-11)",IF(C2324&lt;=16,"Afternoon (12-16)",IF(C2324&lt;=20,"Evening (17-20)","Late (21-23)")))))</f>
        <v/>
      </c>
    </row>
    <row r="2325" customFormat="false" ht="15" hidden="false" customHeight="false" outlineLevel="0" collapsed="false">
      <c r="L2325" s="37" t="str">
        <f aca="false">IF(C2325="","",IF(C2325&lt;=5,"Night (00-05)",IF(C2325&lt;=11,"Morning (06-11)",IF(C2325&lt;=16,"Afternoon (12-16)",IF(C2325&lt;=20,"Evening (17-20)","Late (21-23)")))))</f>
        <v/>
      </c>
    </row>
    <row r="2326" customFormat="false" ht="15" hidden="false" customHeight="false" outlineLevel="0" collapsed="false">
      <c r="L2326" s="37" t="str">
        <f aca="false">IF(C2326="","",IF(C2326&lt;=5,"Night (00-05)",IF(C2326&lt;=11,"Morning (06-11)",IF(C2326&lt;=16,"Afternoon (12-16)",IF(C2326&lt;=20,"Evening (17-20)","Late (21-23)")))))</f>
        <v/>
      </c>
    </row>
    <row r="2327" customFormat="false" ht="15" hidden="false" customHeight="false" outlineLevel="0" collapsed="false">
      <c r="L2327" s="37" t="str">
        <f aca="false">IF(C2327="","",IF(C2327&lt;=5,"Night (00-05)",IF(C2327&lt;=11,"Morning (06-11)",IF(C2327&lt;=16,"Afternoon (12-16)",IF(C2327&lt;=20,"Evening (17-20)","Late (21-23)")))))</f>
        <v/>
      </c>
    </row>
    <row r="2328" customFormat="false" ht="15" hidden="false" customHeight="false" outlineLevel="0" collapsed="false">
      <c r="L2328" s="37" t="str">
        <f aca="false">IF(C2328="","",IF(C2328&lt;=5,"Night (00-05)",IF(C2328&lt;=11,"Morning (06-11)",IF(C2328&lt;=16,"Afternoon (12-16)",IF(C2328&lt;=20,"Evening (17-20)","Late (21-23)")))))</f>
        <v/>
      </c>
    </row>
    <row r="2329" customFormat="false" ht="15" hidden="false" customHeight="false" outlineLevel="0" collapsed="false">
      <c r="L2329" s="37" t="str">
        <f aca="false">IF(C2329="","",IF(C2329&lt;=5,"Night (00-05)",IF(C2329&lt;=11,"Morning (06-11)",IF(C2329&lt;=16,"Afternoon (12-16)",IF(C2329&lt;=20,"Evening (17-20)","Late (21-23)")))))</f>
        <v/>
      </c>
    </row>
    <row r="2330" customFormat="false" ht="15" hidden="false" customHeight="false" outlineLevel="0" collapsed="false">
      <c r="L2330" s="37" t="str">
        <f aca="false">IF(C2330="","",IF(C2330&lt;=5,"Night (00-05)",IF(C2330&lt;=11,"Morning (06-11)",IF(C2330&lt;=16,"Afternoon (12-16)",IF(C2330&lt;=20,"Evening (17-20)","Late (21-23)")))))</f>
        <v/>
      </c>
    </row>
    <row r="2331" customFormat="false" ht="15" hidden="false" customHeight="false" outlineLevel="0" collapsed="false">
      <c r="L2331" s="37" t="str">
        <f aca="false">IF(C2331="","",IF(C2331&lt;=5,"Night (00-05)",IF(C2331&lt;=11,"Morning (06-11)",IF(C2331&lt;=16,"Afternoon (12-16)",IF(C2331&lt;=20,"Evening (17-20)","Late (21-23)")))))</f>
        <v/>
      </c>
    </row>
    <row r="2332" customFormat="false" ht="15" hidden="false" customHeight="false" outlineLevel="0" collapsed="false">
      <c r="L2332" s="37" t="str">
        <f aca="false">IF(C2332="","",IF(C2332&lt;=5,"Night (00-05)",IF(C2332&lt;=11,"Morning (06-11)",IF(C2332&lt;=16,"Afternoon (12-16)",IF(C2332&lt;=20,"Evening (17-20)","Late (21-23)")))))</f>
        <v/>
      </c>
    </row>
    <row r="2333" customFormat="false" ht="15" hidden="false" customHeight="false" outlineLevel="0" collapsed="false">
      <c r="L2333" s="37" t="str">
        <f aca="false">IF(C2333="","",IF(C2333&lt;=5,"Night (00-05)",IF(C2333&lt;=11,"Morning (06-11)",IF(C2333&lt;=16,"Afternoon (12-16)",IF(C2333&lt;=20,"Evening (17-20)","Late (21-23)")))))</f>
        <v/>
      </c>
    </row>
    <row r="2334" customFormat="false" ht="15" hidden="false" customHeight="false" outlineLevel="0" collapsed="false">
      <c r="L2334" s="37" t="str">
        <f aca="false">IF(C2334="","",IF(C2334&lt;=5,"Night (00-05)",IF(C2334&lt;=11,"Morning (06-11)",IF(C2334&lt;=16,"Afternoon (12-16)",IF(C2334&lt;=20,"Evening (17-20)","Late (21-23)")))))</f>
        <v/>
      </c>
    </row>
    <row r="2335" customFormat="false" ht="15" hidden="false" customHeight="false" outlineLevel="0" collapsed="false">
      <c r="L2335" s="37" t="str">
        <f aca="false">IF(C2335="","",IF(C2335&lt;=5,"Night (00-05)",IF(C2335&lt;=11,"Morning (06-11)",IF(C2335&lt;=16,"Afternoon (12-16)",IF(C2335&lt;=20,"Evening (17-20)","Late (21-23)")))))</f>
        <v/>
      </c>
    </row>
    <row r="2336" customFormat="false" ht="15" hidden="false" customHeight="false" outlineLevel="0" collapsed="false">
      <c r="L2336" s="37" t="str">
        <f aca="false">IF(C2336="","",IF(C2336&lt;=5,"Night (00-05)",IF(C2336&lt;=11,"Morning (06-11)",IF(C2336&lt;=16,"Afternoon (12-16)",IF(C2336&lt;=20,"Evening (17-20)","Late (21-23)")))))</f>
        <v/>
      </c>
    </row>
    <row r="2337" customFormat="false" ht="15" hidden="false" customHeight="false" outlineLevel="0" collapsed="false">
      <c r="L2337" s="37" t="str">
        <f aca="false">IF(C2337="","",IF(C2337&lt;=5,"Night (00-05)",IF(C2337&lt;=11,"Morning (06-11)",IF(C2337&lt;=16,"Afternoon (12-16)",IF(C2337&lt;=20,"Evening (17-20)","Late (21-23)")))))</f>
        <v/>
      </c>
    </row>
    <row r="2338" customFormat="false" ht="15" hidden="false" customHeight="false" outlineLevel="0" collapsed="false">
      <c r="L2338" s="37" t="str">
        <f aca="false">IF(C2338="","",IF(C2338&lt;=5,"Night (00-05)",IF(C2338&lt;=11,"Morning (06-11)",IF(C2338&lt;=16,"Afternoon (12-16)",IF(C2338&lt;=20,"Evening (17-20)","Late (21-23)")))))</f>
        <v/>
      </c>
    </row>
    <row r="2339" customFormat="false" ht="15" hidden="false" customHeight="false" outlineLevel="0" collapsed="false">
      <c r="L2339" s="37" t="str">
        <f aca="false">IF(C2339="","",IF(C2339&lt;=5,"Night (00-05)",IF(C2339&lt;=11,"Morning (06-11)",IF(C2339&lt;=16,"Afternoon (12-16)",IF(C2339&lt;=20,"Evening (17-20)","Late (21-23)")))))</f>
        <v/>
      </c>
    </row>
    <row r="2340" customFormat="false" ht="15" hidden="false" customHeight="false" outlineLevel="0" collapsed="false">
      <c r="L2340" s="37" t="str">
        <f aca="false">IF(C2340="","",IF(C2340&lt;=5,"Night (00-05)",IF(C2340&lt;=11,"Morning (06-11)",IF(C2340&lt;=16,"Afternoon (12-16)",IF(C2340&lt;=20,"Evening (17-20)","Late (21-23)")))))</f>
        <v/>
      </c>
    </row>
    <row r="2341" customFormat="false" ht="15" hidden="false" customHeight="false" outlineLevel="0" collapsed="false">
      <c r="L2341" s="37" t="str">
        <f aca="false">IF(C2341="","",IF(C2341&lt;=5,"Night (00-05)",IF(C2341&lt;=11,"Morning (06-11)",IF(C2341&lt;=16,"Afternoon (12-16)",IF(C2341&lt;=20,"Evening (17-20)","Late (21-23)")))))</f>
        <v/>
      </c>
    </row>
    <row r="2342" customFormat="false" ht="15" hidden="false" customHeight="false" outlineLevel="0" collapsed="false">
      <c r="L2342" s="37" t="str">
        <f aca="false">IF(C2342="","",IF(C2342&lt;=5,"Night (00-05)",IF(C2342&lt;=11,"Morning (06-11)",IF(C2342&lt;=16,"Afternoon (12-16)",IF(C2342&lt;=20,"Evening (17-20)","Late (21-23)")))))</f>
        <v/>
      </c>
    </row>
    <row r="2343" customFormat="false" ht="15" hidden="false" customHeight="false" outlineLevel="0" collapsed="false">
      <c r="L2343" s="37" t="str">
        <f aca="false">IF(C2343="","",IF(C2343&lt;=5,"Night (00-05)",IF(C2343&lt;=11,"Morning (06-11)",IF(C2343&lt;=16,"Afternoon (12-16)",IF(C2343&lt;=20,"Evening (17-20)","Late (21-23)")))))</f>
        <v/>
      </c>
    </row>
    <row r="2344" customFormat="false" ht="15" hidden="false" customHeight="false" outlineLevel="0" collapsed="false">
      <c r="L2344" s="37" t="str">
        <f aca="false">IF(C2344="","",IF(C2344&lt;=5,"Night (00-05)",IF(C2344&lt;=11,"Morning (06-11)",IF(C2344&lt;=16,"Afternoon (12-16)",IF(C2344&lt;=20,"Evening (17-20)","Late (21-23)")))))</f>
        <v/>
      </c>
    </row>
    <row r="2345" customFormat="false" ht="15" hidden="false" customHeight="false" outlineLevel="0" collapsed="false">
      <c r="L2345" s="37" t="str">
        <f aca="false">IF(C2345="","",IF(C2345&lt;=5,"Night (00-05)",IF(C2345&lt;=11,"Morning (06-11)",IF(C2345&lt;=16,"Afternoon (12-16)",IF(C2345&lt;=20,"Evening (17-20)","Late (21-23)")))))</f>
        <v/>
      </c>
    </row>
    <row r="2346" customFormat="false" ht="15" hidden="false" customHeight="false" outlineLevel="0" collapsed="false">
      <c r="L2346" s="37" t="str">
        <f aca="false">IF(C2346="","",IF(C2346&lt;=5,"Night (00-05)",IF(C2346&lt;=11,"Morning (06-11)",IF(C2346&lt;=16,"Afternoon (12-16)",IF(C2346&lt;=20,"Evening (17-20)","Late (21-23)")))))</f>
        <v/>
      </c>
    </row>
    <row r="2347" customFormat="false" ht="15" hidden="false" customHeight="false" outlineLevel="0" collapsed="false">
      <c r="L2347" s="37" t="str">
        <f aca="false">IF(C2347="","",IF(C2347&lt;=5,"Night (00-05)",IF(C2347&lt;=11,"Morning (06-11)",IF(C2347&lt;=16,"Afternoon (12-16)",IF(C2347&lt;=20,"Evening (17-20)","Late (21-23)")))))</f>
        <v/>
      </c>
    </row>
    <row r="2348" customFormat="false" ht="15" hidden="false" customHeight="false" outlineLevel="0" collapsed="false">
      <c r="L2348" s="37" t="str">
        <f aca="false">IF(C2348="","",IF(C2348&lt;=5,"Night (00-05)",IF(C2348&lt;=11,"Morning (06-11)",IF(C2348&lt;=16,"Afternoon (12-16)",IF(C2348&lt;=20,"Evening (17-20)","Late (21-23)")))))</f>
        <v/>
      </c>
    </row>
    <row r="2349" customFormat="false" ht="15" hidden="false" customHeight="false" outlineLevel="0" collapsed="false">
      <c r="L2349" s="37" t="str">
        <f aca="false">IF(C2349="","",IF(C2349&lt;=5,"Night (00-05)",IF(C2349&lt;=11,"Morning (06-11)",IF(C2349&lt;=16,"Afternoon (12-16)",IF(C2349&lt;=20,"Evening (17-20)","Late (21-23)")))))</f>
        <v/>
      </c>
    </row>
    <row r="2350" customFormat="false" ht="15" hidden="false" customHeight="false" outlineLevel="0" collapsed="false">
      <c r="L2350" s="37" t="str">
        <f aca="false">IF(C2350="","",IF(C2350&lt;=5,"Night (00-05)",IF(C2350&lt;=11,"Morning (06-11)",IF(C2350&lt;=16,"Afternoon (12-16)",IF(C2350&lt;=20,"Evening (17-20)","Late (21-23)")))))</f>
        <v/>
      </c>
    </row>
    <row r="2351" customFormat="false" ht="15" hidden="false" customHeight="false" outlineLevel="0" collapsed="false">
      <c r="L2351" s="37" t="str">
        <f aca="false">IF(C2351="","",IF(C2351&lt;=5,"Night (00-05)",IF(C2351&lt;=11,"Morning (06-11)",IF(C2351&lt;=16,"Afternoon (12-16)",IF(C2351&lt;=20,"Evening (17-20)","Late (21-23)")))))</f>
        <v/>
      </c>
    </row>
    <row r="2352" customFormat="false" ht="15" hidden="false" customHeight="false" outlineLevel="0" collapsed="false">
      <c r="L2352" s="37" t="str">
        <f aca="false">IF(C2352="","",IF(C2352&lt;=5,"Night (00-05)",IF(C2352&lt;=11,"Morning (06-11)",IF(C2352&lt;=16,"Afternoon (12-16)",IF(C2352&lt;=20,"Evening (17-20)","Late (21-23)")))))</f>
        <v/>
      </c>
    </row>
    <row r="2353" customFormat="false" ht="15" hidden="false" customHeight="false" outlineLevel="0" collapsed="false">
      <c r="L2353" s="37" t="str">
        <f aca="false">IF(C2353="","",IF(C2353&lt;=5,"Night (00-05)",IF(C2353&lt;=11,"Morning (06-11)",IF(C2353&lt;=16,"Afternoon (12-16)",IF(C2353&lt;=20,"Evening (17-20)","Late (21-23)")))))</f>
        <v/>
      </c>
    </row>
    <row r="2354" customFormat="false" ht="15" hidden="false" customHeight="false" outlineLevel="0" collapsed="false">
      <c r="L2354" s="37" t="str">
        <f aca="false">IF(C2354="","",IF(C2354&lt;=5,"Night (00-05)",IF(C2354&lt;=11,"Morning (06-11)",IF(C2354&lt;=16,"Afternoon (12-16)",IF(C2354&lt;=20,"Evening (17-20)","Late (21-23)")))))</f>
        <v/>
      </c>
    </row>
    <row r="2355" customFormat="false" ht="15" hidden="false" customHeight="false" outlineLevel="0" collapsed="false">
      <c r="L2355" s="37" t="str">
        <f aca="false">IF(C2355="","",IF(C2355&lt;=5,"Night (00-05)",IF(C2355&lt;=11,"Morning (06-11)",IF(C2355&lt;=16,"Afternoon (12-16)",IF(C2355&lt;=20,"Evening (17-20)","Late (21-23)")))))</f>
        <v/>
      </c>
    </row>
    <row r="2356" customFormat="false" ht="15" hidden="false" customHeight="false" outlineLevel="0" collapsed="false">
      <c r="L2356" s="37" t="str">
        <f aca="false">IF(C2356="","",IF(C2356&lt;=5,"Night (00-05)",IF(C2356&lt;=11,"Morning (06-11)",IF(C2356&lt;=16,"Afternoon (12-16)",IF(C2356&lt;=20,"Evening (17-20)","Late (21-23)")))))</f>
        <v/>
      </c>
    </row>
    <row r="2357" customFormat="false" ht="15" hidden="false" customHeight="false" outlineLevel="0" collapsed="false">
      <c r="L2357" s="37" t="str">
        <f aca="false">IF(C2357="","",IF(C2357&lt;=5,"Night (00-05)",IF(C2357&lt;=11,"Morning (06-11)",IF(C2357&lt;=16,"Afternoon (12-16)",IF(C2357&lt;=20,"Evening (17-20)","Late (21-23)")))))</f>
        <v/>
      </c>
    </row>
    <row r="2358" customFormat="false" ht="15" hidden="false" customHeight="false" outlineLevel="0" collapsed="false">
      <c r="L2358" s="37" t="str">
        <f aca="false">IF(C2358="","",IF(C2358&lt;=5,"Night (00-05)",IF(C2358&lt;=11,"Morning (06-11)",IF(C2358&lt;=16,"Afternoon (12-16)",IF(C2358&lt;=20,"Evening (17-20)","Late (21-23)")))))</f>
        <v/>
      </c>
    </row>
    <row r="2359" customFormat="false" ht="15" hidden="false" customHeight="false" outlineLevel="0" collapsed="false">
      <c r="L2359" s="37" t="str">
        <f aca="false">IF(C2359="","",IF(C2359&lt;=5,"Night (00-05)",IF(C2359&lt;=11,"Morning (06-11)",IF(C2359&lt;=16,"Afternoon (12-16)",IF(C2359&lt;=20,"Evening (17-20)","Late (21-23)")))))</f>
        <v/>
      </c>
    </row>
    <row r="2360" customFormat="false" ht="15" hidden="false" customHeight="false" outlineLevel="0" collapsed="false">
      <c r="L2360" s="37" t="str">
        <f aca="false">IF(C2360="","",IF(C2360&lt;=5,"Night (00-05)",IF(C2360&lt;=11,"Morning (06-11)",IF(C2360&lt;=16,"Afternoon (12-16)",IF(C2360&lt;=20,"Evening (17-20)","Late (21-23)")))))</f>
        <v/>
      </c>
    </row>
    <row r="2361" customFormat="false" ht="15" hidden="false" customHeight="false" outlineLevel="0" collapsed="false">
      <c r="L2361" s="37" t="str">
        <f aca="false">IF(C2361="","",IF(C2361&lt;=5,"Night (00-05)",IF(C2361&lt;=11,"Morning (06-11)",IF(C2361&lt;=16,"Afternoon (12-16)",IF(C2361&lt;=20,"Evening (17-20)","Late (21-23)")))))</f>
        <v/>
      </c>
    </row>
    <row r="2362" customFormat="false" ht="15" hidden="false" customHeight="false" outlineLevel="0" collapsed="false">
      <c r="L2362" s="37" t="str">
        <f aca="false">IF(C2362="","",IF(C2362&lt;=5,"Night (00-05)",IF(C2362&lt;=11,"Morning (06-11)",IF(C2362&lt;=16,"Afternoon (12-16)",IF(C2362&lt;=20,"Evening (17-20)","Late (21-23)")))))</f>
        <v/>
      </c>
    </row>
    <row r="2363" customFormat="false" ht="15" hidden="false" customHeight="false" outlineLevel="0" collapsed="false">
      <c r="L2363" s="37" t="str">
        <f aca="false">IF(C2363="","",IF(C2363&lt;=5,"Night (00-05)",IF(C2363&lt;=11,"Morning (06-11)",IF(C2363&lt;=16,"Afternoon (12-16)",IF(C2363&lt;=20,"Evening (17-20)","Late (21-23)")))))</f>
        <v/>
      </c>
    </row>
    <row r="2364" customFormat="false" ht="15" hidden="false" customHeight="false" outlineLevel="0" collapsed="false">
      <c r="L2364" s="37" t="str">
        <f aca="false">IF(C2364="","",IF(C2364&lt;=5,"Night (00-05)",IF(C2364&lt;=11,"Morning (06-11)",IF(C2364&lt;=16,"Afternoon (12-16)",IF(C2364&lt;=20,"Evening (17-20)","Late (21-23)")))))</f>
        <v/>
      </c>
    </row>
    <row r="2365" customFormat="false" ht="15" hidden="false" customHeight="false" outlineLevel="0" collapsed="false">
      <c r="L2365" s="37" t="str">
        <f aca="false">IF(C2365="","",IF(C2365&lt;=5,"Night (00-05)",IF(C2365&lt;=11,"Morning (06-11)",IF(C2365&lt;=16,"Afternoon (12-16)",IF(C2365&lt;=20,"Evening (17-20)","Late (21-23)")))))</f>
        <v/>
      </c>
    </row>
    <row r="2366" customFormat="false" ht="15" hidden="false" customHeight="false" outlineLevel="0" collapsed="false">
      <c r="L2366" s="37" t="str">
        <f aca="false">IF(C2366="","",IF(C2366&lt;=5,"Night (00-05)",IF(C2366&lt;=11,"Morning (06-11)",IF(C2366&lt;=16,"Afternoon (12-16)",IF(C2366&lt;=20,"Evening (17-20)","Late (21-23)")))))</f>
        <v/>
      </c>
    </row>
    <row r="2367" customFormat="false" ht="15" hidden="false" customHeight="false" outlineLevel="0" collapsed="false">
      <c r="L2367" s="37" t="str">
        <f aca="false">IF(C2367="","",IF(C2367&lt;=5,"Night (00-05)",IF(C2367&lt;=11,"Morning (06-11)",IF(C2367&lt;=16,"Afternoon (12-16)",IF(C2367&lt;=20,"Evening (17-20)","Late (21-23)")))))</f>
        <v/>
      </c>
    </row>
    <row r="2368" customFormat="false" ht="15" hidden="false" customHeight="false" outlineLevel="0" collapsed="false">
      <c r="L2368" s="37" t="str">
        <f aca="false">IF(C2368="","",IF(C2368&lt;=5,"Night (00-05)",IF(C2368&lt;=11,"Morning (06-11)",IF(C2368&lt;=16,"Afternoon (12-16)",IF(C2368&lt;=20,"Evening (17-20)","Late (21-23)")))))</f>
        <v/>
      </c>
    </row>
    <row r="2369" customFormat="false" ht="15" hidden="false" customHeight="false" outlineLevel="0" collapsed="false">
      <c r="L2369" s="37" t="str">
        <f aca="false">IF(C2369="","",IF(C2369&lt;=5,"Night (00-05)",IF(C2369&lt;=11,"Morning (06-11)",IF(C2369&lt;=16,"Afternoon (12-16)",IF(C2369&lt;=20,"Evening (17-20)","Late (21-23)")))))</f>
        <v/>
      </c>
    </row>
    <row r="2370" customFormat="false" ht="15" hidden="false" customHeight="false" outlineLevel="0" collapsed="false">
      <c r="L2370" s="37" t="str">
        <f aca="false">IF(C2370="","",IF(C2370&lt;=5,"Night (00-05)",IF(C2370&lt;=11,"Morning (06-11)",IF(C2370&lt;=16,"Afternoon (12-16)",IF(C2370&lt;=20,"Evening (17-20)","Late (21-23)")))))</f>
        <v/>
      </c>
    </row>
    <row r="2371" customFormat="false" ht="15" hidden="false" customHeight="false" outlineLevel="0" collapsed="false">
      <c r="L2371" s="37" t="str">
        <f aca="false">IF(C2371="","",IF(C2371&lt;=5,"Night (00-05)",IF(C2371&lt;=11,"Morning (06-11)",IF(C2371&lt;=16,"Afternoon (12-16)",IF(C2371&lt;=20,"Evening (17-20)","Late (21-23)")))))</f>
        <v/>
      </c>
    </row>
    <row r="2372" customFormat="false" ht="15" hidden="false" customHeight="false" outlineLevel="0" collapsed="false">
      <c r="L2372" s="37" t="str">
        <f aca="false">IF(C2372="","",IF(C2372&lt;=5,"Night (00-05)",IF(C2372&lt;=11,"Morning (06-11)",IF(C2372&lt;=16,"Afternoon (12-16)",IF(C2372&lt;=20,"Evening (17-20)","Late (21-23)")))))</f>
        <v/>
      </c>
    </row>
    <row r="2373" customFormat="false" ht="15" hidden="false" customHeight="false" outlineLevel="0" collapsed="false">
      <c r="L2373" s="37" t="str">
        <f aca="false">IF(C2373="","",IF(C2373&lt;=5,"Night (00-05)",IF(C2373&lt;=11,"Morning (06-11)",IF(C2373&lt;=16,"Afternoon (12-16)",IF(C2373&lt;=20,"Evening (17-20)","Late (21-23)")))))</f>
        <v/>
      </c>
    </row>
    <row r="2374" customFormat="false" ht="15" hidden="false" customHeight="false" outlineLevel="0" collapsed="false">
      <c r="L2374" s="37" t="str">
        <f aca="false">IF(C2374="","",IF(C2374&lt;=5,"Night (00-05)",IF(C2374&lt;=11,"Morning (06-11)",IF(C2374&lt;=16,"Afternoon (12-16)",IF(C2374&lt;=20,"Evening (17-20)","Late (21-23)")))))</f>
        <v/>
      </c>
    </row>
    <row r="2375" customFormat="false" ht="15" hidden="false" customHeight="false" outlineLevel="0" collapsed="false">
      <c r="L2375" s="37" t="str">
        <f aca="false">IF(C2375="","",IF(C2375&lt;=5,"Night (00-05)",IF(C2375&lt;=11,"Morning (06-11)",IF(C2375&lt;=16,"Afternoon (12-16)",IF(C2375&lt;=20,"Evening (17-20)","Late (21-23)")))))</f>
        <v/>
      </c>
    </row>
    <row r="2376" customFormat="false" ht="15" hidden="false" customHeight="false" outlineLevel="0" collapsed="false">
      <c r="L2376" s="37" t="str">
        <f aca="false">IF(C2376="","",IF(C2376&lt;=5,"Night (00-05)",IF(C2376&lt;=11,"Morning (06-11)",IF(C2376&lt;=16,"Afternoon (12-16)",IF(C2376&lt;=20,"Evening (17-20)","Late (21-23)")))))</f>
        <v/>
      </c>
    </row>
    <row r="2377" customFormat="false" ht="15" hidden="false" customHeight="false" outlineLevel="0" collapsed="false">
      <c r="L2377" s="37" t="str">
        <f aca="false">IF(C2377="","",IF(C2377&lt;=5,"Night (00-05)",IF(C2377&lt;=11,"Morning (06-11)",IF(C2377&lt;=16,"Afternoon (12-16)",IF(C2377&lt;=20,"Evening (17-20)","Late (21-23)")))))</f>
        <v/>
      </c>
    </row>
    <row r="2378" customFormat="false" ht="15" hidden="false" customHeight="false" outlineLevel="0" collapsed="false">
      <c r="L2378" s="37" t="str">
        <f aca="false">IF(C2378="","",IF(C2378&lt;=5,"Night (00-05)",IF(C2378&lt;=11,"Morning (06-11)",IF(C2378&lt;=16,"Afternoon (12-16)",IF(C2378&lt;=20,"Evening (17-20)","Late (21-23)")))))</f>
        <v/>
      </c>
    </row>
    <row r="2379" customFormat="false" ht="15" hidden="false" customHeight="false" outlineLevel="0" collapsed="false">
      <c r="L2379" s="37" t="str">
        <f aca="false">IF(C2379="","",IF(C2379&lt;=5,"Night (00-05)",IF(C2379&lt;=11,"Morning (06-11)",IF(C2379&lt;=16,"Afternoon (12-16)",IF(C2379&lt;=20,"Evening (17-20)","Late (21-23)")))))</f>
        <v/>
      </c>
    </row>
    <row r="2380" customFormat="false" ht="15" hidden="false" customHeight="false" outlineLevel="0" collapsed="false">
      <c r="L2380" s="37" t="str">
        <f aca="false">IF(C2380="","",IF(C2380&lt;=5,"Night (00-05)",IF(C2380&lt;=11,"Morning (06-11)",IF(C2380&lt;=16,"Afternoon (12-16)",IF(C2380&lt;=20,"Evening (17-20)","Late (21-23)")))))</f>
        <v/>
      </c>
    </row>
    <row r="2381" customFormat="false" ht="15" hidden="false" customHeight="false" outlineLevel="0" collapsed="false">
      <c r="L2381" s="37" t="str">
        <f aca="false">IF(C2381="","",IF(C2381&lt;=5,"Night (00-05)",IF(C2381&lt;=11,"Morning (06-11)",IF(C2381&lt;=16,"Afternoon (12-16)",IF(C2381&lt;=20,"Evening (17-20)","Late (21-23)")))))</f>
        <v/>
      </c>
    </row>
    <row r="2382" customFormat="false" ht="15" hidden="false" customHeight="false" outlineLevel="0" collapsed="false">
      <c r="L2382" s="37" t="str">
        <f aca="false">IF(C2382="","",IF(C2382&lt;=5,"Night (00-05)",IF(C2382&lt;=11,"Morning (06-11)",IF(C2382&lt;=16,"Afternoon (12-16)",IF(C2382&lt;=20,"Evening (17-20)","Late (21-23)")))))</f>
        <v/>
      </c>
    </row>
    <row r="2383" customFormat="false" ht="15" hidden="false" customHeight="false" outlineLevel="0" collapsed="false">
      <c r="L2383" s="37" t="str">
        <f aca="false">IF(C2383="","",IF(C2383&lt;=5,"Night (00-05)",IF(C2383&lt;=11,"Morning (06-11)",IF(C2383&lt;=16,"Afternoon (12-16)",IF(C2383&lt;=20,"Evening (17-20)","Late (21-23)")))))</f>
        <v/>
      </c>
    </row>
    <row r="2384" customFormat="false" ht="15" hidden="false" customHeight="false" outlineLevel="0" collapsed="false">
      <c r="L2384" s="37" t="str">
        <f aca="false">IF(C2384="","",IF(C2384&lt;=5,"Night (00-05)",IF(C2384&lt;=11,"Morning (06-11)",IF(C2384&lt;=16,"Afternoon (12-16)",IF(C2384&lt;=20,"Evening (17-20)","Late (21-23)")))))</f>
        <v/>
      </c>
    </row>
    <row r="2385" customFormat="false" ht="15" hidden="false" customHeight="false" outlineLevel="0" collapsed="false">
      <c r="L2385" s="37" t="str">
        <f aca="false">IF(C2385="","",IF(C2385&lt;=5,"Night (00-05)",IF(C2385&lt;=11,"Morning (06-11)",IF(C2385&lt;=16,"Afternoon (12-16)",IF(C2385&lt;=20,"Evening (17-20)","Late (21-23)")))))</f>
        <v/>
      </c>
    </row>
    <row r="2386" customFormat="false" ht="15" hidden="false" customHeight="false" outlineLevel="0" collapsed="false">
      <c r="L2386" s="37" t="str">
        <f aca="false">IF(C2386="","",IF(C2386&lt;=5,"Night (00-05)",IF(C2386&lt;=11,"Morning (06-11)",IF(C2386&lt;=16,"Afternoon (12-16)",IF(C2386&lt;=20,"Evening (17-20)","Late (21-23)")))))</f>
        <v/>
      </c>
    </row>
    <row r="2387" customFormat="false" ht="15" hidden="false" customHeight="false" outlineLevel="0" collapsed="false">
      <c r="L2387" s="37" t="str">
        <f aca="false">IF(C2387="","",IF(C2387&lt;=5,"Night (00-05)",IF(C2387&lt;=11,"Morning (06-11)",IF(C2387&lt;=16,"Afternoon (12-16)",IF(C2387&lt;=20,"Evening (17-20)","Late (21-23)")))))</f>
        <v/>
      </c>
    </row>
    <row r="2388" customFormat="false" ht="15" hidden="false" customHeight="false" outlineLevel="0" collapsed="false">
      <c r="L2388" s="37" t="str">
        <f aca="false">IF(C2388="","",IF(C2388&lt;=5,"Night (00-05)",IF(C2388&lt;=11,"Morning (06-11)",IF(C2388&lt;=16,"Afternoon (12-16)",IF(C2388&lt;=20,"Evening (17-20)","Late (21-23)")))))</f>
        <v/>
      </c>
    </row>
    <row r="2389" customFormat="false" ht="15" hidden="false" customHeight="false" outlineLevel="0" collapsed="false">
      <c r="L2389" s="37" t="str">
        <f aca="false">IF(C2389="","",IF(C2389&lt;=5,"Night (00-05)",IF(C2389&lt;=11,"Morning (06-11)",IF(C2389&lt;=16,"Afternoon (12-16)",IF(C2389&lt;=20,"Evening (17-20)","Late (21-23)")))))</f>
        <v/>
      </c>
    </row>
    <row r="2390" customFormat="false" ht="15" hidden="false" customHeight="false" outlineLevel="0" collapsed="false">
      <c r="L2390" s="37" t="str">
        <f aca="false">IF(C2390="","",IF(C2390&lt;=5,"Night (00-05)",IF(C2390&lt;=11,"Morning (06-11)",IF(C2390&lt;=16,"Afternoon (12-16)",IF(C2390&lt;=20,"Evening (17-20)","Late (21-23)")))))</f>
        <v/>
      </c>
    </row>
    <row r="2391" customFormat="false" ht="15" hidden="false" customHeight="false" outlineLevel="0" collapsed="false">
      <c r="L2391" s="37" t="str">
        <f aca="false">IF(C2391="","",IF(C2391&lt;=5,"Night (00-05)",IF(C2391&lt;=11,"Morning (06-11)",IF(C2391&lt;=16,"Afternoon (12-16)",IF(C2391&lt;=20,"Evening (17-20)","Late (21-23)")))))</f>
        <v/>
      </c>
    </row>
    <row r="2392" customFormat="false" ht="15" hidden="false" customHeight="false" outlineLevel="0" collapsed="false">
      <c r="L2392" s="37" t="str">
        <f aca="false">IF(C2392="","",IF(C2392&lt;=5,"Night (00-05)",IF(C2392&lt;=11,"Morning (06-11)",IF(C2392&lt;=16,"Afternoon (12-16)",IF(C2392&lt;=20,"Evening (17-20)","Late (21-23)")))))</f>
        <v/>
      </c>
    </row>
    <row r="2393" customFormat="false" ht="15" hidden="false" customHeight="false" outlineLevel="0" collapsed="false">
      <c r="L2393" s="37" t="str">
        <f aca="false">IF(C2393="","",IF(C2393&lt;=5,"Night (00-05)",IF(C2393&lt;=11,"Morning (06-11)",IF(C2393&lt;=16,"Afternoon (12-16)",IF(C2393&lt;=20,"Evening (17-20)","Late (21-23)")))))</f>
        <v/>
      </c>
    </row>
    <row r="2394" customFormat="false" ht="15" hidden="false" customHeight="false" outlineLevel="0" collapsed="false">
      <c r="L2394" s="37" t="str">
        <f aca="false">IF(C2394="","",IF(C2394&lt;=5,"Night (00-05)",IF(C2394&lt;=11,"Morning (06-11)",IF(C2394&lt;=16,"Afternoon (12-16)",IF(C2394&lt;=20,"Evening (17-20)","Late (21-23)")))))</f>
        <v/>
      </c>
    </row>
    <row r="2395" customFormat="false" ht="15" hidden="false" customHeight="false" outlineLevel="0" collapsed="false">
      <c r="L2395" s="37" t="str">
        <f aca="false">IF(C2395="","",IF(C2395&lt;=5,"Night (00-05)",IF(C2395&lt;=11,"Morning (06-11)",IF(C2395&lt;=16,"Afternoon (12-16)",IF(C2395&lt;=20,"Evening (17-20)","Late (21-23)")))))</f>
        <v/>
      </c>
    </row>
    <row r="2396" customFormat="false" ht="15" hidden="false" customHeight="false" outlineLevel="0" collapsed="false">
      <c r="L2396" s="37" t="str">
        <f aca="false">IF(C2396="","",IF(C2396&lt;=5,"Night (00-05)",IF(C2396&lt;=11,"Morning (06-11)",IF(C2396&lt;=16,"Afternoon (12-16)",IF(C2396&lt;=20,"Evening (17-20)","Late (21-23)")))))</f>
        <v/>
      </c>
    </row>
    <row r="2397" customFormat="false" ht="15" hidden="false" customHeight="false" outlineLevel="0" collapsed="false">
      <c r="L2397" s="37" t="str">
        <f aca="false">IF(C2397="","",IF(C2397&lt;=5,"Night (00-05)",IF(C2397&lt;=11,"Morning (06-11)",IF(C2397&lt;=16,"Afternoon (12-16)",IF(C2397&lt;=20,"Evening (17-20)","Late (21-23)")))))</f>
        <v/>
      </c>
    </row>
    <row r="2398" customFormat="false" ht="15" hidden="false" customHeight="false" outlineLevel="0" collapsed="false">
      <c r="L2398" s="37" t="str">
        <f aca="false">IF(C2398="","",IF(C2398&lt;=5,"Night (00-05)",IF(C2398&lt;=11,"Morning (06-11)",IF(C2398&lt;=16,"Afternoon (12-16)",IF(C2398&lt;=20,"Evening (17-20)","Late (21-23)")))))</f>
        <v/>
      </c>
    </row>
    <row r="2399" customFormat="false" ht="15" hidden="false" customHeight="false" outlineLevel="0" collapsed="false">
      <c r="L2399" s="37" t="str">
        <f aca="false">IF(C2399="","",IF(C2399&lt;=5,"Night (00-05)",IF(C2399&lt;=11,"Morning (06-11)",IF(C2399&lt;=16,"Afternoon (12-16)",IF(C2399&lt;=20,"Evening (17-20)","Late (21-23)")))))</f>
        <v/>
      </c>
    </row>
    <row r="2400" customFormat="false" ht="15" hidden="false" customHeight="false" outlineLevel="0" collapsed="false">
      <c r="L2400" s="37" t="str">
        <f aca="false">IF(C2400="","",IF(C2400&lt;=5,"Night (00-05)",IF(C2400&lt;=11,"Morning (06-11)",IF(C2400&lt;=16,"Afternoon (12-16)",IF(C2400&lt;=20,"Evening (17-20)","Late (21-23)")))))</f>
        <v/>
      </c>
    </row>
    <row r="2401" customFormat="false" ht="15" hidden="false" customHeight="false" outlineLevel="0" collapsed="false">
      <c r="L2401" s="37" t="str">
        <f aca="false">IF(C2401="","",IF(C2401&lt;=5,"Night (00-05)",IF(C2401&lt;=11,"Morning (06-11)",IF(C2401&lt;=16,"Afternoon (12-16)",IF(C2401&lt;=20,"Evening (17-20)","Late (21-23)")))))</f>
        <v/>
      </c>
    </row>
    <row r="2402" customFormat="false" ht="15" hidden="false" customHeight="false" outlineLevel="0" collapsed="false">
      <c r="L2402" s="37" t="str">
        <f aca="false">IF(C2402="","",IF(C2402&lt;=5,"Night (00-05)",IF(C2402&lt;=11,"Morning (06-11)",IF(C2402&lt;=16,"Afternoon (12-16)",IF(C2402&lt;=20,"Evening (17-20)","Late (21-23)")))))</f>
        <v/>
      </c>
    </row>
    <row r="2403" customFormat="false" ht="15" hidden="false" customHeight="false" outlineLevel="0" collapsed="false">
      <c r="L2403" s="37" t="str">
        <f aca="false">IF(C2403="","",IF(C2403&lt;=5,"Night (00-05)",IF(C2403&lt;=11,"Morning (06-11)",IF(C2403&lt;=16,"Afternoon (12-16)",IF(C2403&lt;=20,"Evening (17-20)","Late (21-23)")))))</f>
        <v/>
      </c>
    </row>
    <row r="2404" customFormat="false" ht="15" hidden="false" customHeight="false" outlineLevel="0" collapsed="false">
      <c r="L2404" s="37" t="str">
        <f aca="false">IF(C2404="","",IF(C2404&lt;=5,"Night (00-05)",IF(C2404&lt;=11,"Morning (06-11)",IF(C2404&lt;=16,"Afternoon (12-16)",IF(C2404&lt;=20,"Evening (17-20)","Late (21-23)")))))</f>
        <v/>
      </c>
    </row>
    <row r="2405" customFormat="false" ht="15" hidden="false" customHeight="false" outlineLevel="0" collapsed="false">
      <c r="L2405" s="37" t="str">
        <f aca="false">IF(C2405="","",IF(C2405&lt;=5,"Night (00-05)",IF(C2405&lt;=11,"Morning (06-11)",IF(C2405&lt;=16,"Afternoon (12-16)",IF(C2405&lt;=20,"Evening (17-20)","Late (21-23)")))))</f>
        <v/>
      </c>
    </row>
    <row r="2406" customFormat="false" ht="15" hidden="false" customHeight="false" outlineLevel="0" collapsed="false">
      <c r="L2406" s="37" t="str">
        <f aca="false">IF(C2406="","",IF(C2406&lt;=5,"Night (00-05)",IF(C2406&lt;=11,"Morning (06-11)",IF(C2406&lt;=16,"Afternoon (12-16)",IF(C2406&lt;=20,"Evening (17-20)","Late (21-23)")))))</f>
        <v/>
      </c>
    </row>
    <row r="2407" customFormat="false" ht="15" hidden="false" customHeight="false" outlineLevel="0" collapsed="false">
      <c r="L2407" s="37" t="str">
        <f aca="false">IF(C2407="","",IF(C2407&lt;=5,"Night (00-05)",IF(C2407&lt;=11,"Morning (06-11)",IF(C2407&lt;=16,"Afternoon (12-16)",IF(C2407&lt;=20,"Evening (17-20)","Late (21-23)")))))</f>
        <v/>
      </c>
    </row>
    <row r="2408" customFormat="false" ht="15" hidden="false" customHeight="false" outlineLevel="0" collapsed="false">
      <c r="L2408" s="37" t="str">
        <f aca="false">IF(C2408="","",IF(C2408&lt;=5,"Night (00-05)",IF(C2408&lt;=11,"Morning (06-11)",IF(C2408&lt;=16,"Afternoon (12-16)",IF(C2408&lt;=20,"Evening (17-20)","Late (21-23)")))))</f>
        <v/>
      </c>
    </row>
    <row r="2409" customFormat="false" ht="15" hidden="false" customHeight="false" outlineLevel="0" collapsed="false">
      <c r="L2409" s="37" t="str">
        <f aca="false">IF(C2409="","",IF(C2409&lt;=5,"Night (00-05)",IF(C2409&lt;=11,"Morning (06-11)",IF(C2409&lt;=16,"Afternoon (12-16)",IF(C2409&lt;=20,"Evening (17-20)","Late (21-23)")))))</f>
        <v/>
      </c>
    </row>
    <row r="2410" customFormat="false" ht="15" hidden="false" customHeight="false" outlineLevel="0" collapsed="false">
      <c r="L2410" s="37" t="str">
        <f aca="false">IF(C2410="","",IF(C2410&lt;=5,"Night (00-05)",IF(C2410&lt;=11,"Morning (06-11)",IF(C2410&lt;=16,"Afternoon (12-16)",IF(C2410&lt;=20,"Evening (17-20)","Late (21-23)")))))</f>
        <v/>
      </c>
    </row>
    <row r="2411" customFormat="false" ht="15" hidden="false" customHeight="false" outlineLevel="0" collapsed="false">
      <c r="L2411" s="37" t="str">
        <f aca="false">IF(C2411="","",IF(C2411&lt;=5,"Night (00-05)",IF(C2411&lt;=11,"Morning (06-11)",IF(C2411&lt;=16,"Afternoon (12-16)",IF(C2411&lt;=20,"Evening (17-20)","Late (21-23)")))))</f>
        <v/>
      </c>
    </row>
    <row r="2412" customFormat="false" ht="15" hidden="false" customHeight="false" outlineLevel="0" collapsed="false">
      <c r="L2412" s="37" t="str">
        <f aca="false">IF(C2412="","",IF(C2412&lt;=5,"Night (00-05)",IF(C2412&lt;=11,"Morning (06-11)",IF(C2412&lt;=16,"Afternoon (12-16)",IF(C2412&lt;=20,"Evening (17-20)","Late (21-23)")))))</f>
        <v/>
      </c>
    </row>
    <row r="2413" customFormat="false" ht="15" hidden="false" customHeight="false" outlineLevel="0" collapsed="false">
      <c r="L2413" s="37" t="str">
        <f aca="false">IF(C2413="","",IF(C2413&lt;=5,"Night (00-05)",IF(C2413&lt;=11,"Morning (06-11)",IF(C2413&lt;=16,"Afternoon (12-16)",IF(C2413&lt;=20,"Evening (17-20)","Late (21-23)")))))</f>
        <v/>
      </c>
    </row>
    <row r="2414" customFormat="false" ht="15" hidden="false" customHeight="false" outlineLevel="0" collapsed="false">
      <c r="L2414" s="37" t="str">
        <f aca="false">IF(C2414="","",IF(C2414&lt;=5,"Night (00-05)",IF(C2414&lt;=11,"Morning (06-11)",IF(C2414&lt;=16,"Afternoon (12-16)",IF(C2414&lt;=20,"Evening (17-20)","Late (21-23)")))))</f>
        <v/>
      </c>
    </row>
    <row r="2415" customFormat="false" ht="15" hidden="false" customHeight="false" outlineLevel="0" collapsed="false">
      <c r="L2415" s="37" t="str">
        <f aca="false">IF(C2415="","",IF(C2415&lt;=5,"Night (00-05)",IF(C2415&lt;=11,"Morning (06-11)",IF(C2415&lt;=16,"Afternoon (12-16)",IF(C2415&lt;=20,"Evening (17-20)","Late (21-23)")))))</f>
        <v/>
      </c>
    </row>
    <row r="2416" customFormat="false" ht="15" hidden="false" customHeight="false" outlineLevel="0" collapsed="false">
      <c r="L2416" s="37" t="str">
        <f aca="false">IF(C2416="","",IF(C2416&lt;=5,"Night (00-05)",IF(C2416&lt;=11,"Morning (06-11)",IF(C2416&lt;=16,"Afternoon (12-16)",IF(C2416&lt;=20,"Evening (17-20)","Late (21-23)")))))</f>
        <v/>
      </c>
    </row>
    <row r="2417" customFormat="false" ht="15" hidden="false" customHeight="false" outlineLevel="0" collapsed="false">
      <c r="L2417" s="37" t="str">
        <f aca="false">IF(C2417="","",IF(C2417&lt;=5,"Night (00-05)",IF(C2417&lt;=11,"Morning (06-11)",IF(C2417&lt;=16,"Afternoon (12-16)",IF(C2417&lt;=20,"Evening (17-20)","Late (21-23)")))))</f>
        <v/>
      </c>
    </row>
    <row r="2418" customFormat="false" ht="15" hidden="false" customHeight="false" outlineLevel="0" collapsed="false">
      <c r="L2418" s="37" t="str">
        <f aca="false">IF(C2418="","",IF(C2418&lt;=5,"Night (00-05)",IF(C2418&lt;=11,"Morning (06-11)",IF(C2418&lt;=16,"Afternoon (12-16)",IF(C2418&lt;=20,"Evening (17-20)","Late (21-23)")))))</f>
        <v/>
      </c>
    </row>
    <row r="2419" customFormat="false" ht="15" hidden="false" customHeight="false" outlineLevel="0" collapsed="false">
      <c r="L2419" s="37" t="str">
        <f aca="false">IF(C2419="","",IF(C2419&lt;=5,"Night (00-05)",IF(C2419&lt;=11,"Morning (06-11)",IF(C2419&lt;=16,"Afternoon (12-16)",IF(C2419&lt;=20,"Evening (17-20)","Late (21-23)")))))</f>
        <v/>
      </c>
    </row>
    <row r="2420" customFormat="false" ht="15" hidden="false" customHeight="false" outlineLevel="0" collapsed="false">
      <c r="L2420" s="37" t="str">
        <f aca="false">IF(C2420="","",IF(C2420&lt;=5,"Night (00-05)",IF(C2420&lt;=11,"Morning (06-11)",IF(C2420&lt;=16,"Afternoon (12-16)",IF(C2420&lt;=20,"Evening (17-20)","Late (21-23)")))))</f>
        <v/>
      </c>
    </row>
    <row r="2421" customFormat="false" ht="15" hidden="false" customHeight="false" outlineLevel="0" collapsed="false">
      <c r="L2421" s="37" t="str">
        <f aca="false">IF(C2421="","",IF(C2421&lt;=5,"Night (00-05)",IF(C2421&lt;=11,"Morning (06-11)",IF(C2421&lt;=16,"Afternoon (12-16)",IF(C2421&lt;=20,"Evening (17-20)","Late (21-23)")))))</f>
        <v/>
      </c>
    </row>
    <row r="2422" customFormat="false" ht="15" hidden="false" customHeight="false" outlineLevel="0" collapsed="false">
      <c r="L2422" s="37" t="str">
        <f aca="false">IF(C2422="","",IF(C2422&lt;=5,"Night (00-05)",IF(C2422&lt;=11,"Morning (06-11)",IF(C2422&lt;=16,"Afternoon (12-16)",IF(C2422&lt;=20,"Evening (17-20)","Late (21-23)")))))</f>
        <v/>
      </c>
    </row>
    <row r="2423" customFormat="false" ht="15" hidden="false" customHeight="false" outlineLevel="0" collapsed="false">
      <c r="L2423" s="37" t="str">
        <f aca="false">IF(C2423="","",IF(C2423&lt;=5,"Night (00-05)",IF(C2423&lt;=11,"Morning (06-11)",IF(C2423&lt;=16,"Afternoon (12-16)",IF(C2423&lt;=20,"Evening (17-20)","Late (21-23)")))))</f>
        <v/>
      </c>
    </row>
    <row r="2424" customFormat="false" ht="15" hidden="false" customHeight="false" outlineLevel="0" collapsed="false">
      <c r="L2424" s="37" t="str">
        <f aca="false">IF(C2424="","",IF(C2424&lt;=5,"Night (00-05)",IF(C2424&lt;=11,"Morning (06-11)",IF(C2424&lt;=16,"Afternoon (12-16)",IF(C2424&lt;=20,"Evening (17-20)","Late (21-23)")))))</f>
        <v/>
      </c>
    </row>
    <row r="2425" customFormat="false" ht="15" hidden="false" customHeight="false" outlineLevel="0" collapsed="false">
      <c r="L2425" s="37" t="str">
        <f aca="false">IF(C2425="","",IF(C2425&lt;=5,"Night (00-05)",IF(C2425&lt;=11,"Morning (06-11)",IF(C2425&lt;=16,"Afternoon (12-16)",IF(C2425&lt;=20,"Evening (17-20)","Late (21-23)")))))</f>
        <v/>
      </c>
    </row>
    <row r="2426" customFormat="false" ht="15" hidden="false" customHeight="false" outlineLevel="0" collapsed="false">
      <c r="L2426" s="37" t="str">
        <f aca="false">IF(C2426="","",IF(C2426&lt;=5,"Night (00-05)",IF(C2426&lt;=11,"Morning (06-11)",IF(C2426&lt;=16,"Afternoon (12-16)",IF(C2426&lt;=20,"Evening (17-20)","Late (21-23)")))))</f>
        <v/>
      </c>
    </row>
    <row r="2427" customFormat="false" ht="15" hidden="false" customHeight="false" outlineLevel="0" collapsed="false">
      <c r="L2427" s="37" t="str">
        <f aca="false">IF(C2427="","",IF(C2427&lt;=5,"Night (00-05)",IF(C2427&lt;=11,"Morning (06-11)",IF(C2427&lt;=16,"Afternoon (12-16)",IF(C2427&lt;=20,"Evening (17-20)","Late (21-23)")))))</f>
        <v/>
      </c>
    </row>
    <row r="2428" customFormat="false" ht="15" hidden="false" customHeight="false" outlineLevel="0" collapsed="false">
      <c r="L2428" s="37" t="str">
        <f aca="false">IF(C2428="","",IF(C2428&lt;=5,"Night (00-05)",IF(C2428&lt;=11,"Morning (06-11)",IF(C2428&lt;=16,"Afternoon (12-16)",IF(C2428&lt;=20,"Evening (17-20)","Late (21-23)")))))</f>
        <v/>
      </c>
    </row>
    <row r="2429" customFormat="false" ht="15" hidden="false" customHeight="false" outlineLevel="0" collapsed="false">
      <c r="L2429" s="37" t="str">
        <f aca="false">IF(C2429="","",IF(C2429&lt;=5,"Night (00-05)",IF(C2429&lt;=11,"Morning (06-11)",IF(C2429&lt;=16,"Afternoon (12-16)",IF(C2429&lt;=20,"Evening (17-20)","Late (21-23)")))))</f>
        <v/>
      </c>
    </row>
    <row r="2430" customFormat="false" ht="15" hidden="false" customHeight="false" outlineLevel="0" collapsed="false">
      <c r="L2430" s="37" t="str">
        <f aca="false">IF(C2430="","",IF(C2430&lt;=5,"Night (00-05)",IF(C2430&lt;=11,"Morning (06-11)",IF(C2430&lt;=16,"Afternoon (12-16)",IF(C2430&lt;=20,"Evening (17-20)","Late (21-23)")))))</f>
        <v/>
      </c>
    </row>
    <row r="2431" customFormat="false" ht="15" hidden="false" customHeight="false" outlineLevel="0" collapsed="false">
      <c r="L2431" s="37" t="str">
        <f aca="false">IF(C2431="","",IF(C2431&lt;=5,"Night (00-05)",IF(C2431&lt;=11,"Morning (06-11)",IF(C2431&lt;=16,"Afternoon (12-16)",IF(C2431&lt;=20,"Evening (17-20)","Late (21-23)")))))</f>
        <v/>
      </c>
    </row>
    <row r="2432" customFormat="false" ht="15" hidden="false" customHeight="false" outlineLevel="0" collapsed="false">
      <c r="L2432" s="37" t="str">
        <f aca="false">IF(C2432="","",IF(C2432&lt;=5,"Night (00-05)",IF(C2432&lt;=11,"Morning (06-11)",IF(C2432&lt;=16,"Afternoon (12-16)",IF(C2432&lt;=20,"Evening (17-20)","Late (21-23)")))))</f>
        <v/>
      </c>
    </row>
    <row r="2433" customFormat="false" ht="15" hidden="false" customHeight="false" outlineLevel="0" collapsed="false">
      <c r="L2433" s="37" t="str">
        <f aca="false">IF(C2433="","",IF(C2433&lt;=5,"Night (00-05)",IF(C2433&lt;=11,"Morning (06-11)",IF(C2433&lt;=16,"Afternoon (12-16)",IF(C2433&lt;=20,"Evening (17-20)","Late (21-23)")))))</f>
        <v/>
      </c>
    </row>
    <row r="2434" customFormat="false" ht="15" hidden="false" customHeight="false" outlineLevel="0" collapsed="false">
      <c r="L2434" s="37" t="str">
        <f aca="false">IF(C2434="","",IF(C2434&lt;=5,"Night (00-05)",IF(C2434&lt;=11,"Morning (06-11)",IF(C2434&lt;=16,"Afternoon (12-16)",IF(C2434&lt;=20,"Evening (17-20)","Late (21-23)")))))</f>
        <v/>
      </c>
    </row>
    <row r="2435" customFormat="false" ht="15" hidden="false" customHeight="false" outlineLevel="0" collapsed="false">
      <c r="L2435" s="37" t="str">
        <f aca="false">IF(C2435="","",IF(C2435&lt;=5,"Night (00-05)",IF(C2435&lt;=11,"Morning (06-11)",IF(C2435&lt;=16,"Afternoon (12-16)",IF(C2435&lt;=20,"Evening (17-20)","Late (21-23)")))))</f>
        <v/>
      </c>
    </row>
    <row r="2436" customFormat="false" ht="15" hidden="false" customHeight="false" outlineLevel="0" collapsed="false">
      <c r="L2436" s="37" t="str">
        <f aca="false">IF(C2436="","",IF(C2436&lt;=5,"Night (00-05)",IF(C2436&lt;=11,"Morning (06-11)",IF(C2436&lt;=16,"Afternoon (12-16)",IF(C2436&lt;=20,"Evening (17-20)","Late (21-23)")))))</f>
        <v/>
      </c>
    </row>
    <row r="2437" customFormat="false" ht="15" hidden="false" customHeight="false" outlineLevel="0" collapsed="false">
      <c r="L2437" s="37" t="str">
        <f aca="false">IF(C2437="","",IF(C2437&lt;=5,"Night (00-05)",IF(C2437&lt;=11,"Morning (06-11)",IF(C2437&lt;=16,"Afternoon (12-16)",IF(C2437&lt;=20,"Evening (17-20)","Late (21-23)")))))</f>
        <v/>
      </c>
    </row>
    <row r="2438" customFormat="false" ht="15" hidden="false" customHeight="false" outlineLevel="0" collapsed="false">
      <c r="L2438" s="37" t="str">
        <f aca="false">IF(C2438="","",IF(C2438&lt;=5,"Night (00-05)",IF(C2438&lt;=11,"Morning (06-11)",IF(C2438&lt;=16,"Afternoon (12-16)",IF(C2438&lt;=20,"Evening (17-20)","Late (21-23)")))))</f>
        <v/>
      </c>
    </row>
    <row r="2439" customFormat="false" ht="15" hidden="false" customHeight="false" outlineLevel="0" collapsed="false">
      <c r="L2439" s="37" t="str">
        <f aca="false">IF(C2439="","",IF(C2439&lt;=5,"Night (00-05)",IF(C2439&lt;=11,"Morning (06-11)",IF(C2439&lt;=16,"Afternoon (12-16)",IF(C2439&lt;=20,"Evening (17-20)","Late (21-23)")))))</f>
        <v/>
      </c>
    </row>
    <row r="2440" customFormat="false" ht="15" hidden="false" customHeight="false" outlineLevel="0" collapsed="false">
      <c r="L2440" s="37" t="str">
        <f aca="false">IF(C2440="","",IF(C2440&lt;=5,"Night (00-05)",IF(C2440&lt;=11,"Morning (06-11)",IF(C2440&lt;=16,"Afternoon (12-16)",IF(C2440&lt;=20,"Evening (17-20)","Late (21-23)")))))</f>
        <v/>
      </c>
    </row>
    <row r="2441" customFormat="false" ht="15" hidden="false" customHeight="false" outlineLevel="0" collapsed="false">
      <c r="L2441" s="37" t="str">
        <f aca="false">IF(C2441="","",IF(C2441&lt;=5,"Night (00-05)",IF(C2441&lt;=11,"Morning (06-11)",IF(C2441&lt;=16,"Afternoon (12-16)",IF(C2441&lt;=20,"Evening (17-20)","Late (21-23)")))))</f>
        <v/>
      </c>
    </row>
    <row r="2442" customFormat="false" ht="15" hidden="false" customHeight="false" outlineLevel="0" collapsed="false">
      <c r="L2442" s="37" t="str">
        <f aca="false">IF(C2442="","",IF(C2442&lt;=5,"Night (00-05)",IF(C2442&lt;=11,"Morning (06-11)",IF(C2442&lt;=16,"Afternoon (12-16)",IF(C2442&lt;=20,"Evening (17-20)","Late (21-23)")))))</f>
        <v/>
      </c>
    </row>
    <row r="2443" customFormat="false" ht="15" hidden="false" customHeight="false" outlineLevel="0" collapsed="false">
      <c r="L2443" s="37" t="str">
        <f aca="false">IF(C2443="","",IF(C2443&lt;=5,"Night (00-05)",IF(C2443&lt;=11,"Morning (06-11)",IF(C2443&lt;=16,"Afternoon (12-16)",IF(C2443&lt;=20,"Evening (17-20)","Late (21-23)")))))</f>
        <v/>
      </c>
    </row>
    <row r="2444" customFormat="false" ht="15" hidden="false" customHeight="false" outlineLevel="0" collapsed="false">
      <c r="L2444" s="37" t="str">
        <f aca="false">IF(C2444="","",IF(C2444&lt;=5,"Night (00-05)",IF(C2444&lt;=11,"Morning (06-11)",IF(C2444&lt;=16,"Afternoon (12-16)",IF(C2444&lt;=20,"Evening (17-20)","Late (21-23)")))))</f>
        <v/>
      </c>
    </row>
    <row r="2445" customFormat="false" ht="15" hidden="false" customHeight="false" outlineLevel="0" collapsed="false">
      <c r="L2445" s="37" t="str">
        <f aca="false">IF(C2445="","",IF(C2445&lt;=5,"Night (00-05)",IF(C2445&lt;=11,"Morning (06-11)",IF(C2445&lt;=16,"Afternoon (12-16)",IF(C2445&lt;=20,"Evening (17-20)","Late (21-23)")))))</f>
        <v/>
      </c>
    </row>
    <row r="2446" customFormat="false" ht="15" hidden="false" customHeight="false" outlineLevel="0" collapsed="false">
      <c r="L2446" s="37" t="str">
        <f aca="false">IF(C2446="","",IF(C2446&lt;=5,"Night (00-05)",IF(C2446&lt;=11,"Morning (06-11)",IF(C2446&lt;=16,"Afternoon (12-16)",IF(C2446&lt;=20,"Evening (17-20)","Late (21-23)")))))</f>
        <v/>
      </c>
    </row>
    <row r="2447" customFormat="false" ht="15" hidden="false" customHeight="false" outlineLevel="0" collapsed="false">
      <c r="L2447" s="37" t="str">
        <f aca="false">IF(C2447="","",IF(C2447&lt;=5,"Night (00-05)",IF(C2447&lt;=11,"Morning (06-11)",IF(C2447&lt;=16,"Afternoon (12-16)",IF(C2447&lt;=20,"Evening (17-20)","Late (21-23)")))))</f>
        <v/>
      </c>
    </row>
    <row r="2448" customFormat="false" ht="15" hidden="false" customHeight="false" outlineLevel="0" collapsed="false">
      <c r="L2448" s="37" t="str">
        <f aca="false">IF(C2448="","",IF(C2448&lt;=5,"Night (00-05)",IF(C2448&lt;=11,"Morning (06-11)",IF(C2448&lt;=16,"Afternoon (12-16)",IF(C2448&lt;=20,"Evening (17-20)","Late (21-23)")))))</f>
        <v/>
      </c>
    </row>
    <row r="2449" customFormat="false" ht="15" hidden="false" customHeight="false" outlineLevel="0" collapsed="false">
      <c r="L2449" s="37" t="str">
        <f aca="false">IF(C2449="","",IF(C2449&lt;=5,"Night (00-05)",IF(C2449&lt;=11,"Morning (06-11)",IF(C2449&lt;=16,"Afternoon (12-16)",IF(C2449&lt;=20,"Evening (17-20)","Late (21-23)")))))</f>
        <v/>
      </c>
    </row>
    <row r="2450" customFormat="false" ht="15" hidden="false" customHeight="false" outlineLevel="0" collapsed="false">
      <c r="L2450" s="37" t="str">
        <f aca="false">IF(C2450="","",IF(C2450&lt;=5,"Night (00-05)",IF(C2450&lt;=11,"Morning (06-11)",IF(C2450&lt;=16,"Afternoon (12-16)",IF(C2450&lt;=20,"Evening (17-20)","Late (21-23)")))))</f>
        <v/>
      </c>
    </row>
    <row r="2451" customFormat="false" ht="15" hidden="false" customHeight="false" outlineLevel="0" collapsed="false">
      <c r="L2451" s="37" t="str">
        <f aca="false">IF(C2451="","",IF(C2451&lt;=5,"Night (00-05)",IF(C2451&lt;=11,"Morning (06-11)",IF(C2451&lt;=16,"Afternoon (12-16)",IF(C2451&lt;=20,"Evening (17-20)","Late (21-23)")))))</f>
        <v/>
      </c>
    </row>
    <row r="2452" customFormat="false" ht="15" hidden="false" customHeight="false" outlineLevel="0" collapsed="false">
      <c r="L2452" s="37" t="str">
        <f aca="false">IF(C2452="","",IF(C2452&lt;=5,"Night (00-05)",IF(C2452&lt;=11,"Morning (06-11)",IF(C2452&lt;=16,"Afternoon (12-16)",IF(C2452&lt;=20,"Evening (17-20)","Late (21-23)")))))</f>
        <v/>
      </c>
    </row>
    <row r="2453" customFormat="false" ht="15" hidden="false" customHeight="false" outlineLevel="0" collapsed="false">
      <c r="L2453" s="37" t="str">
        <f aca="false">IF(C2453="","",IF(C2453&lt;=5,"Night (00-05)",IF(C2453&lt;=11,"Morning (06-11)",IF(C2453&lt;=16,"Afternoon (12-16)",IF(C2453&lt;=20,"Evening (17-20)","Late (21-23)")))))</f>
        <v/>
      </c>
    </row>
    <row r="2454" customFormat="false" ht="15" hidden="false" customHeight="false" outlineLevel="0" collapsed="false">
      <c r="L2454" s="37" t="str">
        <f aca="false">IF(C2454="","",IF(C2454&lt;=5,"Night (00-05)",IF(C2454&lt;=11,"Morning (06-11)",IF(C2454&lt;=16,"Afternoon (12-16)",IF(C2454&lt;=20,"Evening (17-20)","Late (21-23)")))))</f>
        <v/>
      </c>
    </row>
    <row r="2455" customFormat="false" ht="15" hidden="false" customHeight="false" outlineLevel="0" collapsed="false">
      <c r="L2455" s="37" t="str">
        <f aca="false">IF(C2455="","",IF(C2455&lt;=5,"Night (00-05)",IF(C2455&lt;=11,"Morning (06-11)",IF(C2455&lt;=16,"Afternoon (12-16)",IF(C2455&lt;=20,"Evening (17-20)","Late (21-23)")))))</f>
        <v/>
      </c>
    </row>
    <row r="2456" customFormat="false" ht="15" hidden="false" customHeight="false" outlineLevel="0" collapsed="false">
      <c r="L2456" s="37" t="str">
        <f aca="false">IF(C2456="","",IF(C2456&lt;=5,"Night (00-05)",IF(C2456&lt;=11,"Morning (06-11)",IF(C2456&lt;=16,"Afternoon (12-16)",IF(C2456&lt;=20,"Evening (17-20)","Late (21-23)")))))</f>
        <v/>
      </c>
    </row>
    <row r="2457" customFormat="false" ht="15" hidden="false" customHeight="false" outlineLevel="0" collapsed="false">
      <c r="L2457" s="37" t="str">
        <f aca="false">IF(C2457="","",IF(C2457&lt;=5,"Night (00-05)",IF(C2457&lt;=11,"Morning (06-11)",IF(C2457&lt;=16,"Afternoon (12-16)",IF(C2457&lt;=20,"Evening (17-20)","Late (21-23)")))))</f>
        <v/>
      </c>
    </row>
    <row r="2458" customFormat="false" ht="15" hidden="false" customHeight="false" outlineLevel="0" collapsed="false">
      <c r="L2458" s="37" t="str">
        <f aca="false">IF(C2458="","",IF(C2458&lt;=5,"Night (00-05)",IF(C2458&lt;=11,"Morning (06-11)",IF(C2458&lt;=16,"Afternoon (12-16)",IF(C2458&lt;=20,"Evening (17-20)","Late (21-23)")))))</f>
        <v/>
      </c>
    </row>
    <row r="2459" customFormat="false" ht="15" hidden="false" customHeight="false" outlineLevel="0" collapsed="false">
      <c r="L2459" s="37" t="str">
        <f aca="false">IF(C2459="","",IF(C2459&lt;=5,"Night (00-05)",IF(C2459&lt;=11,"Morning (06-11)",IF(C2459&lt;=16,"Afternoon (12-16)",IF(C2459&lt;=20,"Evening (17-20)","Late (21-23)")))))</f>
        <v/>
      </c>
    </row>
    <row r="2460" customFormat="false" ht="15" hidden="false" customHeight="false" outlineLevel="0" collapsed="false">
      <c r="L2460" s="37" t="str">
        <f aca="false">IF(C2460="","",IF(C2460&lt;=5,"Night (00-05)",IF(C2460&lt;=11,"Morning (06-11)",IF(C2460&lt;=16,"Afternoon (12-16)",IF(C2460&lt;=20,"Evening (17-20)","Late (21-23)")))))</f>
        <v/>
      </c>
    </row>
    <row r="2461" customFormat="false" ht="15" hidden="false" customHeight="false" outlineLevel="0" collapsed="false">
      <c r="L2461" s="37" t="str">
        <f aca="false">IF(C2461="","",IF(C2461&lt;=5,"Night (00-05)",IF(C2461&lt;=11,"Morning (06-11)",IF(C2461&lt;=16,"Afternoon (12-16)",IF(C2461&lt;=20,"Evening (17-20)","Late (21-23)")))))</f>
        <v/>
      </c>
    </row>
    <row r="2462" customFormat="false" ht="15" hidden="false" customHeight="false" outlineLevel="0" collapsed="false">
      <c r="L2462" s="37" t="str">
        <f aca="false">IF(C2462="","",IF(C2462&lt;=5,"Night (00-05)",IF(C2462&lt;=11,"Morning (06-11)",IF(C2462&lt;=16,"Afternoon (12-16)",IF(C2462&lt;=20,"Evening (17-20)","Late (21-23)")))))</f>
        <v/>
      </c>
    </row>
    <row r="2463" customFormat="false" ht="15" hidden="false" customHeight="false" outlineLevel="0" collapsed="false">
      <c r="L2463" s="37" t="str">
        <f aca="false">IF(C2463="","",IF(C2463&lt;=5,"Night (00-05)",IF(C2463&lt;=11,"Morning (06-11)",IF(C2463&lt;=16,"Afternoon (12-16)",IF(C2463&lt;=20,"Evening (17-20)","Late (21-23)")))))</f>
        <v/>
      </c>
    </row>
    <row r="2464" customFormat="false" ht="15" hidden="false" customHeight="false" outlineLevel="0" collapsed="false">
      <c r="L2464" s="37" t="str">
        <f aca="false">IF(C2464="","",IF(C2464&lt;=5,"Night (00-05)",IF(C2464&lt;=11,"Morning (06-11)",IF(C2464&lt;=16,"Afternoon (12-16)",IF(C2464&lt;=20,"Evening (17-20)","Late (21-23)")))))</f>
        <v/>
      </c>
    </row>
    <row r="2465" customFormat="false" ht="15" hidden="false" customHeight="false" outlineLevel="0" collapsed="false">
      <c r="L2465" s="37" t="str">
        <f aca="false">IF(C2465="","",IF(C2465&lt;=5,"Night (00-05)",IF(C2465&lt;=11,"Morning (06-11)",IF(C2465&lt;=16,"Afternoon (12-16)",IF(C2465&lt;=20,"Evening (17-20)","Late (21-23)")))))</f>
        <v/>
      </c>
    </row>
    <row r="2466" customFormat="false" ht="15" hidden="false" customHeight="false" outlineLevel="0" collapsed="false">
      <c r="L2466" s="37" t="str">
        <f aca="false">IF(C2466="","",IF(C2466&lt;=5,"Night (00-05)",IF(C2466&lt;=11,"Morning (06-11)",IF(C2466&lt;=16,"Afternoon (12-16)",IF(C2466&lt;=20,"Evening (17-20)","Late (21-23)")))))</f>
        <v/>
      </c>
    </row>
    <row r="2467" customFormat="false" ht="15" hidden="false" customHeight="false" outlineLevel="0" collapsed="false">
      <c r="L2467" s="37" t="str">
        <f aca="false">IF(C2467="","",IF(C2467&lt;=5,"Night (00-05)",IF(C2467&lt;=11,"Morning (06-11)",IF(C2467&lt;=16,"Afternoon (12-16)",IF(C2467&lt;=20,"Evening (17-20)","Late (21-23)")))))</f>
        <v/>
      </c>
    </row>
    <row r="2468" customFormat="false" ht="15" hidden="false" customHeight="false" outlineLevel="0" collapsed="false">
      <c r="L2468" s="37" t="str">
        <f aca="false">IF(C2468="","",IF(C2468&lt;=5,"Night (00-05)",IF(C2468&lt;=11,"Morning (06-11)",IF(C2468&lt;=16,"Afternoon (12-16)",IF(C2468&lt;=20,"Evening (17-20)","Late (21-23)")))))</f>
        <v/>
      </c>
    </row>
    <row r="2469" customFormat="false" ht="15" hidden="false" customHeight="false" outlineLevel="0" collapsed="false">
      <c r="L2469" s="37" t="str">
        <f aca="false">IF(C2469="","",IF(C2469&lt;=5,"Night (00-05)",IF(C2469&lt;=11,"Morning (06-11)",IF(C2469&lt;=16,"Afternoon (12-16)",IF(C2469&lt;=20,"Evening (17-20)","Late (21-23)")))))</f>
        <v/>
      </c>
    </row>
    <row r="2470" customFormat="false" ht="15" hidden="false" customHeight="false" outlineLevel="0" collapsed="false">
      <c r="L2470" s="37" t="str">
        <f aca="false">IF(C2470="","",IF(C2470&lt;=5,"Night (00-05)",IF(C2470&lt;=11,"Morning (06-11)",IF(C2470&lt;=16,"Afternoon (12-16)",IF(C2470&lt;=20,"Evening (17-20)","Late (21-23)")))))</f>
        <v/>
      </c>
    </row>
    <row r="2471" customFormat="false" ht="15" hidden="false" customHeight="false" outlineLevel="0" collapsed="false">
      <c r="L2471" s="37" t="str">
        <f aca="false">IF(C2471="","",IF(C2471&lt;=5,"Night (00-05)",IF(C2471&lt;=11,"Morning (06-11)",IF(C2471&lt;=16,"Afternoon (12-16)",IF(C2471&lt;=20,"Evening (17-20)","Late (21-23)")))))</f>
        <v/>
      </c>
    </row>
    <row r="2472" customFormat="false" ht="15" hidden="false" customHeight="false" outlineLevel="0" collapsed="false">
      <c r="L2472" s="37" t="str">
        <f aca="false">IF(C2472="","",IF(C2472&lt;=5,"Night (00-05)",IF(C2472&lt;=11,"Morning (06-11)",IF(C2472&lt;=16,"Afternoon (12-16)",IF(C2472&lt;=20,"Evening (17-20)","Late (21-23)")))))</f>
        <v/>
      </c>
    </row>
    <row r="2473" customFormat="false" ht="15" hidden="false" customHeight="false" outlineLevel="0" collapsed="false">
      <c r="L2473" s="37" t="str">
        <f aca="false">IF(C2473="","",IF(C2473&lt;=5,"Night (00-05)",IF(C2473&lt;=11,"Morning (06-11)",IF(C2473&lt;=16,"Afternoon (12-16)",IF(C2473&lt;=20,"Evening (17-20)","Late (21-23)")))))</f>
        <v/>
      </c>
    </row>
    <row r="2474" customFormat="false" ht="15" hidden="false" customHeight="false" outlineLevel="0" collapsed="false">
      <c r="L2474" s="37" t="str">
        <f aca="false">IF(C2474="","",IF(C2474&lt;=5,"Night (00-05)",IF(C2474&lt;=11,"Morning (06-11)",IF(C2474&lt;=16,"Afternoon (12-16)",IF(C2474&lt;=20,"Evening (17-20)","Late (21-23)")))))</f>
        <v/>
      </c>
    </row>
    <row r="2475" customFormat="false" ht="15" hidden="false" customHeight="false" outlineLevel="0" collapsed="false">
      <c r="L2475" s="37" t="str">
        <f aca="false">IF(C2475="","",IF(C2475&lt;=5,"Night (00-05)",IF(C2475&lt;=11,"Morning (06-11)",IF(C2475&lt;=16,"Afternoon (12-16)",IF(C2475&lt;=20,"Evening (17-20)","Late (21-23)")))))</f>
        <v/>
      </c>
    </row>
    <row r="2476" customFormat="false" ht="15" hidden="false" customHeight="false" outlineLevel="0" collapsed="false">
      <c r="L2476" s="37" t="str">
        <f aca="false">IF(C2476="","",IF(C2476&lt;=5,"Night (00-05)",IF(C2476&lt;=11,"Morning (06-11)",IF(C2476&lt;=16,"Afternoon (12-16)",IF(C2476&lt;=20,"Evening (17-20)","Late (21-23)")))))</f>
        <v/>
      </c>
    </row>
    <row r="2477" customFormat="false" ht="15" hidden="false" customHeight="false" outlineLevel="0" collapsed="false">
      <c r="L2477" s="37" t="str">
        <f aca="false">IF(C2477="","",IF(C2477&lt;=5,"Night (00-05)",IF(C2477&lt;=11,"Morning (06-11)",IF(C2477&lt;=16,"Afternoon (12-16)",IF(C2477&lt;=20,"Evening (17-20)","Late (21-23)")))))</f>
        <v/>
      </c>
    </row>
    <row r="2478" customFormat="false" ht="15" hidden="false" customHeight="false" outlineLevel="0" collapsed="false">
      <c r="L2478" s="37" t="str">
        <f aca="false">IF(C2478="","",IF(C2478&lt;=5,"Night (00-05)",IF(C2478&lt;=11,"Morning (06-11)",IF(C2478&lt;=16,"Afternoon (12-16)",IF(C2478&lt;=20,"Evening (17-20)","Late (21-23)")))))</f>
        <v/>
      </c>
    </row>
    <row r="2479" customFormat="false" ht="15" hidden="false" customHeight="false" outlineLevel="0" collapsed="false">
      <c r="L2479" s="37" t="str">
        <f aca="false">IF(C2479="","",IF(C2479&lt;=5,"Night (00-05)",IF(C2479&lt;=11,"Morning (06-11)",IF(C2479&lt;=16,"Afternoon (12-16)",IF(C2479&lt;=20,"Evening (17-20)","Late (21-23)")))))</f>
        <v/>
      </c>
    </row>
    <row r="2480" customFormat="false" ht="15" hidden="false" customHeight="false" outlineLevel="0" collapsed="false">
      <c r="L2480" s="37" t="str">
        <f aca="false">IF(C2480="","",IF(C2480&lt;=5,"Night (00-05)",IF(C2480&lt;=11,"Morning (06-11)",IF(C2480&lt;=16,"Afternoon (12-16)",IF(C2480&lt;=20,"Evening (17-20)","Late (21-23)")))))</f>
        <v/>
      </c>
    </row>
    <row r="2481" customFormat="false" ht="15" hidden="false" customHeight="false" outlineLevel="0" collapsed="false">
      <c r="L2481" s="37" t="str">
        <f aca="false">IF(C2481="","",IF(C2481&lt;=5,"Night (00-05)",IF(C2481&lt;=11,"Morning (06-11)",IF(C2481&lt;=16,"Afternoon (12-16)",IF(C2481&lt;=20,"Evening (17-20)","Late (21-23)")))))</f>
        <v/>
      </c>
    </row>
    <row r="2482" customFormat="false" ht="15" hidden="false" customHeight="false" outlineLevel="0" collapsed="false">
      <c r="L2482" s="37" t="str">
        <f aca="false">IF(C2482="","",IF(C2482&lt;=5,"Night (00-05)",IF(C2482&lt;=11,"Morning (06-11)",IF(C2482&lt;=16,"Afternoon (12-16)",IF(C2482&lt;=20,"Evening (17-20)","Late (21-23)")))))</f>
        <v/>
      </c>
    </row>
    <row r="2483" customFormat="false" ht="15" hidden="false" customHeight="false" outlineLevel="0" collapsed="false">
      <c r="L2483" s="37" t="str">
        <f aca="false">IF(C2483="","",IF(C2483&lt;=5,"Night (00-05)",IF(C2483&lt;=11,"Morning (06-11)",IF(C2483&lt;=16,"Afternoon (12-16)",IF(C2483&lt;=20,"Evening (17-20)","Late (21-23)")))))</f>
        <v/>
      </c>
    </row>
    <row r="2484" customFormat="false" ht="15" hidden="false" customHeight="false" outlineLevel="0" collapsed="false">
      <c r="L2484" s="37" t="str">
        <f aca="false">IF(C2484="","",IF(C2484&lt;=5,"Night (00-05)",IF(C2484&lt;=11,"Morning (06-11)",IF(C2484&lt;=16,"Afternoon (12-16)",IF(C2484&lt;=20,"Evening (17-20)","Late (21-23)")))))</f>
        <v/>
      </c>
    </row>
    <row r="2485" customFormat="false" ht="15" hidden="false" customHeight="false" outlineLevel="0" collapsed="false">
      <c r="L2485" s="37" t="str">
        <f aca="false">IF(C2485="","",IF(C2485&lt;=5,"Night (00-05)",IF(C2485&lt;=11,"Morning (06-11)",IF(C2485&lt;=16,"Afternoon (12-16)",IF(C2485&lt;=20,"Evening (17-20)","Late (21-23)")))))</f>
        <v/>
      </c>
    </row>
    <row r="2486" customFormat="false" ht="15" hidden="false" customHeight="false" outlineLevel="0" collapsed="false">
      <c r="L2486" s="37" t="str">
        <f aca="false">IF(C2486="","",IF(C2486&lt;=5,"Night (00-05)",IF(C2486&lt;=11,"Morning (06-11)",IF(C2486&lt;=16,"Afternoon (12-16)",IF(C2486&lt;=20,"Evening (17-20)","Late (21-23)")))))</f>
        <v/>
      </c>
    </row>
    <row r="2487" customFormat="false" ht="15" hidden="false" customHeight="false" outlineLevel="0" collapsed="false">
      <c r="L2487" s="37" t="str">
        <f aca="false">IF(C2487="","",IF(C2487&lt;=5,"Night (00-05)",IF(C2487&lt;=11,"Morning (06-11)",IF(C2487&lt;=16,"Afternoon (12-16)",IF(C2487&lt;=20,"Evening (17-20)","Late (21-23)")))))</f>
        <v/>
      </c>
    </row>
    <row r="2488" customFormat="false" ht="15" hidden="false" customHeight="false" outlineLevel="0" collapsed="false">
      <c r="L2488" s="37" t="str">
        <f aca="false">IF(C2488="","",IF(C2488&lt;=5,"Night (00-05)",IF(C2488&lt;=11,"Morning (06-11)",IF(C2488&lt;=16,"Afternoon (12-16)",IF(C2488&lt;=20,"Evening (17-20)","Late (21-23)")))))</f>
        <v/>
      </c>
    </row>
    <row r="2489" customFormat="false" ht="15" hidden="false" customHeight="false" outlineLevel="0" collapsed="false">
      <c r="L2489" s="37" t="str">
        <f aca="false">IF(C2489="","",IF(C2489&lt;=5,"Night (00-05)",IF(C2489&lt;=11,"Morning (06-11)",IF(C2489&lt;=16,"Afternoon (12-16)",IF(C2489&lt;=20,"Evening (17-20)","Late (21-23)")))))</f>
        <v/>
      </c>
    </row>
    <row r="2490" customFormat="false" ht="15" hidden="false" customHeight="false" outlineLevel="0" collapsed="false">
      <c r="L2490" s="37" t="str">
        <f aca="false">IF(C2490="","",IF(C2490&lt;=5,"Night (00-05)",IF(C2490&lt;=11,"Morning (06-11)",IF(C2490&lt;=16,"Afternoon (12-16)",IF(C2490&lt;=20,"Evening (17-20)","Late (21-23)")))))</f>
        <v/>
      </c>
    </row>
    <row r="2491" customFormat="false" ht="15" hidden="false" customHeight="false" outlineLevel="0" collapsed="false">
      <c r="L2491" s="37" t="str">
        <f aca="false">IF(C2491="","",IF(C2491&lt;=5,"Night (00-05)",IF(C2491&lt;=11,"Morning (06-11)",IF(C2491&lt;=16,"Afternoon (12-16)",IF(C2491&lt;=20,"Evening (17-20)","Late (21-23)")))))</f>
        <v/>
      </c>
    </row>
    <row r="2492" customFormat="false" ht="15" hidden="false" customHeight="false" outlineLevel="0" collapsed="false">
      <c r="L2492" s="37" t="str">
        <f aca="false">IF(C2492="","",IF(C2492&lt;=5,"Night (00-05)",IF(C2492&lt;=11,"Morning (06-11)",IF(C2492&lt;=16,"Afternoon (12-16)",IF(C2492&lt;=20,"Evening (17-20)","Late (21-23)")))))</f>
        <v/>
      </c>
    </row>
    <row r="2493" customFormat="false" ht="15" hidden="false" customHeight="false" outlineLevel="0" collapsed="false">
      <c r="L2493" s="37" t="str">
        <f aca="false">IF(C2493="","",IF(C2493&lt;=5,"Night (00-05)",IF(C2493&lt;=11,"Morning (06-11)",IF(C2493&lt;=16,"Afternoon (12-16)",IF(C2493&lt;=20,"Evening (17-20)","Late (21-23)")))))</f>
        <v/>
      </c>
    </row>
    <row r="2494" customFormat="false" ht="15" hidden="false" customHeight="false" outlineLevel="0" collapsed="false">
      <c r="L2494" s="37" t="str">
        <f aca="false">IF(C2494="","",IF(C2494&lt;=5,"Night (00-05)",IF(C2494&lt;=11,"Morning (06-11)",IF(C2494&lt;=16,"Afternoon (12-16)",IF(C2494&lt;=20,"Evening (17-20)","Late (21-23)")))))</f>
        <v/>
      </c>
    </row>
    <row r="2495" customFormat="false" ht="15" hidden="false" customHeight="false" outlineLevel="0" collapsed="false">
      <c r="L2495" s="37" t="str">
        <f aca="false">IF(C2495="","",IF(C2495&lt;=5,"Night (00-05)",IF(C2495&lt;=11,"Morning (06-11)",IF(C2495&lt;=16,"Afternoon (12-16)",IF(C2495&lt;=20,"Evening (17-20)","Late (21-23)")))))</f>
        <v/>
      </c>
    </row>
    <row r="2496" customFormat="false" ht="15" hidden="false" customHeight="false" outlineLevel="0" collapsed="false">
      <c r="L2496" s="37" t="str">
        <f aca="false">IF(C2496="","",IF(C2496&lt;=5,"Night (00-05)",IF(C2496&lt;=11,"Morning (06-11)",IF(C2496&lt;=16,"Afternoon (12-16)",IF(C2496&lt;=20,"Evening (17-20)","Late (21-23)")))))</f>
        <v/>
      </c>
    </row>
    <row r="2497" customFormat="false" ht="15" hidden="false" customHeight="false" outlineLevel="0" collapsed="false">
      <c r="L2497" s="37" t="str">
        <f aca="false">IF(C2497="","",IF(C2497&lt;=5,"Night (00-05)",IF(C2497&lt;=11,"Morning (06-11)",IF(C2497&lt;=16,"Afternoon (12-16)",IF(C2497&lt;=20,"Evening (17-20)","Late (21-23)")))))</f>
        <v/>
      </c>
    </row>
    <row r="2498" customFormat="false" ht="15" hidden="false" customHeight="false" outlineLevel="0" collapsed="false">
      <c r="L2498" s="37" t="str">
        <f aca="false">IF(C2498="","",IF(C2498&lt;=5,"Night (00-05)",IF(C2498&lt;=11,"Morning (06-11)",IF(C2498&lt;=16,"Afternoon (12-16)",IF(C2498&lt;=20,"Evening (17-20)","Late (21-23)")))))</f>
        <v/>
      </c>
    </row>
    <row r="2499" customFormat="false" ht="15" hidden="false" customHeight="false" outlineLevel="0" collapsed="false">
      <c r="L2499" s="37" t="str">
        <f aca="false">IF(C2499="","",IF(C2499&lt;=5,"Night (00-05)",IF(C2499&lt;=11,"Morning (06-11)",IF(C2499&lt;=16,"Afternoon (12-16)",IF(C2499&lt;=20,"Evening (17-20)","Late (21-23)")))))</f>
        <v/>
      </c>
    </row>
    <row r="2500" customFormat="false" ht="15" hidden="false" customHeight="false" outlineLevel="0" collapsed="false">
      <c r="L2500" s="37" t="str">
        <f aca="false">IF(C2500="","",IF(C2500&lt;=5,"Night (00-05)",IF(C2500&lt;=11,"Morning (06-11)",IF(C2500&lt;=16,"Afternoon (12-16)",IF(C2500&lt;=20,"Evening (17-20)","Late (21-23)")))))</f>
        <v/>
      </c>
    </row>
    <row r="2501" customFormat="false" ht="15" hidden="false" customHeight="false" outlineLevel="0" collapsed="false">
      <c r="L2501" s="37" t="str">
        <f aca="false">IF(C2501="","",IF(C2501&lt;=5,"Night (00-05)",IF(C2501&lt;=11,"Morning (06-11)",IF(C2501&lt;=16,"Afternoon (12-16)",IF(C2501&lt;=20,"Evening (17-20)","Late (21-23)")))))</f>
        <v/>
      </c>
    </row>
    <row r="2502" customFormat="false" ht="15" hidden="false" customHeight="false" outlineLevel="0" collapsed="false">
      <c r="L2502" s="37" t="str">
        <f aca="false">IF(C2502="","",IF(C2502&lt;=5,"Night (00-05)",IF(C2502&lt;=11,"Morning (06-11)",IF(C2502&lt;=16,"Afternoon (12-16)",IF(C2502&lt;=20,"Evening (17-20)","Late (21-23)")))))</f>
        <v/>
      </c>
    </row>
    <row r="2503" customFormat="false" ht="15" hidden="false" customHeight="false" outlineLevel="0" collapsed="false">
      <c r="L2503" s="37" t="str">
        <f aca="false">IF(C2503="","",IF(C2503&lt;=5,"Night (00-05)",IF(C2503&lt;=11,"Morning (06-11)",IF(C2503&lt;=16,"Afternoon (12-16)",IF(C2503&lt;=20,"Evening (17-20)","Late (21-23)")))))</f>
        <v/>
      </c>
    </row>
    <row r="2504" customFormat="false" ht="15" hidden="false" customHeight="false" outlineLevel="0" collapsed="false">
      <c r="L2504" s="37" t="str">
        <f aca="false">IF(C2504="","",IF(C2504&lt;=5,"Night (00-05)",IF(C2504&lt;=11,"Morning (06-11)",IF(C2504&lt;=16,"Afternoon (12-16)",IF(C2504&lt;=20,"Evening (17-20)","Late (21-23)")))))</f>
        <v/>
      </c>
    </row>
    <row r="2505" customFormat="false" ht="15" hidden="false" customHeight="false" outlineLevel="0" collapsed="false">
      <c r="L2505" s="37" t="str">
        <f aca="false">IF(C2505="","",IF(C2505&lt;=5,"Night (00-05)",IF(C2505&lt;=11,"Morning (06-11)",IF(C2505&lt;=16,"Afternoon (12-16)",IF(C2505&lt;=20,"Evening (17-20)","Late (21-23)")))))</f>
        <v/>
      </c>
    </row>
    <row r="2506" customFormat="false" ht="15" hidden="false" customHeight="false" outlineLevel="0" collapsed="false">
      <c r="L2506" s="37" t="str">
        <f aca="false">IF(C2506="","",IF(C2506&lt;=5,"Night (00-05)",IF(C2506&lt;=11,"Morning (06-11)",IF(C2506&lt;=16,"Afternoon (12-16)",IF(C2506&lt;=20,"Evening (17-20)","Late (21-23)")))))</f>
        <v/>
      </c>
    </row>
    <row r="2507" customFormat="false" ht="15" hidden="false" customHeight="false" outlineLevel="0" collapsed="false">
      <c r="L2507" s="37" t="str">
        <f aca="false">IF(C2507="","",IF(C2507&lt;=5,"Night (00-05)",IF(C2507&lt;=11,"Morning (06-11)",IF(C2507&lt;=16,"Afternoon (12-16)",IF(C2507&lt;=20,"Evening (17-20)","Late (21-23)")))))</f>
        <v/>
      </c>
    </row>
    <row r="2508" customFormat="false" ht="15" hidden="false" customHeight="false" outlineLevel="0" collapsed="false">
      <c r="L2508" s="37" t="str">
        <f aca="false">IF(C2508="","",IF(C2508&lt;=5,"Night (00-05)",IF(C2508&lt;=11,"Morning (06-11)",IF(C2508&lt;=16,"Afternoon (12-16)",IF(C2508&lt;=20,"Evening (17-20)","Late (21-23)")))))</f>
        <v/>
      </c>
    </row>
    <row r="2509" customFormat="false" ht="15" hidden="false" customHeight="false" outlineLevel="0" collapsed="false">
      <c r="L2509" s="37" t="str">
        <f aca="false">IF(C2509="","",IF(C2509&lt;=5,"Night (00-05)",IF(C2509&lt;=11,"Morning (06-11)",IF(C2509&lt;=16,"Afternoon (12-16)",IF(C2509&lt;=20,"Evening (17-20)","Late (21-23)")))))</f>
        <v/>
      </c>
    </row>
    <row r="2510" customFormat="false" ht="15" hidden="false" customHeight="false" outlineLevel="0" collapsed="false">
      <c r="L2510" s="37" t="str">
        <f aca="false">IF(C2510="","",IF(C2510&lt;=5,"Night (00-05)",IF(C2510&lt;=11,"Morning (06-11)",IF(C2510&lt;=16,"Afternoon (12-16)",IF(C2510&lt;=20,"Evening (17-20)","Late (21-23)")))))</f>
        <v/>
      </c>
    </row>
    <row r="2511" customFormat="false" ht="15" hidden="false" customHeight="false" outlineLevel="0" collapsed="false">
      <c r="L2511" s="37" t="str">
        <f aca="false">IF(C2511="","",IF(C2511&lt;=5,"Night (00-05)",IF(C2511&lt;=11,"Morning (06-11)",IF(C2511&lt;=16,"Afternoon (12-16)",IF(C2511&lt;=20,"Evening (17-20)","Late (21-23)")))))</f>
        <v/>
      </c>
    </row>
    <row r="2512" customFormat="false" ht="15" hidden="false" customHeight="false" outlineLevel="0" collapsed="false">
      <c r="L2512" s="37" t="str">
        <f aca="false">IF(C2512="","",IF(C2512&lt;=5,"Night (00-05)",IF(C2512&lt;=11,"Morning (06-11)",IF(C2512&lt;=16,"Afternoon (12-16)",IF(C2512&lt;=20,"Evening (17-20)","Late (21-23)")))))</f>
        <v/>
      </c>
    </row>
    <row r="2513" customFormat="false" ht="15" hidden="false" customHeight="false" outlineLevel="0" collapsed="false">
      <c r="L2513" s="37" t="str">
        <f aca="false">IF(C2513="","",IF(C2513&lt;=5,"Night (00-05)",IF(C2513&lt;=11,"Morning (06-11)",IF(C2513&lt;=16,"Afternoon (12-16)",IF(C2513&lt;=20,"Evening (17-20)","Late (21-23)")))))</f>
        <v/>
      </c>
    </row>
    <row r="2514" customFormat="false" ht="15" hidden="false" customHeight="false" outlineLevel="0" collapsed="false">
      <c r="L2514" s="37" t="str">
        <f aca="false">IF(C2514="","",IF(C2514&lt;=5,"Night (00-05)",IF(C2514&lt;=11,"Morning (06-11)",IF(C2514&lt;=16,"Afternoon (12-16)",IF(C2514&lt;=20,"Evening (17-20)","Late (21-23)")))))</f>
        <v/>
      </c>
    </row>
    <row r="2515" customFormat="false" ht="15" hidden="false" customHeight="false" outlineLevel="0" collapsed="false">
      <c r="L2515" s="37" t="str">
        <f aca="false">IF(C2515="","",IF(C2515&lt;=5,"Night (00-05)",IF(C2515&lt;=11,"Morning (06-11)",IF(C2515&lt;=16,"Afternoon (12-16)",IF(C2515&lt;=20,"Evening (17-20)","Late (21-23)")))))</f>
        <v/>
      </c>
    </row>
    <row r="2516" customFormat="false" ht="15" hidden="false" customHeight="false" outlineLevel="0" collapsed="false">
      <c r="L2516" s="37" t="str">
        <f aca="false">IF(C2516="","",IF(C2516&lt;=5,"Night (00-05)",IF(C2516&lt;=11,"Morning (06-11)",IF(C2516&lt;=16,"Afternoon (12-16)",IF(C2516&lt;=20,"Evening (17-20)","Late (21-23)")))))</f>
        <v/>
      </c>
    </row>
    <row r="2517" customFormat="false" ht="15" hidden="false" customHeight="false" outlineLevel="0" collapsed="false">
      <c r="L2517" s="37" t="str">
        <f aca="false">IF(C2517="","",IF(C2517&lt;=5,"Night (00-05)",IF(C2517&lt;=11,"Morning (06-11)",IF(C2517&lt;=16,"Afternoon (12-16)",IF(C2517&lt;=20,"Evening (17-20)","Late (21-23)")))))</f>
        <v/>
      </c>
    </row>
    <row r="2518" customFormat="false" ht="15" hidden="false" customHeight="false" outlineLevel="0" collapsed="false">
      <c r="L2518" s="37" t="str">
        <f aca="false">IF(C2518="","",IF(C2518&lt;=5,"Night (00-05)",IF(C2518&lt;=11,"Morning (06-11)",IF(C2518&lt;=16,"Afternoon (12-16)",IF(C2518&lt;=20,"Evening (17-20)","Late (21-23)")))))</f>
        <v/>
      </c>
    </row>
    <row r="2519" customFormat="false" ht="15" hidden="false" customHeight="false" outlineLevel="0" collapsed="false">
      <c r="L2519" s="37" t="str">
        <f aca="false">IF(C2519="","",IF(C2519&lt;=5,"Night (00-05)",IF(C2519&lt;=11,"Morning (06-11)",IF(C2519&lt;=16,"Afternoon (12-16)",IF(C2519&lt;=20,"Evening (17-20)","Late (21-23)")))))</f>
        <v/>
      </c>
    </row>
    <row r="2520" customFormat="false" ht="15" hidden="false" customHeight="false" outlineLevel="0" collapsed="false">
      <c r="L2520" s="37" t="str">
        <f aca="false">IF(C2520="","",IF(C2520&lt;=5,"Night (00-05)",IF(C2520&lt;=11,"Morning (06-11)",IF(C2520&lt;=16,"Afternoon (12-16)",IF(C2520&lt;=20,"Evening (17-20)","Late (21-23)")))))</f>
        <v/>
      </c>
    </row>
    <row r="2521" customFormat="false" ht="15" hidden="false" customHeight="false" outlineLevel="0" collapsed="false">
      <c r="L2521" s="37" t="str">
        <f aca="false">IF(C2521="","",IF(C2521&lt;=5,"Night (00-05)",IF(C2521&lt;=11,"Morning (06-11)",IF(C2521&lt;=16,"Afternoon (12-16)",IF(C2521&lt;=20,"Evening (17-20)","Late (21-23)")))))</f>
        <v/>
      </c>
    </row>
    <row r="2522" customFormat="false" ht="15" hidden="false" customHeight="false" outlineLevel="0" collapsed="false">
      <c r="L2522" s="37" t="str">
        <f aca="false">IF(C2522="","",IF(C2522&lt;=5,"Night (00-05)",IF(C2522&lt;=11,"Morning (06-11)",IF(C2522&lt;=16,"Afternoon (12-16)",IF(C2522&lt;=20,"Evening (17-20)","Late (21-23)")))))</f>
        <v/>
      </c>
    </row>
    <row r="2523" customFormat="false" ht="15" hidden="false" customHeight="false" outlineLevel="0" collapsed="false">
      <c r="L2523" s="37" t="str">
        <f aca="false">IF(C2523="","",IF(C2523&lt;=5,"Night (00-05)",IF(C2523&lt;=11,"Morning (06-11)",IF(C2523&lt;=16,"Afternoon (12-16)",IF(C2523&lt;=20,"Evening (17-20)","Late (21-23)")))))</f>
        <v/>
      </c>
    </row>
    <row r="2524" customFormat="false" ht="15" hidden="false" customHeight="false" outlineLevel="0" collapsed="false">
      <c r="L2524" s="37" t="str">
        <f aca="false">IF(C2524="","",IF(C2524&lt;=5,"Night (00-05)",IF(C2524&lt;=11,"Morning (06-11)",IF(C2524&lt;=16,"Afternoon (12-16)",IF(C2524&lt;=20,"Evening (17-20)","Late (21-23)")))))</f>
        <v/>
      </c>
    </row>
    <row r="2525" customFormat="false" ht="15" hidden="false" customHeight="false" outlineLevel="0" collapsed="false">
      <c r="L2525" s="37" t="str">
        <f aca="false">IF(C2525="","",IF(C2525&lt;=5,"Night (00-05)",IF(C2525&lt;=11,"Morning (06-11)",IF(C2525&lt;=16,"Afternoon (12-16)",IF(C2525&lt;=20,"Evening (17-20)","Late (21-23)")))))</f>
        <v/>
      </c>
    </row>
    <row r="2526" customFormat="false" ht="15" hidden="false" customHeight="false" outlineLevel="0" collapsed="false">
      <c r="L2526" s="37" t="str">
        <f aca="false">IF(C2526="","",IF(C2526&lt;=5,"Night (00-05)",IF(C2526&lt;=11,"Morning (06-11)",IF(C2526&lt;=16,"Afternoon (12-16)",IF(C2526&lt;=20,"Evening (17-20)","Late (21-23)")))))</f>
        <v/>
      </c>
    </row>
    <row r="2527" customFormat="false" ht="15" hidden="false" customHeight="false" outlineLevel="0" collapsed="false">
      <c r="L2527" s="37" t="str">
        <f aca="false">IF(C2527="","",IF(C2527&lt;=5,"Night (00-05)",IF(C2527&lt;=11,"Morning (06-11)",IF(C2527&lt;=16,"Afternoon (12-16)",IF(C2527&lt;=20,"Evening (17-20)","Late (21-23)")))))</f>
        <v/>
      </c>
    </row>
    <row r="2528" customFormat="false" ht="15" hidden="false" customHeight="false" outlineLevel="0" collapsed="false">
      <c r="L2528" s="37" t="str">
        <f aca="false">IF(C2528="","",IF(C2528&lt;=5,"Night (00-05)",IF(C2528&lt;=11,"Morning (06-11)",IF(C2528&lt;=16,"Afternoon (12-16)",IF(C2528&lt;=20,"Evening (17-20)","Late (21-23)")))))</f>
        <v/>
      </c>
    </row>
    <row r="2529" customFormat="false" ht="15" hidden="false" customHeight="false" outlineLevel="0" collapsed="false">
      <c r="L2529" s="37" t="str">
        <f aca="false">IF(C2529="","",IF(C2529&lt;=5,"Night (00-05)",IF(C2529&lt;=11,"Morning (06-11)",IF(C2529&lt;=16,"Afternoon (12-16)",IF(C2529&lt;=20,"Evening (17-20)","Late (21-23)")))))</f>
        <v/>
      </c>
    </row>
    <row r="2530" customFormat="false" ht="15" hidden="false" customHeight="false" outlineLevel="0" collapsed="false">
      <c r="L2530" s="37" t="str">
        <f aca="false">IF(C2530="","",IF(C2530&lt;=5,"Night (00-05)",IF(C2530&lt;=11,"Morning (06-11)",IF(C2530&lt;=16,"Afternoon (12-16)",IF(C2530&lt;=20,"Evening (17-20)","Late (21-23)")))))</f>
        <v/>
      </c>
    </row>
    <row r="2531" customFormat="false" ht="15" hidden="false" customHeight="false" outlineLevel="0" collapsed="false">
      <c r="L2531" s="37" t="str">
        <f aca="false">IF(C2531="","",IF(C2531&lt;=5,"Night (00-05)",IF(C2531&lt;=11,"Morning (06-11)",IF(C2531&lt;=16,"Afternoon (12-16)",IF(C2531&lt;=20,"Evening (17-20)","Late (21-23)")))))</f>
        <v/>
      </c>
    </row>
    <row r="2532" customFormat="false" ht="15" hidden="false" customHeight="false" outlineLevel="0" collapsed="false">
      <c r="L2532" s="37" t="str">
        <f aca="false">IF(C2532="","",IF(C2532&lt;=5,"Night (00-05)",IF(C2532&lt;=11,"Morning (06-11)",IF(C2532&lt;=16,"Afternoon (12-16)",IF(C2532&lt;=20,"Evening (17-20)","Late (21-23)")))))</f>
        <v/>
      </c>
    </row>
    <row r="2533" customFormat="false" ht="15" hidden="false" customHeight="false" outlineLevel="0" collapsed="false">
      <c r="L2533" s="37" t="str">
        <f aca="false">IF(C2533="","",IF(C2533&lt;=5,"Night (00-05)",IF(C2533&lt;=11,"Morning (06-11)",IF(C2533&lt;=16,"Afternoon (12-16)",IF(C2533&lt;=20,"Evening (17-20)","Late (21-23)")))))</f>
        <v/>
      </c>
    </row>
    <row r="2534" customFormat="false" ht="15" hidden="false" customHeight="false" outlineLevel="0" collapsed="false">
      <c r="L2534" s="37" t="str">
        <f aca="false">IF(C2534="","",IF(C2534&lt;=5,"Night (00-05)",IF(C2534&lt;=11,"Morning (06-11)",IF(C2534&lt;=16,"Afternoon (12-16)",IF(C2534&lt;=20,"Evening (17-20)","Late (21-23)")))))</f>
        <v/>
      </c>
    </row>
    <row r="2535" customFormat="false" ht="15" hidden="false" customHeight="false" outlineLevel="0" collapsed="false">
      <c r="L2535" s="37" t="str">
        <f aca="false">IF(C2535="","",IF(C2535&lt;=5,"Night (00-05)",IF(C2535&lt;=11,"Morning (06-11)",IF(C2535&lt;=16,"Afternoon (12-16)",IF(C2535&lt;=20,"Evening (17-20)","Late (21-23)")))))</f>
        <v/>
      </c>
    </row>
    <row r="2536" customFormat="false" ht="15" hidden="false" customHeight="false" outlineLevel="0" collapsed="false">
      <c r="L2536" s="37" t="str">
        <f aca="false">IF(C2536="","",IF(C2536&lt;=5,"Night (00-05)",IF(C2536&lt;=11,"Morning (06-11)",IF(C2536&lt;=16,"Afternoon (12-16)",IF(C2536&lt;=20,"Evening (17-20)","Late (21-23)")))))</f>
        <v/>
      </c>
    </row>
    <row r="2537" customFormat="false" ht="15" hidden="false" customHeight="false" outlineLevel="0" collapsed="false">
      <c r="L2537" s="37" t="str">
        <f aca="false">IF(C2537="","",IF(C2537&lt;=5,"Night (00-05)",IF(C2537&lt;=11,"Morning (06-11)",IF(C2537&lt;=16,"Afternoon (12-16)",IF(C2537&lt;=20,"Evening (17-20)","Late (21-23)")))))</f>
        <v/>
      </c>
    </row>
    <row r="2538" customFormat="false" ht="15" hidden="false" customHeight="false" outlineLevel="0" collapsed="false">
      <c r="L2538" s="37" t="str">
        <f aca="false">IF(C2538="","",IF(C2538&lt;=5,"Night (00-05)",IF(C2538&lt;=11,"Morning (06-11)",IF(C2538&lt;=16,"Afternoon (12-16)",IF(C2538&lt;=20,"Evening (17-20)","Late (21-23)")))))</f>
        <v/>
      </c>
    </row>
    <row r="2539" customFormat="false" ht="15" hidden="false" customHeight="false" outlineLevel="0" collapsed="false">
      <c r="L2539" s="37" t="str">
        <f aca="false">IF(C2539="","",IF(C2539&lt;=5,"Night (00-05)",IF(C2539&lt;=11,"Morning (06-11)",IF(C2539&lt;=16,"Afternoon (12-16)",IF(C2539&lt;=20,"Evening (17-20)","Late (21-23)")))))</f>
        <v/>
      </c>
    </row>
    <row r="2540" customFormat="false" ht="15" hidden="false" customHeight="false" outlineLevel="0" collapsed="false">
      <c r="L2540" s="37" t="str">
        <f aca="false">IF(C2540="","",IF(C2540&lt;=5,"Night (00-05)",IF(C2540&lt;=11,"Morning (06-11)",IF(C2540&lt;=16,"Afternoon (12-16)",IF(C2540&lt;=20,"Evening (17-20)","Late (21-23)")))))</f>
        <v/>
      </c>
    </row>
    <row r="2541" customFormat="false" ht="15" hidden="false" customHeight="false" outlineLevel="0" collapsed="false">
      <c r="L2541" s="37" t="str">
        <f aca="false">IF(C2541="","",IF(C2541&lt;=5,"Night (00-05)",IF(C2541&lt;=11,"Morning (06-11)",IF(C2541&lt;=16,"Afternoon (12-16)",IF(C2541&lt;=20,"Evening (17-20)","Late (21-23)")))))</f>
        <v/>
      </c>
    </row>
    <row r="2542" customFormat="false" ht="15" hidden="false" customHeight="false" outlineLevel="0" collapsed="false">
      <c r="L2542" s="37" t="str">
        <f aca="false">IF(C2542="","",IF(C2542&lt;=5,"Night (00-05)",IF(C2542&lt;=11,"Morning (06-11)",IF(C2542&lt;=16,"Afternoon (12-16)",IF(C2542&lt;=20,"Evening (17-20)","Late (21-23)")))))</f>
        <v/>
      </c>
    </row>
    <row r="2543" customFormat="false" ht="15" hidden="false" customHeight="false" outlineLevel="0" collapsed="false">
      <c r="L2543" s="37" t="str">
        <f aca="false">IF(C2543="","",IF(C2543&lt;=5,"Night (00-05)",IF(C2543&lt;=11,"Morning (06-11)",IF(C2543&lt;=16,"Afternoon (12-16)",IF(C2543&lt;=20,"Evening (17-20)","Late (21-23)")))))</f>
        <v/>
      </c>
    </row>
    <row r="2544" customFormat="false" ht="15" hidden="false" customHeight="false" outlineLevel="0" collapsed="false">
      <c r="L2544" s="37" t="str">
        <f aca="false">IF(C2544="","",IF(C2544&lt;=5,"Night (00-05)",IF(C2544&lt;=11,"Morning (06-11)",IF(C2544&lt;=16,"Afternoon (12-16)",IF(C2544&lt;=20,"Evening (17-20)","Late (21-23)")))))</f>
        <v/>
      </c>
    </row>
    <row r="2545" customFormat="false" ht="15" hidden="false" customHeight="false" outlineLevel="0" collapsed="false">
      <c r="L2545" s="37" t="str">
        <f aca="false">IF(C2545="","",IF(C2545&lt;=5,"Night (00-05)",IF(C2545&lt;=11,"Morning (06-11)",IF(C2545&lt;=16,"Afternoon (12-16)",IF(C2545&lt;=20,"Evening (17-20)","Late (21-23)")))))</f>
        <v/>
      </c>
    </row>
    <row r="2546" customFormat="false" ht="15" hidden="false" customHeight="false" outlineLevel="0" collapsed="false">
      <c r="L2546" s="37" t="str">
        <f aca="false">IF(C2546="","",IF(C2546&lt;=5,"Night (00-05)",IF(C2546&lt;=11,"Morning (06-11)",IF(C2546&lt;=16,"Afternoon (12-16)",IF(C2546&lt;=20,"Evening (17-20)","Late (21-23)")))))</f>
        <v/>
      </c>
    </row>
    <row r="2547" customFormat="false" ht="15" hidden="false" customHeight="false" outlineLevel="0" collapsed="false">
      <c r="L2547" s="37" t="str">
        <f aca="false">IF(C2547="","",IF(C2547&lt;=5,"Night (00-05)",IF(C2547&lt;=11,"Morning (06-11)",IF(C2547&lt;=16,"Afternoon (12-16)",IF(C2547&lt;=20,"Evening (17-20)","Late (21-23)")))))</f>
        <v/>
      </c>
    </row>
    <row r="2548" customFormat="false" ht="15" hidden="false" customHeight="false" outlineLevel="0" collapsed="false">
      <c r="L2548" s="37" t="str">
        <f aca="false">IF(C2548="","",IF(C2548&lt;=5,"Night (00-05)",IF(C2548&lt;=11,"Morning (06-11)",IF(C2548&lt;=16,"Afternoon (12-16)",IF(C2548&lt;=20,"Evening (17-20)","Late (21-23)")))))</f>
        <v/>
      </c>
    </row>
    <row r="2549" customFormat="false" ht="15" hidden="false" customHeight="false" outlineLevel="0" collapsed="false">
      <c r="L2549" s="37" t="str">
        <f aca="false">IF(C2549="","",IF(C2549&lt;=5,"Night (00-05)",IF(C2549&lt;=11,"Morning (06-11)",IF(C2549&lt;=16,"Afternoon (12-16)",IF(C2549&lt;=20,"Evening (17-20)","Late (21-23)")))))</f>
        <v/>
      </c>
    </row>
    <row r="2550" customFormat="false" ht="15" hidden="false" customHeight="false" outlineLevel="0" collapsed="false">
      <c r="L2550" s="37" t="str">
        <f aca="false">IF(C2550="","",IF(C2550&lt;=5,"Night (00-05)",IF(C2550&lt;=11,"Morning (06-11)",IF(C2550&lt;=16,"Afternoon (12-16)",IF(C2550&lt;=20,"Evening (17-20)","Late (21-23)")))))</f>
        <v/>
      </c>
    </row>
    <row r="2551" customFormat="false" ht="15" hidden="false" customHeight="false" outlineLevel="0" collapsed="false">
      <c r="L2551" s="37" t="str">
        <f aca="false">IF(C2551="","",IF(C2551&lt;=5,"Night (00-05)",IF(C2551&lt;=11,"Morning (06-11)",IF(C2551&lt;=16,"Afternoon (12-16)",IF(C2551&lt;=20,"Evening (17-20)","Late (21-23)")))))</f>
        <v/>
      </c>
    </row>
    <row r="2552" customFormat="false" ht="15" hidden="false" customHeight="false" outlineLevel="0" collapsed="false">
      <c r="L2552" s="37" t="str">
        <f aca="false">IF(C2552="","",IF(C2552&lt;=5,"Night (00-05)",IF(C2552&lt;=11,"Morning (06-11)",IF(C2552&lt;=16,"Afternoon (12-16)",IF(C2552&lt;=20,"Evening (17-20)","Late (21-23)")))))</f>
        <v/>
      </c>
    </row>
    <row r="2553" customFormat="false" ht="15" hidden="false" customHeight="false" outlineLevel="0" collapsed="false">
      <c r="L2553" s="37" t="str">
        <f aca="false">IF(C2553="","",IF(C2553&lt;=5,"Night (00-05)",IF(C2553&lt;=11,"Morning (06-11)",IF(C2553&lt;=16,"Afternoon (12-16)",IF(C2553&lt;=20,"Evening (17-20)","Late (21-23)")))))</f>
        <v/>
      </c>
    </row>
    <row r="2554" customFormat="false" ht="15" hidden="false" customHeight="false" outlineLevel="0" collapsed="false">
      <c r="L2554" s="37" t="str">
        <f aca="false">IF(C2554="","",IF(C2554&lt;=5,"Night (00-05)",IF(C2554&lt;=11,"Morning (06-11)",IF(C2554&lt;=16,"Afternoon (12-16)",IF(C2554&lt;=20,"Evening (17-20)","Late (21-23)")))))</f>
        <v/>
      </c>
    </row>
    <row r="2555" customFormat="false" ht="15" hidden="false" customHeight="false" outlineLevel="0" collapsed="false">
      <c r="L2555" s="37" t="str">
        <f aca="false">IF(C2555="","",IF(C2555&lt;=5,"Night (00-05)",IF(C2555&lt;=11,"Morning (06-11)",IF(C2555&lt;=16,"Afternoon (12-16)",IF(C2555&lt;=20,"Evening (17-20)","Late (21-23)")))))</f>
        <v/>
      </c>
    </row>
    <row r="2556" customFormat="false" ht="15" hidden="false" customHeight="false" outlineLevel="0" collapsed="false">
      <c r="L2556" s="37" t="str">
        <f aca="false">IF(C2556="","",IF(C2556&lt;=5,"Night (00-05)",IF(C2556&lt;=11,"Morning (06-11)",IF(C2556&lt;=16,"Afternoon (12-16)",IF(C2556&lt;=20,"Evening (17-20)","Late (21-23)")))))</f>
        <v/>
      </c>
    </row>
    <row r="2557" customFormat="false" ht="15" hidden="false" customHeight="false" outlineLevel="0" collapsed="false">
      <c r="L2557" s="37" t="str">
        <f aca="false">IF(C2557="","",IF(C2557&lt;=5,"Night (00-05)",IF(C2557&lt;=11,"Morning (06-11)",IF(C2557&lt;=16,"Afternoon (12-16)",IF(C2557&lt;=20,"Evening (17-20)","Late (21-23)")))))</f>
        <v/>
      </c>
    </row>
    <row r="2558" customFormat="false" ht="15" hidden="false" customHeight="false" outlineLevel="0" collapsed="false">
      <c r="L2558" s="37" t="str">
        <f aca="false">IF(C2558="","",IF(C2558&lt;=5,"Night (00-05)",IF(C2558&lt;=11,"Morning (06-11)",IF(C2558&lt;=16,"Afternoon (12-16)",IF(C2558&lt;=20,"Evening (17-20)","Late (21-23)")))))</f>
        <v/>
      </c>
    </row>
    <row r="2559" customFormat="false" ht="15" hidden="false" customHeight="false" outlineLevel="0" collapsed="false">
      <c r="L2559" s="37" t="str">
        <f aca="false">IF(C2559="","",IF(C2559&lt;=5,"Night (00-05)",IF(C2559&lt;=11,"Morning (06-11)",IF(C2559&lt;=16,"Afternoon (12-16)",IF(C2559&lt;=20,"Evening (17-20)","Late (21-23)")))))</f>
        <v/>
      </c>
    </row>
    <row r="2560" customFormat="false" ht="15" hidden="false" customHeight="false" outlineLevel="0" collapsed="false">
      <c r="L2560" s="37" t="str">
        <f aca="false">IF(C2560="","",IF(C2560&lt;=5,"Night (00-05)",IF(C2560&lt;=11,"Morning (06-11)",IF(C2560&lt;=16,"Afternoon (12-16)",IF(C2560&lt;=20,"Evening (17-20)","Late (21-23)")))))</f>
        <v/>
      </c>
    </row>
    <row r="2561" customFormat="false" ht="15" hidden="false" customHeight="false" outlineLevel="0" collapsed="false">
      <c r="L2561" s="37" t="str">
        <f aca="false">IF(C2561="","",IF(C2561&lt;=5,"Night (00-05)",IF(C2561&lt;=11,"Morning (06-11)",IF(C2561&lt;=16,"Afternoon (12-16)",IF(C2561&lt;=20,"Evening (17-20)","Late (21-23)")))))</f>
        <v/>
      </c>
    </row>
    <row r="2562" customFormat="false" ht="15" hidden="false" customHeight="false" outlineLevel="0" collapsed="false">
      <c r="L2562" s="37" t="str">
        <f aca="false">IF(C2562="","",IF(C2562&lt;=5,"Night (00-05)",IF(C2562&lt;=11,"Morning (06-11)",IF(C2562&lt;=16,"Afternoon (12-16)",IF(C2562&lt;=20,"Evening (17-20)","Late (21-23)")))))</f>
        <v/>
      </c>
    </row>
    <row r="2563" customFormat="false" ht="15" hidden="false" customHeight="false" outlineLevel="0" collapsed="false">
      <c r="L2563" s="37" t="str">
        <f aca="false">IF(C2563="","",IF(C2563&lt;=5,"Night (00-05)",IF(C2563&lt;=11,"Morning (06-11)",IF(C2563&lt;=16,"Afternoon (12-16)",IF(C2563&lt;=20,"Evening (17-20)","Late (21-23)")))))</f>
        <v/>
      </c>
    </row>
    <row r="2564" customFormat="false" ht="15" hidden="false" customHeight="false" outlineLevel="0" collapsed="false">
      <c r="L2564" s="37" t="str">
        <f aca="false">IF(C2564="","",IF(C2564&lt;=5,"Night (00-05)",IF(C2564&lt;=11,"Morning (06-11)",IF(C2564&lt;=16,"Afternoon (12-16)",IF(C2564&lt;=20,"Evening (17-20)","Late (21-23)")))))</f>
        <v/>
      </c>
    </row>
    <row r="2565" customFormat="false" ht="15" hidden="false" customHeight="false" outlineLevel="0" collapsed="false">
      <c r="L2565" s="37" t="str">
        <f aca="false">IF(C2565="","",IF(C2565&lt;=5,"Night (00-05)",IF(C2565&lt;=11,"Morning (06-11)",IF(C2565&lt;=16,"Afternoon (12-16)",IF(C2565&lt;=20,"Evening (17-20)","Late (21-23)")))))</f>
        <v/>
      </c>
    </row>
    <row r="2566" customFormat="false" ht="15" hidden="false" customHeight="false" outlineLevel="0" collapsed="false">
      <c r="L2566" s="37" t="str">
        <f aca="false">IF(C2566="","",IF(C2566&lt;=5,"Night (00-05)",IF(C2566&lt;=11,"Morning (06-11)",IF(C2566&lt;=16,"Afternoon (12-16)",IF(C2566&lt;=20,"Evening (17-20)","Late (21-23)")))))</f>
        <v/>
      </c>
    </row>
    <row r="2567" customFormat="false" ht="15" hidden="false" customHeight="false" outlineLevel="0" collapsed="false">
      <c r="L2567" s="37" t="str">
        <f aca="false">IF(C2567="","",IF(C2567&lt;=5,"Night (00-05)",IF(C2567&lt;=11,"Morning (06-11)",IF(C2567&lt;=16,"Afternoon (12-16)",IF(C2567&lt;=20,"Evening (17-20)","Late (21-23)")))))</f>
        <v/>
      </c>
    </row>
    <row r="2568" customFormat="false" ht="15" hidden="false" customHeight="false" outlineLevel="0" collapsed="false">
      <c r="L2568" s="37" t="str">
        <f aca="false">IF(C2568="","",IF(C2568&lt;=5,"Night (00-05)",IF(C2568&lt;=11,"Morning (06-11)",IF(C2568&lt;=16,"Afternoon (12-16)",IF(C2568&lt;=20,"Evening (17-20)","Late (21-23)")))))</f>
        <v/>
      </c>
    </row>
    <row r="2569" customFormat="false" ht="15" hidden="false" customHeight="false" outlineLevel="0" collapsed="false">
      <c r="L2569" s="37" t="str">
        <f aca="false">IF(C2569="","",IF(C2569&lt;=5,"Night (00-05)",IF(C2569&lt;=11,"Morning (06-11)",IF(C2569&lt;=16,"Afternoon (12-16)",IF(C2569&lt;=20,"Evening (17-20)","Late (21-23)")))))</f>
        <v/>
      </c>
    </row>
    <row r="2570" customFormat="false" ht="15" hidden="false" customHeight="false" outlineLevel="0" collapsed="false">
      <c r="L2570" s="37" t="str">
        <f aca="false">IF(C2570="","",IF(C2570&lt;=5,"Night (00-05)",IF(C2570&lt;=11,"Morning (06-11)",IF(C2570&lt;=16,"Afternoon (12-16)",IF(C2570&lt;=20,"Evening (17-20)","Late (21-23)")))))</f>
        <v/>
      </c>
    </row>
    <row r="2571" customFormat="false" ht="15" hidden="false" customHeight="false" outlineLevel="0" collapsed="false">
      <c r="L2571" s="37" t="str">
        <f aca="false">IF(C2571="","",IF(C2571&lt;=5,"Night (00-05)",IF(C2571&lt;=11,"Morning (06-11)",IF(C2571&lt;=16,"Afternoon (12-16)",IF(C2571&lt;=20,"Evening (17-20)","Late (21-23)")))))</f>
        <v/>
      </c>
    </row>
    <row r="2572" customFormat="false" ht="15" hidden="false" customHeight="false" outlineLevel="0" collapsed="false">
      <c r="L2572" s="37" t="str">
        <f aca="false">IF(C2572="","",IF(C2572&lt;=5,"Night (00-05)",IF(C2572&lt;=11,"Morning (06-11)",IF(C2572&lt;=16,"Afternoon (12-16)",IF(C2572&lt;=20,"Evening (17-20)","Late (21-23)")))))</f>
        <v/>
      </c>
    </row>
    <row r="2573" customFormat="false" ht="15" hidden="false" customHeight="false" outlineLevel="0" collapsed="false">
      <c r="L2573" s="37" t="str">
        <f aca="false">IF(C2573="","",IF(C2573&lt;=5,"Night (00-05)",IF(C2573&lt;=11,"Morning (06-11)",IF(C2573&lt;=16,"Afternoon (12-16)",IF(C2573&lt;=20,"Evening (17-20)","Late (21-23)")))))</f>
        <v/>
      </c>
    </row>
    <row r="2574" customFormat="false" ht="15" hidden="false" customHeight="false" outlineLevel="0" collapsed="false">
      <c r="L2574" s="37" t="str">
        <f aca="false">IF(C2574="","",IF(C2574&lt;=5,"Night (00-05)",IF(C2574&lt;=11,"Morning (06-11)",IF(C2574&lt;=16,"Afternoon (12-16)",IF(C2574&lt;=20,"Evening (17-20)","Late (21-23)")))))</f>
        <v/>
      </c>
    </row>
    <row r="2575" customFormat="false" ht="15" hidden="false" customHeight="false" outlineLevel="0" collapsed="false">
      <c r="L2575" s="37" t="str">
        <f aca="false">IF(C2575="","",IF(C2575&lt;=5,"Night (00-05)",IF(C2575&lt;=11,"Morning (06-11)",IF(C2575&lt;=16,"Afternoon (12-16)",IF(C2575&lt;=20,"Evening (17-20)","Late (21-23)")))))</f>
        <v/>
      </c>
    </row>
    <row r="2576" customFormat="false" ht="15" hidden="false" customHeight="false" outlineLevel="0" collapsed="false">
      <c r="L2576" s="37" t="str">
        <f aca="false">IF(C2576="","",IF(C2576&lt;=5,"Night (00-05)",IF(C2576&lt;=11,"Morning (06-11)",IF(C2576&lt;=16,"Afternoon (12-16)",IF(C2576&lt;=20,"Evening (17-20)","Late (21-23)")))))</f>
        <v/>
      </c>
    </row>
    <row r="2577" customFormat="false" ht="15" hidden="false" customHeight="false" outlineLevel="0" collapsed="false">
      <c r="L2577" s="37" t="str">
        <f aca="false">IF(C2577="","",IF(C2577&lt;=5,"Night (00-05)",IF(C2577&lt;=11,"Morning (06-11)",IF(C2577&lt;=16,"Afternoon (12-16)",IF(C2577&lt;=20,"Evening (17-20)","Late (21-23)")))))</f>
        <v/>
      </c>
    </row>
    <row r="2578" customFormat="false" ht="15" hidden="false" customHeight="false" outlineLevel="0" collapsed="false">
      <c r="L2578" s="37" t="str">
        <f aca="false">IF(C2578="","",IF(C2578&lt;=5,"Night (00-05)",IF(C2578&lt;=11,"Morning (06-11)",IF(C2578&lt;=16,"Afternoon (12-16)",IF(C2578&lt;=20,"Evening (17-20)","Late (21-23)")))))</f>
        <v/>
      </c>
    </row>
    <row r="2579" customFormat="false" ht="15" hidden="false" customHeight="false" outlineLevel="0" collapsed="false">
      <c r="L2579" s="37" t="str">
        <f aca="false">IF(C2579="","",IF(C2579&lt;=5,"Night (00-05)",IF(C2579&lt;=11,"Morning (06-11)",IF(C2579&lt;=16,"Afternoon (12-16)",IF(C2579&lt;=20,"Evening (17-20)","Late (21-23)")))))</f>
        <v/>
      </c>
    </row>
    <row r="2580" customFormat="false" ht="15" hidden="false" customHeight="false" outlineLevel="0" collapsed="false">
      <c r="L2580" s="37" t="str">
        <f aca="false">IF(C2580="","",IF(C2580&lt;=5,"Night (00-05)",IF(C2580&lt;=11,"Morning (06-11)",IF(C2580&lt;=16,"Afternoon (12-16)",IF(C2580&lt;=20,"Evening (17-20)","Late (21-23)")))))</f>
        <v/>
      </c>
    </row>
    <row r="2581" customFormat="false" ht="15" hidden="false" customHeight="false" outlineLevel="0" collapsed="false">
      <c r="L2581" s="37" t="str">
        <f aca="false">IF(C2581="","",IF(C2581&lt;=5,"Night (00-05)",IF(C2581&lt;=11,"Morning (06-11)",IF(C2581&lt;=16,"Afternoon (12-16)",IF(C2581&lt;=20,"Evening (17-20)","Late (21-23)")))))</f>
        <v/>
      </c>
    </row>
    <row r="2582" customFormat="false" ht="15" hidden="false" customHeight="false" outlineLevel="0" collapsed="false">
      <c r="L2582" s="37" t="str">
        <f aca="false">IF(C2582="","",IF(C2582&lt;=5,"Night (00-05)",IF(C2582&lt;=11,"Morning (06-11)",IF(C2582&lt;=16,"Afternoon (12-16)",IF(C2582&lt;=20,"Evening (17-20)","Late (21-23)")))))</f>
        <v/>
      </c>
    </row>
    <row r="2583" customFormat="false" ht="15" hidden="false" customHeight="false" outlineLevel="0" collapsed="false">
      <c r="L2583" s="37" t="str">
        <f aca="false">IF(C2583="","",IF(C2583&lt;=5,"Night (00-05)",IF(C2583&lt;=11,"Morning (06-11)",IF(C2583&lt;=16,"Afternoon (12-16)",IF(C2583&lt;=20,"Evening (17-20)","Late (21-23)")))))</f>
        <v/>
      </c>
    </row>
    <row r="2584" customFormat="false" ht="15" hidden="false" customHeight="false" outlineLevel="0" collapsed="false">
      <c r="L2584" s="37" t="str">
        <f aca="false">IF(C2584="","",IF(C2584&lt;=5,"Night (00-05)",IF(C2584&lt;=11,"Morning (06-11)",IF(C2584&lt;=16,"Afternoon (12-16)",IF(C2584&lt;=20,"Evening (17-20)","Late (21-23)")))))</f>
        <v/>
      </c>
    </row>
    <row r="2585" customFormat="false" ht="15" hidden="false" customHeight="false" outlineLevel="0" collapsed="false">
      <c r="L2585" s="37" t="str">
        <f aca="false">IF(C2585="","",IF(C2585&lt;=5,"Night (00-05)",IF(C2585&lt;=11,"Morning (06-11)",IF(C2585&lt;=16,"Afternoon (12-16)",IF(C2585&lt;=20,"Evening (17-20)","Late (21-23)")))))</f>
        <v/>
      </c>
    </row>
    <row r="2586" customFormat="false" ht="15" hidden="false" customHeight="false" outlineLevel="0" collapsed="false">
      <c r="L2586" s="37" t="str">
        <f aca="false">IF(C2586="","",IF(C2586&lt;=5,"Night (00-05)",IF(C2586&lt;=11,"Morning (06-11)",IF(C2586&lt;=16,"Afternoon (12-16)",IF(C2586&lt;=20,"Evening (17-20)","Late (21-23)")))))</f>
        <v/>
      </c>
    </row>
    <row r="2587" customFormat="false" ht="15" hidden="false" customHeight="false" outlineLevel="0" collapsed="false">
      <c r="L2587" s="37" t="str">
        <f aca="false">IF(C2587="","",IF(C2587&lt;=5,"Night (00-05)",IF(C2587&lt;=11,"Morning (06-11)",IF(C2587&lt;=16,"Afternoon (12-16)",IF(C2587&lt;=20,"Evening (17-20)","Late (21-23)")))))</f>
        <v/>
      </c>
    </row>
    <row r="2588" customFormat="false" ht="15" hidden="false" customHeight="false" outlineLevel="0" collapsed="false">
      <c r="L2588" s="37" t="str">
        <f aca="false">IF(C2588="","",IF(C2588&lt;=5,"Night (00-05)",IF(C2588&lt;=11,"Morning (06-11)",IF(C2588&lt;=16,"Afternoon (12-16)",IF(C2588&lt;=20,"Evening (17-20)","Late (21-23)")))))</f>
        <v/>
      </c>
    </row>
    <row r="2589" customFormat="false" ht="15" hidden="false" customHeight="false" outlineLevel="0" collapsed="false">
      <c r="L2589" s="37" t="str">
        <f aca="false">IF(C2589="","",IF(C2589&lt;=5,"Night (00-05)",IF(C2589&lt;=11,"Morning (06-11)",IF(C2589&lt;=16,"Afternoon (12-16)",IF(C2589&lt;=20,"Evening (17-20)","Late (21-23)")))))</f>
        <v/>
      </c>
    </row>
    <row r="2590" customFormat="false" ht="15" hidden="false" customHeight="false" outlineLevel="0" collapsed="false">
      <c r="L2590" s="37" t="str">
        <f aca="false">IF(C2590="","",IF(C2590&lt;=5,"Night (00-05)",IF(C2590&lt;=11,"Morning (06-11)",IF(C2590&lt;=16,"Afternoon (12-16)",IF(C2590&lt;=20,"Evening (17-20)","Late (21-23)")))))</f>
        <v/>
      </c>
    </row>
    <row r="2591" customFormat="false" ht="15" hidden="false" customHeight="false" outlineLevel="0" collapsed="false">
      <c r="L2591" s="37" t="str">
        <f aca="false">IF(C2591="","",IF(C2591&lt;=5,"Night (00-05)",IF(C2591&lt;=11,"Morning (06-11)",IF(C2591&lt;=16,"Afternoon (12-16)",IF(C2591&lt;=20,"Evening (17-20)","Late (21-23)")))))</f>
        <v/>
      </c>
    </row>
    <row r="2592" customFormat="false" ht="15" hidden="false" customHeight="false" outlineLevel="0" collapsed="false">
      <c r="L2592" s="37" t="str">
        <f aca="false">IF(C2592="","",IF(C2592&lt;=5,"Night (00-05)",IF(C2592&lt;=11,"Morning (06-11)",IF(C2592&lt;=16,"Afternoon (12-16)",IF(C2592&lt;=20,"Evening (17-20)","Late (21-23)")))))</f>
        <v/>
      </c>
    </row>
    <row r="2593" customFormat="false" ht="15" hidden="false" customHeight="false" outlineLevel="0" collapsed="false">
      <c r="L2593" s="37" t="str">
        <f aca="false">IF(C2593="","",IF(C2593&lt;=5,"Night (00-05)",IF(C2593&lt;=11,"Morning (06-11)",IF(C2593&lt;=16,"Afternoon (12-16)",IF(C2593&lt;=20,"Evening (17-20)","Late (21-23)")))))</f>
        <v/>
      </c>
    </row>
    <row r="2594" customFormat="false" ht="15" hidden="false" customHeight="false" outlineLevel="0" collapsed="false">
      <c r="L2594" s="37" t="str">
        <f aca="false">IF(C2594="","",IF(C2594&lt;=5,"Night (00-05)",IF(C2594&lt;=11,"Morning (06-11)",IF(C2594&lt;=16,"Afternoon (12-16)",IF(C2594&lt;=20,"Evening (17-20)","Late (21-23)")))))</f>
        <v/>
      </c>
    </row>
    <row r="2595" customFormat="false" ht="15" hidden="false" customHeight="false" outlineLevel="0" collapsed="false">
      <c r="L2595" s="37" t="str">
        <f aca="false">IF(C2595="","",IF(C2595&lt;=5,"Night (00-05)",IF(C2595&lt;=11,"Morning (06-11)",IF(C2595&lt;=16,"Afternoon (12-16)",IF(C2595&lt;=20,"Evening (17-20)","Late (21-23)")))))</f>
        <v/>
      </c>
    </row>
    <row r="2596" customFormat="false" ht="15" hidden="false" customHeight="false" outlineLevel="0" collapsed="false">
      <c r="L2596" s="37" t="str">
        <f aca="false">IF(C2596="","",IF(C2596&lt;=5,"Night (00-05)",IF(C2596&lt;=11,"Morning (06-11)",IF(C2596&lt;=16,"Afternoon (12-16)",IF(C2596&lt;=20,"Evening (17-20)","Late (21-23)")))))</f>
        <v/>
      </c>
    </row>
    <row r="2597" customFormat="false" ht="15" hidden="false" customHeight="false" outlineLevel="0" collapsed="false">
      <c r="L2597" s="37" t="str">
        <f aca="false">IF(C2597="","",IF(C2597&lt;=5,"Night (00-05)",IF(C2597&lt;=11,"Morning (06-11)",IF(C2597&lt;=16,"Afternoon (12-16)",IF(C2597&lt;=20,"Evening (17-20)","Late (21-23)")))))</f>
        <v/>
      </c>
    </row>
    <row r="2598" customFormat="false" ht="15" hidden="false" customHeight="false" outlineLevel="0" collapsed="false">
      <c r="L2598" s="37" t="str">
        <f aca="false">IF(C2598="","",IF(C2598&lt;=5,"Night (00-05)",IF(C2598&lt;=11,"Morning (06-11)",IF(C2598&lt;=16,"Afternoon (12-16)",IF(C2598&lt;=20,"Evening (17-20)","Late (21-23)")))))</f>
        <v/>
      </c>
    </row>
    <row r="2599" customFormat="false" ht="15" hidden="false" customHeight="false" outlineLevel="0" collapsed="false">
      <c r="L2599" s="37" t="str">
        <f aca="false">IF(C2599="","",IF(C2599&lt;=5,"Night (00-05)",IF(C2599&lt;=11,"Morning (06-11)",IF(C2599&lt;=16,"Afternoon (12-16)",IF(C2599&lt;=20,"Evening (17-20)","Late (21-23)")))))</f>
        <v/>
      </c>
    </row>
    <row r="2600" customFormat="false" ht="15" hidden="false" customHeight="false" outlineLevel="0" collapsed="false">
      <c r="L2600" s="37" t="str">
        <f aca="false">IF(C2600="","",IF(C2600&lt;=5,"Night (00-05)",IF(C2600&lt;=11,"Morning (06-11)",IF(C2600&lt;=16,"Afternoon (12-16)",IF(C2600&lt;=20,"Evening (17-20)","Late (21-23)")))))</f>
        <v/>
      </c>
    </row>
    <row r="2601" customFormat="false" ht="15" hidden="false" customHeight="false" outlineLevel="0" collapsed="false">
      <c r="L2601" s="37" t="str">
        <f aca="false">IF(C2601="","",IF(C2601&lt;=5,"Night (00-05)",IF(C2601&lt;=11,"Morning (06-11)",IF(C2601&lt;=16,"Afternoon (12-16)",IF(C2601&lt;=20,"Evening (17-20)","Late (21-23)")))))</f>
        <v/>
      </c>
    </row>
    <row r="2602" customFormat="false" ht="15" hidden="false" customHeight="false" outlineLevel="0" collapsed="false">
      <c r="L2602" s="37" t="str">
        <f aca="false">IF(C2602="","",IF(C2602&lt;=5,"Night (00-05)",IF(C2602&lt;=11,"Morning (06-11)",IF(C2602&lt;=16,"Afternoon (12-16)",IF(C2602&lt;=20,"Evening (17-20)","Late (21-23)")))))</f>
        <v/>
      </c>
    </row>
    <row r="2603" customFormat="false" ht="15" hidden="false" customHeight="false" outlineLevel="0" collapsed="false">
      <c r="L2603" s="37" t="str">
        <f aca="false">IF(C2603="","",IF(C2603&lt;=5,"Night (00-05)",IF(C2603&lt;=11,"Morning (06-11)",IF(C2603&lt;=16,"Afternoon (12-16)",IF(C2603&lt;=20,"Evening (17-20)","Late (21-23)")))))</f>
        <v/>
      </c>
    </row>
    <row r="2604" customFormat="false" ht="15" hidden="false" customHeight="false" outlineLevel="0" collapsed="false">
      <c r="L2604" s="37" t="str">
        <f aca="false">IF(C2604="","",IF(C2604&lt;=5,"Night (00-05)",IF(C2604&lt;=11,"Morning (06-11)",IF(C2604&lt;=16,"Afternoon (12-16)",IF(C2604&lt;=20,"Evening (17-20)","Late (21-23)")))))</f>
        <v/>
      </c>
    </row>
    <row r="2605" customFormat="false" ht="15" hidden="false" customHeight="false" outlineLevel="0" collapsed="false">
      <c r="L2605" s="37" t="str">
        <f aca="false">IF(C2605="","",IF(C2605&lt;=5,"Night (00-05)",IF(C2605&lt;=11,"Morning (06-11)",IF(C2605&lt;=16,"Afternoon (12-16)",IF(C2605&lt;=20,"Evening (17-20)","Late (21-23)")))))</f>
        <v/>
      </c>
    </row>
    <row r="2606" customFormat="false" ht="15" hidden="false" customHeight="false" outlineLevel="0" collapsed="false">
      <c r="L2606" s="37" t="str">
        <f aca="false">IF(C2606="","",IF(C2606&lt;=5,"Night (00-05)",IF(C2606&lt;=11,"Morning (06-11)",IF(C2606&lt;=16,"Afternoon (12-16)",IF(C2606&lt;=20,"Evening (17-20)","Late (21-23)")))))</f>
        <v/>
      </c>
    </row>
    <row r="2607" customFormat="false" ht="15" hidden="false" customHeight="false" outlineLevel="0" collapsed="false">
      <c r="L2607" s="37" t="str">
        <f aca="false">IF(C2607="","",IF(C2607&lt;=5,"Night (00-05)",IF(C2607&lt;=11,"Morning (06-11)",IF(C2607&lt;=16,"Afternoon (12-16)",IF(C2607&lt;=20,"Evening (17-20)","Late (21-23)")))))</f>
        <v/>
      </c>
    </row>
    <row r="2608" customFormat="false" ht="15" hidden="false" customHeight="false" outlineLevel="0" collapsed="false">
      <c r="L2608" s="37" t="str">
        <f aca="false">IF(C2608="","",IF(C2608&lt;=5,"Night (00-05)",IF(C2608&lt;=11,"Morning (06-11)",IF(C2608&lt;=16,"Afternoon (12-16)",IF(C2608&lt;=20,"Evening (17-20)","Late (21-23)")))))</f>
        <v/>
      </c>
    </row>
    <row r="2609" customFormat="false" ht="15" hidden="false" customHeight="false" outlineLevel="0" collapsed="false">
      <c r="L2609" s="37" t="str">
        <f aca="false">IF(C2609="","",IF(C2609&lt;=5,"Night (00-05)",IF(C2609&lt;=11,"Morning (06-11)",IF(C2609&lt;=16,"Afternoon (12-16)",IF(C2609&lt;=20,"Evening (17-20)","Late (21-23)")))))</f>
        <v/>
      </c>
    </row>
    <row r="2610" customFormat="false" ht="15" hidden="false" customHeight="false" outlineLevel="0" collapsed="false">
      <c r="L2610" s="37" t="str">
        <f aca="false">IF(C2610="","",IF(C2610&lt;=5,"Night (00-05)",IF(C2610&lt;=11,"Morning (06-11)",IF(C2610&lt;=16,"Afternoon (12-16)",IF(C2610&lt;=20,"Evening (17-20)","Late (21-23)")))))</f>
        <v/>
      </c>
    </row>
    <row r="2611" customFormat="false" ht="15" hidden="false" customHeight="false" outlineLevel="0" collapsed="false">
      <c r="L2611" s="37" t="str">
        <f aca="false">IF(C2611="","",IF(C2611&lt;=5,"Night (00-05)",IF(C2611&lt;=11,"Morning (06-11)",IF(C2611&lt;=16,"Afternoon (12-16)",IF(C2611&lt;=20,"Evening (17-20)","Late (21-23)")))))</f>
        <v/>
      </c>
    </row>
    <row r="2612" customFormat="false" ht="15" hidden="false" customHeight="false" outlineLevel="0" collapsed="false">
      <c r="L2612" s="37" t="str">
        <f aca="false">IF(C2612="","",IF(C2612&lt;=5,"Night (00-05)",IF(C2612&lt;=11,"Morning (06-11)",IF(C2612&lt;=16,"Afternoon (12-16)",IF(C2612&lt;=20,"Evening (17-20)","Late (21-23)")))))</f>
        <v/>
      </c>
    </row>
    <row r="2613" customFormat="false" ht="15" hidden="false" customHeight="false" outlineLevel="0" collapsed="false">
      <c r="L2613" s="37" t="str">
        <f aca="false">IF(C2613="","",IF(C2613&lt;=5,"Night (00-05)",IF(C2613&lt;=11,"Morning (06-11)",IF(C2613&lt;=16,"Afternoon (12-16)",IF(C2613&lt;=20,"Evening (17-20)","Late (21-23)")))))</f>
        <v/>
      </c>
    </row>
    <row r="2614" customFormat="false" ht="15" hidden="false" customHeight="false" outlineLevel="0" collapsed="false">
      <c r="L2614" s="37" t="str">
        <f aca="false">IF(C2614="","",IF(C2614&lt;=5,"Night (00-05)",IF(C2614&lt;=11,"Morning (06-11)",IF(C2614&lt;=16,"Afternoon (12-16)",IF(C2614&lt;=20,"Evening (17-20)","Late (21-23)")))))</f>
        <v/>
      </c>
    </row>
    <row r="2615" customFormat="false" ht="15" hidden="false" customHeight="false" outlineLevel="0" collapsed="false">
      <c r="L2615" s="37" t="str">
        <f aca="false">IF(C2615="","",IF(C2615&lt;=5,"Night (00-05)",IF(C2615&lt;=11,"Morning (06-11)",IF(C2615&lt;=16,"Afternoon (12-16)",IF(C2615&lt;=20,"Evening (17-20)","Late (21-23)")))))</f>
        <v/>
      </c>
    </row>
    <row r="2616" customFormat="false" ht="15" hidden="false" customHeight="false" outlineLevel="0" collapsed="false">
      <c r="L2616" s="37" t="str">
        <f aca="false">IF(C2616="","",IF(C2616&lt;=5,"Night (00-05)",IF(C2616&lt;=11,"Morning (06-11)",IF(C2616&lt;=16,"Afternoon (12-16)",IF(C2616&lt;=20,"Evening (17-20)","Late (21-23)")))))</f>
        <v/>
      </c>
    </row>
    <row r="2617" customFormat="false" ht="15" hidden="false" customHeight="false" outlineLevel="0" collapsed="false">
      <c r="L2617" s="37" t="str">
        <f aca="false">IF(C2617="","",IF(C2617&lt;=5,"Night (00-05)",IF(C2617&lt;=11,"Morning (06-11)",IF(C2617&lt;=16,"Afternoon (12-16)",IF(C2617&lt;=20,"Evening (17-20)","Late (21-23)")))))</f>
        <v/>
      </c>
    </row>
    <row r="2618" customFormat="false" ht="15" hidden="false" customHeight="false" outlineLevel="0" collapsed="false">
      <c r="L2618" s="37" t="str">
        <f aca="false">IF(C2618="","",IF(C2618&lt;=5,"Night (00-05)",IF(C2618&lt;=11,"Morning (06-11)",IF(C2618&lt;=16,"Afternoon (12-16)",IF(C2618&lt;=20,"Evening (17-20)","Late (21-23)")))))</f>
        <v/>
      </c>
    </row>
    <row r="2619" customFormat="false" ht="15" hidden="false" customHeight="false" outlineLevel="0" collapsed="false">
      <c r="L2619" s="37" t="str">
        <f aca="false">IF(C2619="","",IF(C2619&lt;=5,"Night (00-05)",IF(C2619&lt;=11,"Morning (06-11)",IF(C2619&lt;=16,"Afternoon (12-16)",IF(C2619&lt;=20,"Evening (17-20)","Late (21-23)")))))</f>
        <v/>
      </c>
    </row>
    <row r="2620" customFormat="false" ht="15" hidden="false" customHeight="false" outlineLevel="0" collapsed="false">
      <c r="L2620" s="37" t="str">
        <f aca="false">IF(C2620="","",IF(C2620&lt;=5,"Night (00-05)",IF(C2620&lt;=11,"Morning (06-11)",IF(C2620&lt;=16,"Afternoon (12-16)",IF(C2620&lt;=20,"Evening (17-20)","Late (21-23)")))))</f>
        <v/>
      </c>
    </row>
    <row r="2621" customFormat="false" ht="15" hidden="false" customHeight="false" outlineLevel="0" collapsed="false">
      <c r="L2621" s="37" t="str">
        <f aca="false">IF(C2621="","",IF(C2621&lt;=5,"Night (00-05)",IF(C2621&lt;=11,"Morning (06-11)",IF(C2621&lt;=16,"Afternoon (12-16)",IF(C2621&lt;=20,"Evening (17-20)","Late (21-23)")))))</f>
        <v/>
      </c>
    </row>
    <row r="2622" customFormat="false" ht="15" hidden="false" customHeight="false" outlineLevel="0" collapsed="false">
      <c r="L2622" s="37" t="str">
        <f aca="false">IF(C2622="","",IF(C2622&lt;=5,"Night (00-05)",IF(C2622&lt;=11,"Morning (06-11)",IF(C2622&lt;=16,"Afternoon (12-16)",IF(C2622&lt;=20,"Evening (17-20)","Late (21-23)")))))</f>
        <v/>
      </c>
    </row>
    <row r="2623" customFormat="false" ht="15" hidden="false" customHeight="false" outlineLevel="0" collapsed="false">
      <c r="L2623" s="37" t="str">
        <f aca="false">IF(C2623="","",IF(C2623&lt;=5,"Night (00-05)",IF(C2623&lt;=11,"Morning (06-11)",IF(C2623&lt;=16,"Afternoon (12-16)",IF(C2623&lt;=20,"Evening (17-20)","Late (21-23)")))))</f>
        <v/>
      </c>
    </row>
    <row r="2624" customFormat="false" ht="15" hidden="false" customHeight="false" outlineLevel="0" collapsed="false">
      <c r="L2624" s="37" t="str">
        <f aca="false">IF(C2624="","",IF(C2624&lt;=5,"Night (00-05)",IF(C2624&lt;=11,"Morning (06-11)",IF(C2624&lt;=16,"Afternoon (12-16)",IF(C2624&lt;=20,"Evening (17-20)","Late (21-23)")))))</f>
        <v/>
      </c>
    </row>
    <row r="2625" customFormat="false" ht="15" hidden="false" customHeight="false" outlineLevel="0" collapsed="false">
      <c r="L2625" s="37" t="str">
        <f aca="false">IF(C2625="","",IF(C2625&lt;=5,"Night (00-05)",IF(C2625&lt;=11,"Morning (06-11)",IF(C2625&lt;=16,"Afternoon (12-16)",IF(C2625&lt;=20,"Evening (17-20)","Late (21-23)")))))</f>
        <v/>
      </c>
    </row>
    <row r="2626" customFormat="false" ht="15" hidden="false" customHeight="false" outlineLevel="0" collapsed="false">
      <c r="L2626" s="37" t="str">
        <f aca="false">IF(C2626="","",IF(C2626&lt;=5,"Night (00-05)",IF(C2626&lt;=11,"Morning (06-11)",IF(C2626&lt;=16,"Afternoon (12-16)",IF(C2626&lt;=20,"Evening (17-20)","Late (21-23)")))))</f>
        <v/>
      </c>
    </row>
    <row r="2627" customFormat="false" ht="15" hidden="false" customHeight="false" outlineLevel="0" collapsed="false">
      <c r="L2627" s="37" t="str">
        <f aca="false">IF(C2627="","",IF(C2627&lt;=5,"Night (00-05)",IF(C2627&lt;=11,"Morning (06-11)",IF(C2627&lt;=16,"Afternoon (12-16)",IF(C2627&lt;=20,"Evening (17-20)","Late (21-23)")))))</f>
        <v/>
      </c>
    </row>
    <row r="2628" customFormat="false" ht="15" hidden="false" customHeight="false" outlineLevel="0" collapsed="false">
      <c r="L2628" s="37" t="str">
        <f aca="false">IF(C2628="","",IF(C2628&lt;=5,"Night (00-05)",IF(C2628&lt;=11,"Morning (06-11)",IF(C2628&lt;=16,"Afternoon (12-16)",IF(C2628&lt;=20,"Evening (17-20)","Late (21-23)")))))</f>
        <v/>
      </c>
    </row>
    <row r="2629" customFormat="false" ht="15" hidden="false" customHeight="false" outlineLevel="0" collapsed="false">
      <c r="L2629" s="37" t="str">
        <f aca="false">IF(C2629="","",IF(C2629&lt;=5,"Night (00-05)",IF(C2629&lt;=11,"Morning (06-11)",IF(C2629&lt;=16,"Afternoon (12-16)",IF(C2629&lt;=20,"Evening (17-20)","Late (21-23)")))))</f>
        <v/>
      </c>
    </row>
    <row r="2630" customFormat="false" ht="15" hidden="false" customHeight="false" outlineLevel="0" collapsed="false">
      <c r="L2630" s="37" t="str">
        <f aca="false">IF(C2630="","",IF(C2630&lt;=5,"Night (00-05)",IF(C2630&lt;=11,"Morning (06-11)",IF(C2630&lt;=16,"Afternoon (12-16)",IF(C2630&lt;=20,"Evening (17-20)","Late (21-23)")))))</f>
        <v/>
      </c>
    </row>
    <row r="2631" customFormat="false" ht="15" hidden="false" customHeight="false" outlineLevel="0" collapsed="false">
      <c r="L2631" s="37" t="str">
        <f aca="false">IF(C2631="","",IF(C2631&lt;=5,"Night (00-05)",IF(C2631&lt;=11,"Morning (06-11)",IF(C2631&lt;=16,"Afternoon (12-16)",IF(C2631&lt;=20,"Evening (17-20)","Late (21-23)")))))</f>
        <v/>
      </c>
    </row>
    <row r="2632" customFormat="false" ht="15" hidden="false" customHeight="false" outlineLevel="0" collapsed="false">
      <c r="L2632" s="37" t="str">
        <f aca="false">IF(C2632="","",IF(C2632&lt;=5,"Night (00-05)",IF(C2632&lt;=11,"Morning (06-11)",IF(C2632&lt;=16,"Afternoon (12-16)",IF(C2632&lt;=20,"Evening (17-20)","Late (21-23)")))))</f>
        <v/>
      </c>
    </row>
    <row r="2633" customFormat="false" ht="15" hidden="false" customHeight="false" outlineLevel="0" collapsed="false">
      <c r="L2633" s="37" t="str">
        <f aca="false">IF(C2633="","",IF(C2633&lt;=5,"Night (00-05)",IF(C2633&lt;=11,"Morning (06-11)",IF(C2633&lt;=16,"Afternoon (12-16)",IF(C2633&lt;=20,"Evening (17-20)","Late (21-23)")))))</f>
        <v/>
      </c>
    </row>
    <row r="2634" customFormat="false" ht="15" hidden="false" customHeight="false" outlineLevel="0" collapsed="false">
      <c r="L2634" s="37" t="str">
        <f aca="false">IF(C2634="","",IF(C2634&lt;=5,"Night (00-05)",IF(C2634&lt;=11,"Morning (06-11)",IF(C2634&lt;=16,"Afternoon (12-16)",IF(C2634&lt;=20,"Evening (17-20)","Late (21-23)")))))</f>
        <v/>
      </c>
    </row>
    <row r="2635" customFormat="false" ht="15" hidden="false" customHeight="false" outlineLevel="0" collapsed="false">
      <c r="L2635" s="37" t="str">
        <f aca="false">IF(C2635="","",IF(C2635&lt;=5,"Night (00-05)",IF(C2635&lt;=11,"Morning (06-11)",IF(C2635&lt;=16,"Afternoon (12-16)",IF(C2635&lt;=20,"Evening (17-20)","Late (21-23)")))))</f>
        <v/>
      </c>
    </row>
    <row r="2636" customFormat="false" ht="15" hidden="false" customHeight="false" outlineLevel="0" collapsed="false">
      <c r="L2636" s="37" t="str">
        <f aca="false">IF(C2636="","",IF(C2636&lt;=5,"Night (00-05)",IF(C2636&lt;=11,"Morning (06-11)",IF(C2636&lt;=16,"Afternoon (12-16)",IF(C2636&lt;=20,"Evening (17-20)","Late (21-23)")))))</f>
        <v/>
      </c>
    </row>
    <row r="2637" customFormat="false" ht="15" hidden="false" customHeight="false" outlineLevel="0" collapsed="false">
      <c r="L2637" s="37" t="str">
        <f aca="false">IF(C2637="","",IF(C2637&lt;=5,"Night (00-05)",IF(C2637&lt;=11,"Morning (06-11)",IF(C2637&lt;=16,"Afternoon (12-16)",IF(C2637&lt;=20,"Evening (17-20)","Late (21-23)")))))</f>
        <v/>
      </c>
    </row>
    <row r="2638" customFormat="false" ht="15" hidden="false" customHeight="false" outlineLevel="0" collapsed="false">
      <c r="L2638" s="37" t="str">
        <f aca="false">IF(C2638="","",IF(C2638&lt;=5,"Night (00-05)",IF(C2638&lt;=11,"Morning (06-11)",IF(C2638&lt;=16,"Afternoon (12-16)",IF(C2638&lt;=20,"Evening (17-20)","Late (21-23)")))))</f>
        <v/>
      </c>
    </row>
    <row r="2639" customFormat="false" ht="15" hidden="false" customHeight="false" outlineLevel="0" collapsed="false">
      <c r="L2639" s="37" t="str">
        <f aca="false">IF(C2639="","",IF(C2639&lt;=5,"Night (00-05)",IF(C2639&lt;=11,"Morning (06-11)",IF(C2639&lt;=16,"Afternoon (12-16)",IF(C2639&lt;=20,"Evening (17-20)","Late (21-23)")))))</f>
        <v/>
      </c>
    </row>
    <row r="2640" customFormat="false" ht="15" hidden="false" customHeight="false" outlineLevel="0" collapsed="false">
      <c r="L2640" s="37" t="str">
        <f aca="false">IF(C2640="","",IF(C2640&lt;=5,"Night (00-05)",IF(C2640&lt;=11,"Morning (06-11)",IF(C2640&lt;=16,"Afternoon (12-16)",IF(C2640&lt;=20,"Evening (17-20)","Late (21-23)")))))</f>
        <v/>
      </c>
    </row>
    <row r="2641" customFormat="false" ht="15" hidden="false" customHeight="false" outlineLevel="0" collapsed="false">
      <c r="L2641" s="37" t="str">
        <f aca="false">IF(C2641="","",IF(C2641&lt;=5,"Night (00-05)",IF(C2641&lt;=11,"Morning (06-11)",IF(C2641&lt;=16,"Afternoon (12-16)",IF(C2641&lt;=20,"Evening (17-20)","Late (21-23)")))))</f>
        <v/>
      </c>
    </row>
    <row r="2642" customFormat="false" ht="15" hidden="false" customHeight="false" outlineLevel="0" collapsed="false">
      <c r="L2642" s="37" t="str">
        <f aca="false">IF(C2642="","",IF(C2642&lt;=5,"Night (00-05)",IF(C2642&lt;=11,"Morning (06-11)",IF(C2642&lt;=16,"Afternoon (12-16)",IF(C2642&lt;=20,"Evening (17-20)","Late (21-23)")))))</f>
        <v/>
      </c>
    </row>
    <row r="2643" customFormat="false" ht="15" hidden="false" customHeight="false" outlineLevel="0" collapsed="false">
      <c r="L2643" s="37" t="str">
        <f aca="false">IF(C2643="","",IF(C2643&lt;=5,"Night (00-05)",IF(C2643&lt;=11,"Morning (06-11)",IF(C2643&lt;=16,"Afternoon (12-16)",IF(C2643&lt;=20,"Evening (17-20)","Late (21-23)")))))</f>
        <v/>
      </c>
    </row>
    <row r="2644" customFormat="false" ht="15" hidden="false" customHeight="false" outlineLevel="0" collapsed="false">
      <c r="L2644" s="37" t="str">
        <f aca="false">IF(C2644="","",IF(C2644&lt;=5,"Night (00-05)",IF(C2644&lt;=11,"Morning (06-11)",IF(C2644&lt;=16,"Afternoon (12-16)",IF(C2644&lt;=20,"Evening (17-20)","Late (21-23)")))))</f>
        <v/>
      </c>
    </row>
    <row r="2645" customFormat="false" ht="15" hidden="false" customHeight="false" outlineLevel="0" collapsed="false">
      <c r="L2645" s="37" t="str">
        <f aca="false">IF(C2645="","",IF(C2645&lt;=5,"Night (00-05)",IF(C2645&lt;=11,"Morning (06-11)",IF(C2645&lt;=16,"Afternoon (12-16)",IF(C2645&lt;=20,"Evening (17-20)","Late (21-23)")))))</f>
        <v/>
      </c>
    </row>
    <row r="2646" customFormat="false" ht="15" hidden="false" customHeight="false" outlineLevel="0" collapsed="false">
      <c r="L2646" s="37" t="str">
        <f aca="false">IF(C2646="","",IF(C2646&lt;=5,"Night (00-05)",IF(C2646&lt;=11,"Morning (06-11)",IF(C2646&lt;=16,"Afternoon (12-16)",IF(C2646&lt;=20,"Evening (17-20)","Late (21-23)")))))</f>
        <v/>
      </c>
    </row>
    <row r="2647" customFormat="false" ht="15" hidden="false" customHeight="false" outlineLevel="0" collapsed="false">
      <c r="L2647" s="37" t="str">
        <f aca="false">IF(C2647="","",IF(C2647&lt;=5,"Night (00-05)",IF(C2647&lt;=11,"Morning (06-11)",IF(C2647&lt;=16,"Afternoon (12-16)",IF(C2647&lt;=20,"Evening (17-20)","Late (21-23)")))))</f>
        <v/>
      </c>
    </row>
    <row r="2648" customFormat="false" ht="15" hidden="false" customHeight="false" outlineLevel="0" collapsed="false">
      <c r="L2648" s="37" t="str">
        <f aca="false">IF(C2648="","",IF(C2648&lt;=5,"Night (00-05)",IF(C2648&lt;=11,"Morning (06-11)",IF(C2648&lt;=16,"Afternoon (12-16)",IF(C2648&lt;=20,"Evening (17-20)","Late (21-23)")))))</f>
        <v/>
      </c>
    </row>
    <row r="2649" customFormat="false" ht="15" hidden="false" customHeight="false" outlineLevel="0" collapsed="false">
      <c r="L2649" s="37" t="str">
        <f aca="false">IF(C2649="","",IF(C2649&lt;=5,"Night (00-05)",IF(C2649&lt;=11,"Morning (06-11)",IF(C2649&lt;=16,"Afternoon (12-16)",IF(C2649&lt;=20,"Evening (17-20)","Late (21-23)")))))</f>
        <v/>
      </c>
    </row>
    <row r="2650" customFormat="false" ht="15" hidden="false" customHeight="false" outlineLevel="0" collapsed="false">
      <c r="L2650" s="37" t="str">
        <f aca="false">IF(C2650="","",IF(C2650&lt;=5,"Night (00-05)",IF(C2650&lt;=11,"Morning (06-11)",IF(C2650&lt;=16,"Afternoon (12-16)",IF(C2650&lt;=20,"Evening (17-20)","Late (21-23)")))))</f>
        <v/>
      </c>
    </row>
    <row r="2651" customFormat="false" ht="15" hidden="false" customHeight="false" outlineLevel="0" collapsed="false">
      <c r="L2651" s="37" t="str">
        <f aca="false">IF(C2651="","",IF(C2651&lt;=5,"Night (00-05)",IF(C2651&lt;=11,"Morning (06-11)",IF(C2651&lt;=16,"Afternoon (12-16)",IF(C2651&lt;=20,"Evening (17-20)","Late (21-23)")))))</f>
        <v/>
      </c>
    </row>
    <row r="2652" customFormat="false" ht="15" hidden="false" customHeight="false" outlineLevel="0" collapsed="false">
      <c r="L2652" s="37" t="str">
        <f aca="false">IF(C2652="","",IF(C2652&lt;=5,"Night (00-05)",IF(C2652&lt;=11,"Morning (06-11)",IF(C2652&lt;=16,"Afternoon (12-16)",IF(C2652&lt;=20,"Evening (17-20)","Late (21-23)")))))</f>
        <v/>
      </c>
    </row>
    <row r="2653" customFormat="false" ht="15" hidden="false" customHeight="false" outlineLevel="0" collapsed="false">
      <c r="L2653" s="37" t="str">
        <f aca="false">IF(C2653="","",IF(C2653&lt;=5,"Night (00-05)",IF(C2653&lt;=11,"Morning (06-11)",IF(C2653&lt;=16,"Afternoon (12-16)",IF(C2653&lt;=20,"Evening (17-20)","Late (21-23)")))))</f>
        <v/>
      </c>
    </row>
    <row r="2654" customFormat="false" ht="15" hidden="false" customHeight="false" outlineLevel="0" collapsed="false">
      <c r="L2654" s="37" t="str">
        <f aca="false">IF(C2654="","",IF(C2654&lt;=5,"Night (00-05)",IF(C2654&lt;=11,"Morning (06-11)",IF(C2654&lt;=16,"Afternoon (12-16)",IF(C2654&lt;=20,"Evening (17-20)","Late (21-23)")))))</f>
        <v/>
      </c>
    </row>
    <row r="2655" customFormat="false" ht="15" hidden="false" customHeight="false" outlineLevel="0" collapsed="false">
      <c r="L2655" s="37" t="str">
        <f aca="false">IF(C2655="","",IF(C2655&lt;=5,"Night (00-05)",IF(C2655&lt;=11,"Morning (06-11)",IF(C2655&lt;=16,"Afternoon (12-16)",IF(C2655&lt;=20,"Evening (17-20)","Late (21-23)")))))</f>
        <v/>
      </c>
    </row>
    <row r="2656" customFormat="false" ht="15" hidden="false" customHeight="false" outlineLevel="0" collapsed="false">
      <c r="L2656" s="37" t="str">
        <f aca="false">IF(C2656="","",IF(C2656&lt;=5,"Night (00-05)",IF(C2656&lt;=11,"Morning (06-11)",IF(C2656&lt;=16,"Afternoon (12-16)",IF(C2656&lt;=20,"Evening (17-20)","Late (21-23)")))))</f>
        <v/>
      </c>
    </row>
    <row r="2657" customFormat="false" ht="15" hidden="false" customHeight="false" outlineLevel="0" collapsed="false">
      <c r="L2657" s="37" t="str">
        <f aca="false">IF(C2657="","",IF(C2657&lt;=5,"Night (00-05)",IF(C2657&lt;=11,"Morning (06-11)",IF(C2657&lt;=16,"Afternoon (12-16)",IF(C2657&lt;=20,"Evening (17-20)","Late (21-23)")))))</f>
        <v/>
      </c>
    </row>
    <row r="2658" customFormat="false" ht="15" hidden="false" customHeight="false" outlineLevel="0" collapsed="false">
      <c r="L2658" s="37" t="str">
        <f aca="false">IF(C2658="","",IF(C2658&lt;=5,"Night (00-05)",IF(C2658&lt;=11,"Morning (06-11)",IF(C2658&lt;=16,"Afternoon (12-16)",IF(C2658&lt;=20,"Evening (17-20)","Late (21-23)")))))</f>
        <v/>
      </c>
    </row>
    <row r="2659" customFormat="false" ht="15" hidden="false" customHeight="false" outlineLevel="0" collapsed="false">
      <c r="L2659" s="37" t="str">
        <f aca="false">IF(C2659="","",IF(C2659&lt;=5,"Night (00-05)",IF(C2659&lt;=11,"Morning (06-11)",IF(C2659&lt;=16,"Afternoon (12-16)",IF(C2659&lt;=20,"Evening (17-20)","Late (21-23)")))))</f>
        <v/>
      </c>
    </row>
    <row r="2660" customFormat="false" ht="15" hidden="false" customHeight="false" outlineLevel="0" collapsed="false">
      <c r="L2660" s="37" t="str">
        <f aca="false">IF(C2660="","",IF(C2660&lt;=5,"Night (00-05)",IF(C2660&lt;=11,"Morning (06-11)",IF(C2660&lt;=16,"Afternoon (12-16)",IF(C2660&lt;=20,"Evening (17-20)","Late (21-23)")))))</f>
        <v/>
      </c>
    </row>
    <row r="2661" customFormat="false" ht="15" hidden="false" customHeight="false" outlineLevel="0" collapsed="false">
      <c r="L2661" s="37" t="str">
        <f aca="false">IF(C2661="","",IF(C2661&lt;=5,"Night (00-05)",IF(C2661&lt;=11,"Morning (06-11)",IF(C2661&lt;=16,"Afternoon (12-16)",IF(C2661&lt;=20,"Evening (17-20)","Late (21-23)")))))</f>
        <v/>
      </c>
    </row>
    <row r="2662" customFormat="false" ht="15" hidden="false" customHeight="false" outlineLevel="0" collapsed="false">
      <c r="L2662" s="37" t="str">
        <f aca="false">IF(C2662="","",IF(C2662&lt;=5,"Night (00-05)",IF(C2662&lt;=11,"Morning (06-11)",IF(C2662&lt;=16,"Afternoon (12-16)",IF(C2662&lt;=20,"Evening (17-20)","Late (21-23)")))))</f>
        <v/>
      </c>
    </row>
    <row r="2663" customFormat="false" ht="15" hidden="false" customHeight="false" outlineLevel="0" collapsed="false">
      <c r="L2663" s="37" t="str">
        <f aca="false">IF(C2663="","",IF(C2663&lt;=5,"Night (00-05)",IF(C2663&lt;=11,"Morning (06-11)",IF(C2663&lt;=16,"Afternoon (12-16)",IF(C2663&lt;=20,"Evening (17-20)","Late (21-23)")))))</f>
        <v/>
      </c>
    </row>
    <row r="2664" customFormat="false" ht="15" hidden="false" customHeight="false" outlineLevel="0" collapsed="false">
      <c r="L2664" s="37" t="str">
        <f aca="false">IF(C2664="","",IF(C2664&lt;=5,"Night (00-05)",IF(C2664&lt;=11,"Morning (06-11)",IF(C2664&lt;=16,"Afternoon (12-16)",IF(C2664&lt;=20,"Evening (17-20)","Late (21-23)")))))</f>
        <v/>
      </c>
    </row>
    <row r="2665" customFormat="false" ht="15" hidden="false" customHeight="false" outlineLevel="0" collapsed="false">
      <c r="L2665" s="37" t="str">
        <f aca="false">IF(C2665="","",IF(C2665&lt;=5,"Night (00-05)",IF(C2665&lt;=11,"Morning (06-11)",IF(C2665&lt;=16,"Afternoon (12-16)",IF(C2665&lt;=20,"Evening (17-20)","Late (21-23)")))))</f>
        <v/>
      </c>
    </row>
    <row r="2666" customFormat="false" ht="15" hidden="false" customHeight="false" outlineLevel="0" collapsed="false">
      <c r="L2666" s="37" t="str">
        <f aca="false">IF(C2666="","",IF(C2666&lt;=5,"Night (00-05)",IF(C2666&lt;=11,"Morning (06-11)",IF(C2666&lt;=16,"Afternoon (12-16)",IF(C2666&lt;=20,"Evening (17-20)","Late (21-23)")))))</f>
        <v/>
      </c>
    </row>
    <row r="2667" customFormat="false" ht="15" hidden="false" customHeight="false" outlineLevel="0" collapsed="false">
      <c r="L2667" s="37" t="str">
        <f aca="false">IF(C2667="","",IF(C2667&lt;=5,"Night (00-05)",IF(C2667&lt;=11,"Morning (06-11)",IF(C2667&lt;=16,"Afternoon (12-16)",IF(C2667&lt;=20,"Evening (17-20)","Late (21-23)")))))</f>
        <v/>
      </c>
    </row>
    <row r="2668" customFormat="false" ht="15" hidden="false" customHeight="false" outlineLevel="0" collapsed="false">
      <c r="L2668" s="37" t="str">
        <f aca="false">IF(C2668="","",IF(C2668&lt;=5,"Night (00-05)",IF(C2668&lt;=11,"Morning (06-11)",IF(C2668&lt;=16,"Afternoon (12-16)",IF(C2668&lt;=20,"Evening (17-20)","Late (21-23)")))))</f>
        <v/>
      </c>
    </row>
    <row r="2669" customFormat="false" ht="15" hidden="false" customHeight="false" outlineLevel="0" collapsed="false">
      <c r="L2669" s="37" t="str">
        <f aca="false">IF(C2669="","",IF(C2669&lt;=5,"Night (00-05)",IF(C2669&lt;=11,"Morning (06-11)",IF(C2669&lt;=16,"Afternoon (12-16)",IF(C2669&lt;=20,"Evening (17-20)","Late (21-23)")))))</f>
        <v/>
      </c>
    </row>
    <row r="2670" customFormat="false" ht="15" hidden="false" customHeight="false" outlineLevel="0" collapsed="false">
      <c r="L2670" s="37" t="str">
        <f aca="false">IF(C2670="","",IF(C2670&lt;=5,"Night (00-05)",IF(C2670&lt;=11,"Morning (06-11)",IF(C2670&lt;=16,"Afternoon (12-16)",IF(C2670&lt;=20,"Evening (17-20)","Late (21-23)")))))</f>
        <v/>
      </c>
    </row>
    <row r="2671" customFormat="false" ht="15" hidden="false" customHeight="false" outlineLevel="0" collapsed="false">
      <c r="L2671" s="37" t="str">
        <f aca="false">IF(C2671="","",IF(C2671&lt;=5,"Night (00-05)",IF(C2671&lt;=11,"Morning (06-11)",IF(C2671&lt;=16,"Afternoon (12-16)",IF(C2671&lt;=20,"Evening (17-20)","Late (21-23)")))))</f>
        <v/>
      </c>
    </row>
    <row r="2672" customFormat="false" ht="15" hidden="false" customHeight="false" outlineLevel="0" collapsed="false">
      <c r="L2672" s="37" t="str">
        <f aca="false">IF(C2672="","",IF(C2672&lt;=5,"Night (00-05)",IF(C2672&lt;=11,"Morning (06-11)",IF(C2672&lt;=16,"Afternoon (12-16)",IF(C2672&lt;=20,"Evening (17-20)","Late (21-23)")))))</f>
        <v/>
      </c>
    </row>
    <row r="2673" customFormat="false" ht="15" hidden="false" customHeight="false" outlineLevel="0" collapsed="false">
      <c r="L2673" s="37" t="str">
        <f aca="false">IF(C2673="","",IF(C2673&lt;=5,"Night (00-05)",IF(C2673&lt;=11,"Morning (06-11)",IF(C2673&lt;=16,"Afternoon (12-16)",IF(C2673&lt;=20,"Evening (17-20)","Late (21-23)")))))</f>
        <v/>
      </c>
    </row>
    <row r="2674" customFormat="false" ht="15" hidden="false" customHeight="false" outlineLevel="0" collapsed="false">
      <c r="L2674" s="37" t="str">
        <f aca="false">IF(C2674="","",IF(C2674&lt;=5,"Night (00-05)",IF(C2674&lt;=11,"Morning (06-11)",IF(C2674&lt;=16,"Afternoon (12-16)",IF(C2674&lt;=20,"Evening (17-20)","Late (21-23)")))))</f>
        <v/>
      </c>
    </row>
    <row r="2675" customFormat="false" ht="15" hidden="false" customHeight="false" outlineLevel="0" collapsed="false">
      <c r="L2675" s="37" t="str">
        <f aca="false">IF(C2675="","",IF(C2675&lt;=5,"Night (00-05)",IF(C2675&lt;=11,"Morning (06-11)",IF(C2675&lt;=16,"Afternoon (12-16)",IF(C2675&lt;=20,"Evening (17-20)","Late (21-23)")))))</f>
        <v/>
      </c>
    </row>
    <row r="2676" customFormat="false" ht="15" hidden="false" customHeight="false" outlineLevel="0" collapsed="false">
      <c r="L2676" s="37" t="str">
        <f aca="false">IF(C2676="","",IF(C2676&lt;=5,"Night (00-05)",IF(C2676&lt;=11,"Morning (06-11)",IF(C2676&lt;=16,"Afternoon (12-16)",IF(C2676&lt;=20,"Evening (17-20)","Late (21-23)")))))</f>
        <v/>
      </c>
    </row>
    <row r="2677" customFormat="false" ht="15" hidden="false" customHeight="false" outlineLevel="0" collapsed="false">
      <c r="L2677" s="37" t="str">
        <f aca="false">IF(C2677="","",IF(C2677&lt;=5,"Night (00-05)",IF(C2677&lt;=11,"Morning (06-11)",IF(C2677&lt;=16,"Afternoon (12-16)",IF(C2677&lt;=20,"Evening (17-20)","Late (21-23)")))))</f>
        <v/>
      </c>
    </row>
    <row r="2678" customFormat="false" ht="15" hidden="false" customHeight="false" outlineLevel="0" collapsed="false">
      <c r="L2678" s="37" t="str">
        <f aca="false">IF(C2678="","",IF(C2678&lt;=5,"Night (00-05)",IF(C2678&lt;=11,"Morning (06-11)",IF(C2678&lt;=16,"Afternoon (12-16)",IF(C2678&lt;=20,"Evening (17-20)","Late (21-23)")))))</f>
        <v/>
      </c>
    </row>
    <row r="2679" customFormat="false" ht="15" hidden="false" customHeight="false" outlineLevel="0" collapsed="false">
      <c r="L2679" s="37" t="str">
        <f aca="false">IF(C2679="","",IF(C2679&lt;=5,"Night (00-05)",IF(C2679&lt;=11,"Morning (06-11)",IF(C2679&lt;=16,"Afternoon (12-16)",IF(C2679&lt;=20,"Evening (17-20)","Late (21-23)")))))</f>
        <v/>
      </c>
    </row>
    <row r="2680" customFormat="false" ht="15" hidden="false" customHeight="false" outlineLevel="0" collapsed="false">
      <c r="L2680" s="37" t="str">
        <f aca="false">IF(C2680="","",IF(C2680&lt;=5,"Night (00-05)",IF(C2680&lt;=11,"Morning (06-11)",IF(C2680&lt;=16,"Afternoon (12-16)",IF(C2680&lt;=20,"Evening (17-20)","Late (21-23)")))))</f>
        <v/>
      </c>
    </row>
    <row r="2681" customFormat="false" ht="15" hidden="false" customHeight="false" outlineLevel="0" collapsed="false">
      <c r="L2681" s="37" t="str">
        <f aca="false">IF(C2681="","",IF(C2681&lt;=5,"Night (00-05)",IF(C2681&lt;=11,"Morning (06-11)",IF(C2681&lt;=16,"Afternoon (12-16)",IF(C2681&lt;=20,"Evening (17-20)","Late (21-23)")))))</f>
        <v/>
      </c>
    </row>
    <row r="2682" customFormat="false" ht="15" hidden="false" customHeight="false" outlineLevel="0" collapsed="false">
      <c r="L2682" s="37" t="str">
        <f aca="false">IF(C2682="","",IF(C2682&lt;=5,"Night (00-05)",IF(C2682&lt;=11,"Morning (06-11)",IF(C2682&lt;=16,"Afternoon (12-16)",IF(C2682&lt;=20,"Evening (17-20)","Late (21-23)")))))</f>
        <v/>
      </c>
    </row>
    <row r="2683" customFormat="false" ht="15" hidden="false" customHeight="false" outlineLevel="0" collapsed="false">
      <c r="L2683" s="37" t="str">
        <f aca="false">IF(C2683="","",IF(C2683&lt;=5,"Night (00-05)",IF(C2683&lt;=11,"Morning (06-11)",IF(C2683&lt;=16,"Afternoon (12-16)",IF(C2683&lt;=20,"Evening (17-20)","Late (21-23)")))))</f>
        <v/>
      </c>
    </row>
    <row r="2684" customFormat="false" ht="15" hidden="false" customHeight="false" outlineLevel="0" collapsed="false">
      <c r="L2684" s="37" t="str">
        <f aca="false">IF(C2684="","",IF(C2684&lt;=5,"Night (00-05)",IF(C2684&lt;=11,"Morning (06-11)",IF(C2684&lt;=16,"Afternoon (12-16)",IF(C2684&lt;=20,"Evening (17-20)","Late (21-23)")))))</f>
        <v/>
      </c>
    </row>
    <row r="2685" customFormat="false" ht="15" hidden="false" customHeight="false" outlineLevel="0" collapsed="false">
      <c r="L2685" s="37" t="str">
        <f aca="false">IF(C2685="","",IF(C2685&lt;=5,"Night (00-05)",IF(C2685&lt;=11,"Morning (06-11)",IF(C2685&lt;=16,"Afternoon (12-16)",IF(C2685&lt;=20,"Evening (17-20)","Late (21-23)")))))</f>
        <v/>
      </c>
    </row>
    <row r="2686" customFormat="false" ht="15" hidden="false" customHeight="false" outlineLevel="0" collapsed="false">
      <c r="L2686" s="37" t="str">
        <f aca="false">IF(C2686="","",IF(C2686&lt;=5,"Night (00-05)",IF(C2686&lt;=11,"Morning (06-11)",IF(C2686&lt;=16,"Afternoon (12-16)",IF(C2686&lt;=20,"Evening (17-20)","Late (21-23)")))))</f>
        <v/>
      </c>
    </row>
    <row r="2687" customFormat="false" ht="15" hidden="false" customHeight="false" outlineLevel="0" collapsed="false">
      <c r="L2687" s="37" t="str">
        <f aca="false">IF(C2687="","",IF(C2687&lt;=5,"Night (00-05)",IF(C2687&lt;=11,"Morning (06-11)",IF(C2687&lt;=16,"Afternoon (12-16)",IF(C2687&lt;=20,"Evening (17-20)","Late (21-23)")))))</f>
        <v/>
      </c>
    </row>
    <row r="2688" customFormat="false" ht="15" hidden="false" customHeight="false" outlineLevel="0" collapsed="false">
      <c r="L2688" s="37" t="str">
        <f aca="false">IF(C2688="","",IF(C2688&lt;=5,"Night (00-05)",IF(C2688&lt;=11,"Morning (06-11)",IF(C2688&lt;=16,"Afternoon (12-16)",IF(C2688&lt;=20,"Evening (17-20)","Late (21-23)")))))</f>
        <v/>
      </c>
    </row>
    <row r="2689" customFormat="false" ht="15" hidden="false" customHeight="false" outlineLevel="0" collapsed="false">
      <c r="L2689" s="37" t="str">
        <f aca="false">IF(C2689="","",IF(C2689&lt;=5,"Night (00-05)",IF(C2689&lt;=11,"Morning (06-11)",IF(C2689&lt;=16,"Afternoon (12-16)",IF(C2689&lt;=20,"Evening (17-20)","Late (21-23)")))))</f>
        <v/>
      </c>
    </row>
    <row r="2690" customFormat="false" ht="15" hidden="false" customHeight="false" outlineLevel="0" collapsed="false">
      <c r="L2690" s="37" t="str">
        <f aca="false">IF(C2690="","",IF(C2690&lt;=5,"Night (00-05)",IF(C2690&lt;=11,"Morning (06-11)",IF(C2690&lt;=16,"Afternoon (12-16)",IF(C2690&lt;=20,"Evening (17-20)","Late (21-23)")))))</f>
        <v/>
      </c>
    </row>
    <row r="2691" customFormat="false" ht="15" hidden="false" customHeight="false" outlineLevel="0" collapsed="false">
      <c r="L2691" s="37" t="str">
        <f aca="false">IF(C2691="","",IF(C2691&lt;=5,"Night (00-05)",IF(C2691&lt;=11,"Morning (06-11)",IF(C2691&lt;=16,"Afternoon (12-16)",IF(C2691&lt;=20,"Evening (17-20)","Late (21-23)")))))</f>
        <v/>
      </c>
    </row>
    <row r="2692" customFormat="false" ht="15" hidden="false" customHeight="false" outlineLevel="0" collapsed="false">
      <c r="L2692" s="37" t="str">
        <f aca="false">IF(C2692="","",IF(C2692&lt;=5,"Night (00-05)",IF(C2692&lt;=11,"Morning (06-11)",IF(C2692&lt;=16,"Afternoon (12-16)",IF(C2692&lt;=20,"Evening (17-20)","Late (21-23)")))))</f>
        <v/>
      </c>
    </row>
    <row r="2693" customFormat="false" ht="15" hidden="false" customHeight="false" outlineLevel="0" collapsed="false">
      <c r="L2693" s="37" t="str">
        <f aca="false">IF(C2693="","",IF(C2693&lt;=5,"Night (00-05)",IF(C2693&lt;=11,"Morning (06-11)",IF(C2693&lt;=16,"Afternoon (12-16)",IF(C2693&lt;=20,"Evening (17-20)","Late (21-23)")))))</f>
        <v/>
      </c>
    </row>
    <row r="2694" customFormat="false" ht="15" hidden="false" customHeight="false" outlineLevel="0" collapsed="false">
      <c r="L2694" s="37" t="str">
        <f aca="false">IF(C2694="","",IF(C2694&lt;=5,"Night (00-05)",IF(C2694&lt;=11,"Morning (06-11)",IF(C2694&lt;=16,"Afternoon (12-16)",IF(C2694&lt;=20,"Evening (17-20)","Late (21-23)")))))</f>
        <v/>
      </c>
    </row>
    <row r="2695" customFormat="false" ht="15" hidden="false" customHeight="false" outlineLevel="0" collapsed="false">
      <c r="L2695" s="37" t="str">
        <f aca="false">IF(C2695="","",IF(C2695&lt;=5,"Night (00-05)",IF(C2695&lt;=11,"Morning (06-11)",IF(C2695&lt;=16,"Afternoon (12-16)",IF(C2695&lt;=20,"Evening (17-20)","Late (21-23)")))))</f>
        <v/>
      </c>
    </row>
    <row r="2696" customFormat="false" ht="15" hidden="false" customHeight="false" outlineLevel="0" collapsed="false">
      <c r="L2696" s="37" t="str">
        <f aca="false">IF(C2696="","",IF(C2696&lt;=5,"Night (00-05)",IF(C2696&lt;=11,"Morning (06-11)",IF(C2696&lt;=16,"Afternoon (12-16)",IF(C2696&lt;=20,"Evening (17-20)","Late (21-23)")))))</f>
        <v/>
      </c>
    </row>
    <row r="2697" customFormat="false" ht="15" hidden="false" customHeight="false" outlineLevel="0" collapsed="false">
      <c r="L2697" s="37" t="str">
        <f aca="false">IF(C2697="","",IF(C2697&lt;=5,"Night (00-05)",IF(C2697&lt;=11,"Morning (06-11)",IF(C2697&lt;=16,"Afternoon (12-16)",IF(C2697&lt;=20,"Evening (17-20)","Late (21-23)")))))</f>
        <v/>
      </c>
    </row>
    <row r="2698" customFormat="false" ht="15" hidden="false" customHeight="false" outlineLevel="0" collapsed="false">
      <c r="L2698" s="37" t="str">
        <f aca="false">IF(C2698="","",IF(C2698&lt;=5,"Night (00-05)",IF(C2698&lt;=11,"Morning (06-11)",IF(C2698&lt;=16,"Afternoon (12-16)",IF(C2698&lt;=20,"Evening (17-20)","Late (21-23)")))))</f>
        <v/>
      </c>
    </row>
    <row r="2699" customFormat="false" ht="15" hidden="false" customHeight="false" outlineLevel="0" collapsed="false">
      <c r="L2699" s="37" t="str">
        <f aca="false">IF(C2699="","",IF(C2699&lt;=5,"Night (00-05)",IF(C2699&lt;=11,"Morning (06-11)",IF(C2699&lt;=16,"Afternoon (12-16)",IF(C2699&lt;=20,"Evening (17-20)","Late (21-23)")))))</f>
        <v/>
      </c>
    </row>
    <row r="2700" customFormat="false" ht="15" hidden="false" customHeight="false" outlineLevel="0" collapsed="false">
      <c r="L2700" s="37" t="str">
        <f aca="false">IF(C2700="","",IF(C2700&lt;=5,"Night (00-05)",IF(C2700&lt;=11,"Morning (06-11)",IF(C2700&lt;=16,"Afternoon (12-16)",IF(C2700&lt;=20,"Evening (17-20)","Late (21-23)")))))</f>
        <v/>
      </c>
    </row>
    <row r="2701" customFormat="false" ht="15" hidden="false" customHeight="false" outlineLevel="0" collapsed="false">
      <c r="L2701" s="37" t="str">
        <f aca="false">IF(C2701="","",IF(C2701&lt;=5,"Night (00-05)",IF(C2701&lt;=11,"Morning (06-11)",IF(C2701&lt;=16,"Afternoon (12-16)",IF(C2701&lt;=20,"Evening (17-20)","Late (21-23)")))))</f>
        <v/>
      </c>
    </row>
    <row r="2702" customFormat="false" ht="15" hidden="false" customHeight="false" outlineLevel="0" collapsed="false">
      <c r="L2702" s="37" t="str">
        <f aca="false">IF(C2702="","",IF(C2702&lt;=5,"Night (00-05)",IF(C2702&lt;=11,"Morning (06-11)",IF(C2702&lt;=16,"Afternoon (12-16)",IF(C2702&lt;=20,"Evening (17-20)","Late (21-23)")))))</f>
        <v/>
      </c>
    </row>
    <row r="2703" customFormat="false" ht="15" hidden="false" customHeight="false" outlineLevel="0" collapsed="false">
      <c r="L2703" s="37" t="str">
        <f aca="false">IF(C2703="","",IF(C2703&lt;=5,"Night (00-05)",IF(C2703&lt;=11,"Morning (06-11)",IF(C2703&lt;=16,"Afternoon (12-16)",IF(C2703&lt;=20,"Evening (17-20)","Late (21-23)")))))</f>
        <v/>
      </c>
    </row>
    <row r="2704" customFormat="false" ht="15" hidden="false" customHeight="false" outlineLevel="0" collapsed="false">
      <c r="L2704" s="37" t="str">
        <f aca="false">IF(C2704="","",IF(C2704&lt;=5,"Night (00-05)",IF(C2704&lt;=11,"Morning (06-11)",IF(C2704&lt;=16,"Afternoon (12-16)",IF(C2704&lt;=20,"Evening (17-20)","Late (21-23)")))))</f>
        <v/>
      </c>
    </row>
    <row r="2705" customFormat="false" ht="15" hidden="false" customHeight="false" outlineLevel="0" collapsed="false">
      <c r="L2705" s="37" t="str">
        <f aca="false">IF(C2705="","",IF(C2705&lt;=5,"Night (00-05)",IF(C2705&lt;=11,"Morning (06-11)",IF(C2705&lt;=16,"Afternoon (12-16)",IF(C2705&lt;=20,"Evening (17-20)","Late (21-23)")))))</f>
        <v/>
      </c>
    </row>
    <row r="2706" customFormat="false" ht="15" hidden="false" customHeight="false" outlineLevel="0" collapsed="false">
      <c r="L2706" s="37" t="str">
        <f aca="false">IF(C2706="","",IF(C2706&lt;=5,"Night (00-05)",IF(C2706&lt;=11,"Morning (06-11)",IF(C2706&lt;=16,"Afternoon (12-16)",IF(C2706&lt;=20,"Evening (17-20)","Late (21-23)")))))</f>
        <v/>
      </c>
    </row>
    <row r="2707" customFormat="false" ht="15" hidden="false" customHeight="false" outlineLevel="0" collapsed="false">
      <c r="L2707" s="37" t="str">
        <f aca="false">IF(C2707="","",IF(C2707&lt;=5,"Night (00-05)",IF(C2707&lt;=11,"Morning (06-11)",IF(C2707&lt;=16,"Afternoon (12-16)",IF(C2707&lt;=20,"Evening (17-20)","Late (21-23)")))))</f>
        <v/>
      </c>
    </row>
    <row r="2708" customFormat="false" ht="15" hidden="false" customHeight="false" outlineLevel="0" collapsed="false">
      <c r="L2708" s="37" t="str">
        <f aca="false">IF(C2708="","",IF(C2708&lt;=5,"Night (00-05)",IF(C2708&lt;=11,"Morning (06-11)",IF(C2708&lt;=16,"Afternoon (12-16)",IF(C2708&lt;=20,"Evening (17-20)","Late (21-23)")))))</f>
        <v/>
      </c>
    </row>
    <row r="2709" customFormat="false" ht="15" hidden="false" customHeight="false" outlineLevel="0" collapsed="false">
      <c r="L2709" s="37" t="str">
        <f aca="false">IF(C2709="","",IF(C2709&lt;=5,"Night (00-05)",IF(C2709&lt;=11,"Morning (06-11)",IF(C2709&lt;=16,"Afternoon (12-16)",IF(C2709&lt;=20,"Evening (17-20)","Late (21-23)")))))</f>
        <v/>
      </c>
    </row>
    <row r="2710" customFormat="false" ht="15" hidden="false" customHeight="false" outlineLevel="0" collapsed="false">
      <c r="L2710" s="37" t="str">
        <f aca="false">IF(C2710="","",IF(C2710&lt;=5,"Night (00-05)",IF(C2710&lt;=11,"Morning (06-11)",IF(C2710&lt;=16,"Afternoon (12-16)",IF(C2710&lt;=20,"Evening (17-20)","Late (21-23)")))))</f>
        <v/>
      </c>
    </row>
    <row r="2711" customFormat="false" ht="15" hidden="false" customHeight="false" outlineLevel="0" collapsed="false">
      <c r="L2711" s="37" t="str">
        <f aca="false">IF(C2711="","",IF(C2711&lt;=5,"Night (00-05)",IF(C2711&lt;=11,"Morning (06-11)",IF(C2711&lt;=16,"Afternoon (12-16)",IF(C2711&lt;=20,"Evening (17-20)","Late (21-23)")))))</f>
        <v/>
      </c>
    </row>
    <row r="2712" customFormat="false" ht="15" hidden="false" customHeight="false" outlineLevel="0" collapsed="false">
      <c r="L2712" s="37" t="str">
        <f aca="false">IF(C2712="","",IF(C2712&lt;=5,"Night (00-05)",IF(C2712&lt;=11,"Morning (06-11)",IF(C2712&lt;=16,"Afternoon (12-16)",IF(C2712&lt;=20,"Evening (17-20)","Late (21-23)")))))</f>
        <v/>
      </c>
    </row>
    <row r="2713" customFormat="false" ht="15" hidden="false" customHeight="false" outlineLevel="0" collapsed="false">
      <c r="L2713" s="37" t="str">
        <f aca="false">IF(C2713="","",IF(C2713&lt;=5,"Night (00-05)",IF(C2713&lt;=11,"Morning (06-11)",IF(C2713&lt;=16,"Afternoon (12-16)",IF(C2713&lt;=20,"Evening (17-20)","Late (21-23)")))))</f>
        <v/>
      </c>
    </row>
    <row r="2714" customFormat="false" ht="15" hidden="false" customHeight="false" outlineLevel="0" collapsed="false">
      <c r="L2714" s="37" t="str">
        <f aca="false">IF(C2714="","",IF(C2714&lt;=5,"Night (00-05)",IF(C2714&lt;=11,"Morning (06-11)",IF(C2714&lt;=16,"Afternoon (12-16)",IF(C2714&lt;=20,"Evening (17-20)","Late (21-23)")))))</f>
        <v/>
      </c>
    </row>
    <row r="2715" customFormat="false" ht="15" hidden="false" customHeight="false" outlineLevel="0" collapsed="false">
      <c r="L2715" s="37" t="str">
        <f aca="false">IF(C2715="","",IF(C2715&lt;=5,"Night (00-05)",IF(C2715&lt;=11,"Morning (06-11)",IF(C2715&lt;=16,"Afternoon (12-16)",IF(C2715&lt;=20,"Evening (17-20)","Late (21-23)")))))</f>
        <v/>
      </c>
    </row>
    <row r="2716" customFormat="false" ht="15" hidden="false" customHeight="false" outlineLevel="0" collapsed="false">
      <c r="L2716" s="37" t="str">
        <f aca="false">IF(C2716="","",IF(C2716&lt;=5,"Night (00-05)",IF(C2716&lt;=11,"Morning (06-11)",IF(C2716&lt;=16,"Afternoon (12-16)",IF(C2716&lt;=20,"Evening (17-20)","Late (21-23)")))))</f>
        <v/>
      </c>
    </row>
    <row r="2717" customFormat="false" ht="15" hidden="false" customHeight="false" outlineLevel="0" collapsed="false">
      <c r="L2717" s="37" t="str">
        <f aca="false">IF(C2717="","",IF(C2717&lt;=5,"Night (00-05)",IF(C2717&lt;=11,"Morning (06-11)",IF(C2717&lt;=16,"Afternoon (12-16)",IF(C2717&lt;=20,"Evening (17-20)","Late (21-23)")))))</f>
        <v/>
      </c>
    </row>
    <row r="2718" customFormat="false" ht="15" hidden="false" customHeight="false" outlineLevel="0" collapsed="false">
      <c r="L2718" s="37" t="str">
        <f aca="false">IF(C2718="","",IF(C2718&lt;=5,"Night (00-05)",IF(C2718&lt;=11,"Morning (06-11)",IF(C2718&lt;=16,"Afternoon (12-16)",IF(C2718&lt;=20,"Evening (17-20)","Late (21-23)")))))</f>
        <v/>
      </c>
    </row>
    <row r="2719" customFormat="false" ht="15" hidden="false" customHeight="false" outlineLevel="0" collapsed="false">
      <c r="L2719" s="37" t="str">
        <f aca="false">IF(C2719="","",IF(C2719&lt;=5,"Night (00-05)",IF(C2719&lt;=11,"Morning (06-11)",IF(C2719&lt;=16,"Afternoon (12-16)",IF(C2719&lt;=20,"Evening (17-20)","Late (21-23)")))))</f>
        <v/>
      </c>
    </row>
    <row r="2720" customFormat="false" ht="15" hidden="false" customHeight="false" outlineLevel="0" collapsed="false">
      <c r="L2720" s="37" t="str">
        <f aca="false">IF(C2720="","",IF(C2720&lt;=5,"Night (00-05)",IF(C2720&lt;=11,"Morning (06-11)",IF(C2720&lt;=16,"Afternoon (12-16)",IF(C2720&lt;=20,"Evening (17-20)","Late (21-23)")))))</f>
        <v/>
      </c>
    </row>
    <row r="2721" customFormat="false" ht="15" hidden="false" customHeight="false" outlineLevel="0" collapsed="false">
      <c r="L2721" s="37" t="str">
        <f aca="false">IF(C2721="","",IF(C2721&lt;=5,"Night (00-05)",IF(C2721&lt;=11,"Morning (06-11)",IF(C2721&lt;=16,"Afternoon (12-16)",IF(C2721&lt;=20,"Evening (17-20)","Late (21-23)")))))</f>
        <v/>
      </c>
    </row>
    <row r="2722" customFormat="false" ht="15" hidden="false" customHeight="false" outlineLevel="0" collapsed="false">
      <c r="L2722" s="37" t="str">
        <f aca="false">IF(C2722="","",IF(C2722&lt;=5,"Night (00-05)",IF(C2722&lt;=11,"Morning (06-11)",IF(C2722&lt;=16,"Afternoon (12-16)",IF(C2722&lt;=20,"Evening (17-20)","Late (21-23)")))))</f>
        <v/>
      </c>
    </row>
    <row r="2723" customFormat="false" ht="15" hidden="false" customHeight="false" outlineLevel="0" collapsed="false">
      <c r="L2723" s="37" t="str">
        <f aca="false">IF(C2723="","",IF(C2723&lt;=5,"Night (00-05)",IF(C2723&lt;=11,"Morning (06-11)",IF(C2723&lt;=16,"Afternoon (12-16)",IF(C2723&lt;=20,"Evening (17-20)","Late (21-23)")))))</f>
        <v/>
      </c>
    </row>
    <row r="2724" customFormat="false" ht="15" hidden="false" customHeight="false" outlineLevel="0" collapsed="false">
      <c r="L2724" s="37" t="str">
        <f aca="false">IF(C2724="","",IF(C2724&lt;=5,"Night (00-05)",IF(C2724&lt;=11,"Morning (06-11)",IF(C2724&lt;=16,"Afternoon (12-16)",IF(C2724&lt;=20,"Evening (17-20)","Late (21-23)")))))</f>
        <v/>
      </c>
    </row>
    <row r="2725" customFormat="false" ht="15" hidden="false" customHeight="false" outlineLevel="0" collapsed="false">
      <c r="L2725" s="37" t="str">
        <f aca="false">IF(C2725="","",IF(C2725&lt;=5,"Night (00-05)",IF(C2725&lt;=11,"Morning (06-11)",IF(C2725&lt;=16,"Afternoon (12-16)",IF(C2725&lt;=20,"Evening (17-20)","Late (21-23)")))))</f>
        <v/>
      </c>
    </row>
    <row r="2726" customFormat="false" ht="15" hidden="false" customHeight="false" outlineLevel="0" collapsed="false">
      <c r="L2726" s="37" t="str">
        <f aca="false">IF(C2726="","",IF(C2726&lt;=5,"Night (00-05)",IF(C2726&lt;=11,"Morning (06-11)",IF(C2726&lt;=16,"Afternoon (12-16)",IF(C2726&lt;=20,"Evening (17-20)","Late (21-23)")))))</f>
        <v/>
      </c>
    </row>
    <row r="2727" customFormat="false" ht="15" hidden="false" customHeight="false" outlineLevel="0" collapsed="false">
      <c r="L2727" s="37" t="str">
        <f aca="false">IF(C2727="","",IF(C2727&lt;=5,"Night (00-05)",IF(C2727&lt;=11,"Morning (06-11)",IF(C2727&lt;=16,"Afternoon (12-16)",IF(C2727&lt;=20,"Evening (17-20)","Late (21-23)")))))</f>
        <v/>
      </c>
    </row>
    <row r="2728" customFormat="false" ht="15" hidden="false" customHeight="false" outlineLevel="0" collapsed="false">
      <c r="L2728" s="37" t="str">
        <f aca="false">IF(C2728="","",IF(C2728&lt;=5,"Night (00-05)",IF(C2728&lt;=11,"Morning (06-11)",IF(C2728&lt;=16,"Afternoon (12-16)",IF(C2728&lt;=20,"Evening (17-20)","Late (21-23)")))))</f>
        <v/>
      </c>
    </row>
    <row r="2729" customFormat="false" ht="15" hidden="false" customHeight="false" outlineLevel="0" collapsed="false">
      <c r="L2729" s="37" t="str">
        <f aca="false">IF(C2729="","",IF(C2729&lt;=5,"Night (00-05)",IF(C2729&lt;=11,"Morning (06-11)",IF(C2729&lt;=16,"Afternoon (12-16)",IF(C2729&lt;=20,"Evening (17-20)","Late (21-23)")))))</f>
        <v/>
      </c>
    </row>
    <row r="2730" customFormat="false" ht="15" hidden="false" customHeight="false" outlineLevel="0" collapsed="false">
      <c r="L2730" s="37" t="str">
        <f aca="false">IF(C2730="","",IF(C2730&lt;=5,"Night (00-05)",IF(C2730&lt;=11,"Morning (06-11)",IF(C2730&lt;=16,"Afternoon (12-16)",IF(C2730&lt;=20,"Evening (17-20)","Late (21-23)")))))</f>
        <v/>
      </c>
    </row>
    <row r="2731" customFormat="false" ht="15" hidden="false" customHeight="false" outlineLevel="0" collapsed="false">
      <c r="L2731" s="37" t="str">
        <f aca="false">IF(C2731="","",IF(C2731&lt;=5,"Night (00-05)",IF(C2731&lt;=11,"Morning (06-11)",IF(C2731&lt;=16,"Afternoon (12-16)",IF(C2731&lt;=20,"Evening (17-20)","Late (21-23)")))))</f>
        <v/>
      </c>
    </row>
    <row r="2732" customFormat="false" ht="15" hidden="false" customHeight="false" outlineLevel="0" collapsed="false">
      <c r="L2732" s="37" t="str">
        <f aca="false">IF(C2732="","",IF(C2732&lt;=5,"Night (00-05)",IF(C2732&lt;=11,"Morning (06-11)",IF(C2732&lt;=16,"Afternoon (12-16)",IF(C2732&lt;=20,"Evening (17-20)","Late (21-23)")))))</f>
        <v/>
      </c>
    </row>
    <row r="2733" customFormat="false" ht="15" hidden="false" customHeight="false" outlineLevel="0" collapsed="false">
      <c r="L2733" s="37" t="str">
        <f aca="false">IF(C2733="","",IF(C2733&lt;=5,"Night (00-05)",IF(C2733&lt;=11,"Morning (06-11)",IF(C2733&lt;=16,"Afternoon (12-16)",IF(C2733&lt;=20,"Evening (17-20)","Late (21-23)")))))</f>
        <v/>
      </c>
    </row>
    <row r="2734" customFormat="false" ht="15" hidden="false" customHeight="false" outlineLevel="0" collapsed="false">
      <c r="L2734" s="37" t="str">
        <f aca="false">IF(C2734="","",IF(C2734&lt;=5,"Night (00-05)",IF(C2734&lt;=11,"Morning (06-11)",IF(C2734&lt;=16,"Afternoon (12-16)",IF(C2734&lt;=20,"Evening (17-20)","Late (21-23)")))))</f>
        <v/>
      </c>
    </row>
    <row r="2735" customFormat="false" ht="15" hidden="false" customHeight="false" outlineLevel="0" collapsed="false">
      <c r="L2735" s="37" t="str">
        <f aca="false">IF(C2735="","",IF(C2735&lt;=5,"Night (00-05)",IF(C2735&lt;=11,"Morning (06-11)",IF(C2735&lt;=16,"Afternoon (12-16)",IF(C2735&lt;=20,"Evening (17-20)","Late (21-23)")))))</f>
        <v/>
      </c>
    </row>
    <row r="2736" customFormat="false" ht="15" hidden="false" customHeight="false" outlineLevel="0" collapsed="false">
      <c r="L2736" s="37" t="str">
        <f aca="false">IF(C2736="","",IF(C2736&lt;=5,"Night (00-05)",IF(C2736&lt;=11,"Morning (06-11)",IF(C2736&lt;=16,"Afternoon (12-16)",IF(C2736&lt;=20,"Evening (17-20)","Late (21-23)")))))</f>
        <v/>
      </c>
    </row>
    <row r="2737" customFormat="false" ht="15" hidden="false" customHeight="false" outlineLevel="0" collapsed="false">
      <c r="L2737" s="37" t="str">
        <f aca="false">IF(C2737="","",IF(C2737&lt;=5,"Night (00-05)",IF(C2737&lt;=11,"Morning (06-11)",IF(C2737&lt;=16,"Afternoon (12-16)",IF(C2737&lt;=20,"Evening (17-20)","Late (21-23)")))))</f>
        <v/>
      </c>
    </row>
    <row r="2738" customFormat="false" ht="15" hidden="false" customHeight="false" outlineLevel="0" collapsed="false">
      <c r="L2738" s="37" t="str">
        <f aca="false">IF(C2738="","",IF(C2738&lt;=5,"Night (00-05)",IF(C2738&lt;=11,"Morning (06-11)",IF(C2738&lt;=16,"Afternoon (12-16)",IF(C2738&lt;=20,"Evening (17-20)","Late (21-23)")))))</f>
        <v/>
      </c>
    </row>
    <row r="2739" customFormat="false" ht="15" hidden="false" customHeight="false" outlineLevel="0" collapsed="false">
      <c r="L2739" s="37" t="str">
        <f aca="false">IF(C2739="","",IF(C2739&lt;=5,"Night (00-05)",IF(C2739&lt;=11,"Morning (06-11)",IF(C2739&lt;=16,"Afternoon (12-16)",IF(C2739&lt;=20,"Evening (17-20)","Late (21-23)")))))</f>
        <v/>
      </c>
    </row>
    <row r="2740" customFormat="false" ht="15" hidden="false" customHeight="false" outlineLevel="0" collapsed="false">
      <c r="L2740" s="37" t="str">
        <f aca="false">IF(C2740="","",IF(C2740&lt;=5,"Night (00-05)",IF(C2740&lt;=11,"Morning (06-11)",IF(C2740&lt;=16,"Afternoon (12-16)",IF(C2740&lt;=20,"Evening (17-20)","Late (21-23)")))))</f>
        <v/>
      </c>
    </row>
    <row r="2741" customFormat="false" ht="15" hidden="false" customHeight="false" outlineLevel="0" collapsed="false">
      <c r="L2741" s="37" t="str">
        <f aca="false">IF(C2741="","",IF(C2741&lt;=5,"Night (00-05)",IF(C2741&lt;=11,"Morning (06-11)",IF(C2741&lt;=16,"Afternoon (12-16)",IF(C2741&lt;=20,"Evening (17-20)","Late (21-23)")))))</f>
        <v/>
      </c>
    </row>
    <row r="2742" customFormat="false" ht="15" hidden="false" customHeight="false" outlineLevel="0" collapsed="false">
      <c r="L2742" s="37" t="str">
        <f aca="false">IF(C2742="","",IF(C2742&lt;=5,"Night (00-05)",IF(C2742&lt;=11,"Morning (06-11)",IF(C2742&lt;=16,"Afternoon (12-16)",IF(C2742&lt;=20,"Evening (17-20)","Late (21-23)")))))</f>
        <v/>
      </c>
    </row>
    <row r="2743" customFormat="false" ht="15" hidden="false" customHeight="false" outlineLevel="0" collapsed="false">
      <c r="L2743" s="37" t="str">
        <f aca="false">IF(C2743="","",IF(C2743&lt;=5,"Night (00-05)",IF(C2743&lt;=11,"Morning (06-11)",IF(C2743&lt;=16,"Afternoon (12-16)",IF(C2743&lt;=20,"Evening (17-20)","Late (21-23)")))))</f>
        <v/>
      </c>
    </row>
    <row r="2744" customFormat="false" ht="15" hidden="false" customHeight="false" outlineLevel="0" collapsed="false">
      <c r="L2744" s="37" t="str">
        <f aca="false">IF(C2744="","",IF(C2744&lt;=5,"Night (00-05)",IF(C2744&lt;=11,"Morning (06-11)",IF(C2744&lt;=16,"Afternoon (12-16)",IF(C2744&lt;=20,"Evening (17-20)","Late (21-23)")))))</f>
        <v/>
      </c>
    </row>
    <row r="2745" customFormat="false" ht="15" hidden="false" customHeight="false" outlineLevel="0" collapsed="false">
      <c r="L2745" s="37" t="str">
        <f aca="false">IF(C2745="","",IF(C2745&lt;=5,"Night (00-05)",IF(C2745&lt;=11,"Morning (06-11)",IF(C2745&lt;=16,"Afternoon (12-16)",IF(C2745&lt;=20,"Evening (17-20)","Late (21-23)")))))</f>
        <v/>
      </c>
    </row>
    <row r="2746" customFormat="false" ht="15" hidden="false" customHeight="false" outlineLevel="0" collapsed="false">
      <c r="L2746" s="37" t="str">
        <f aca="false">IF(C2746="","",IF(C2746&lt;=5,"Night (00-05)",IF(C2746&lt;=11,"Morning (06-11)",IF(C2746&lt;=16,"Afternoon (12-16)",IF(C2746&lt;=20,"Evening (17-20)","Late (21-23)")))))</f>
        <v/>
      </c>
    </row>
    <row r="2747" customFormat="false" ht="15" hidden="false" customHeight="false" outlineLevel="0" collapsed="false">
      <c r="L2747" s="37" t="str">
        <f aca="false">IF(C2747="","",IF(C2747&lt;=5,"Night (00-05)",IF(C2747&lt;=11,"Morning (06-11)",IF(C2747&lt;=16,"Afternoon (12-16)",IF(C2747&lt;=20,"Evening (17-20)","Late (21-23)")))))</f>
        <v/>
      </c>
    </row>
    <row r="2748" customFormat="false" ht="15" hidden="false" customHeight="false" outlineLevel="0" collapsed="false">
      <c r="L2748" s="37" t="str">
        <f aca="false">IF(C2748="","",IF(C2748&lt;=5,"Night (00-05)",IF(C2748&lt;=11,"Morning (06-11)",IF(C2748&lt;=16,"Afternoon (12-16)",IF(C2748&lt;=20,"Evening (17-20)","Late (21-23)")))))</f>
        <v/>
      </c>
    </row>
    <row r="2749" customFormat="false" ht="15" hidden="false" customHeight="false" outlineLevel="0" collapsed="false">
      <c r="L2749" s="37" t="str">
        <f aca="false">IF(C2749="","",IF(C2749&lt;=5,"Night (00-05)",IF(C2749&lt;=11,"Morning (06-11)",IF(C2749&lt;=16,"Afternoon (12-16)",IF(C2749&lt;=20,"Evening (17-20)","Late (21-23)")))))</f>
        <v/>
      </c>
    </row>
    <row r="2750" customFormat="false" ht="15" hidden="false" customHeight="false" outlineLevel="0" collapsed="false">
      <c r="L2750" s="37" t="str">
        <f aca="false">IF(C2750="","",IF(C2750&lt;=5,"Night (00-05)",IF(C2750&lt;=11,"Morning (06-11)",IF(C2750&lt;=16,"Afternoon (12-16)",IF(C2750&lt;=20,"Evening (17-20)","Late (21-23)")))))</f>
        <v/>
      </c>
    </row>
    <row r="2751" customFormat="false" ht="15" hidden="false" customHeight="false" outlineLevel="0" collapsed="false">
      <c r="L2751" s="37" t="str">
        <f aca="false">IF(C2751="","",IF(C2751&lt;=5,"Night (00-05)",IF(C2751&lt;=11,"Morning (06-11)",IF(C2751&lt;=16,"Afternoon (12-16)",IF(C2751&lt;=20,"Evening (17-20)","Late (21-23)")))))</f>
        <v/>
      </c>
    </row>
    <row r="2752" customFormat="false" ht="15" hidden="false" customHeight="false" outlineLevel="0" collapsed="false">
      <c r="L2752" s="37" t="str">
        <f aca="false">IF(C2752="","",IF(C2752&lt;=5,"Night (00-05)",IF(C2752&lt;=11,"Morning (06-11)",IF(C2752&lt;=16,"Afternoon (12-16)",IF(C2752&lt;=20,"Evening (17-20)","Late (21-23)")))))</f>
        <v/>
      </c>
    </row>
    <row r="2753" customFormat="false" ht="15" hidden="false" customHeight="false" outlineLevel="0" collapsed="false">
      <c r="L2753" s="37" t="str">
        <f aca="false">IF(C2753="","",IF(C2753&lt;=5,"Night (00-05)",IF(C2753&lt;=11,"Morning (06-11)",IF(C2753&lt;=16,"Afternoon (12-16)",IF(C2753&lt;=20,"Evening (17-20)","Late (21-23)")))))</f>
        <v/>
      </c>
    </row>
    <row r="2754" customFormat="false" ht="15" hidden="false" customHeight="false" outlineLevel="0" collapsed="false">
      <c r="L2754" s="37" t="str">
        <f aca="false">IF(C2754="","",IF(C2754&lt;=5,"Night (00-05)",IF(C2754&lt;=11,"Morning (06-11)",IF(C2754&lt;=16,"Afternoon (12-16)",IF(C2754&lt;=20,"Evening (17-20)","Late (21-23)")))))</f>
        <v/>
      </c>
    </row>
    <row r="2755" customFormat="false" ht="15" hidden="false" customHeight="false" outlineLevel="0" collapsed="false">
      <c r="L2755" s="37" t="str">
        <f aca="false">IF(C2755="","",IF(C2755&lt;=5,"Night (00-05)",IF(C2755&lt;=11,"Morning (06-11)",IF(C2755&lt;=16,"Afternoon (12-16)",IF(C2755&lt;=20,"Evening (17-20)","Late (21-23)")))))</f>
        <v/>
      </c>
    </row>
    <row r="2756" customFormat="false" ht="15" hidden="false" customHeight="false" outlineLevel="0" collapsed="false">
      <c r="L2756" s="37" t="str">
        <f aca="false">IF(C2756="","",IF(C2756&lt;=5,"Night (00-05)",IF(C2756&lt;=11,"Morning (06-11)",IF(C2756&lt;=16,"Afternoon (12-16)",IF(C2756&lt;=20,"Evening (17-20)","Late (21-23)")))))</f>
        <v/>
      </c>
    </row>
    <row r="2757" customFormat="false" ht="15" hidden="false" customHeight="false" outlineLevel="0" collapsed="false">
      <c r="L2757" s="37" t="str">
        <f aca="false">IF(C2757="","",IF(C2757&lt;=5,"Night (00-05)",IF(C2757&lt;=11,"Morning (06-11)",IF(C2757&lt;=16,"Afternoon (12-16)",IF(C2757&lt;=20,"Evening (17-20)","Late (21-23)")))))</f>
        <v/>
      </c>
    </row>
    <row r="2758" customFormat="false" ht="15" hidden="false" customHeight="false" outlineLevel="0" collapsed="false">
      <c r="L2758" s="37" t="str">
        <f aca="false">IF(C2758="","",IF(C2758&lt;=5,"Night (00-05)",IF(C2758&lt;=11,"Morning (06-11)",IF(C2758&lt;=16,"Afternoon (12-16)",IF(C2758&lt;=20,"Evening (17-20)","Late (21-23)")))))</f>
        <v/>
      </c>
    </row>
    <row r="2759" customFormat="false" ht="15" hidden="false" customHeight="false" outlineLevel="0" collapsed="false">
      <c r="L2759" s="37" t="str">
        <f aca="false">IF(C2759="","",IF(C2759&lt;=5,"Night (00-05)",IF(C2759&lt;=11,"Morning (06-11)",IF(C2759&lt;=16,"Afternoon (12-16)",IF(C2759&lt;=20,"Evening (17-20)","Late (21-23)")))))</f>
        <v/>
      </c>
    </row>
    <row r="2760" customFormat="false" ht="15" hidden="false" customHeight="false" outlineLevel="0" collapsed="false">
      <c r="L2760" s="37" t="str">
        <f aca="false">IF(C2760="","",IF(C2760&lt;=5,"Night (00-05)",IF(C2760&lt;=11,"Morning (06-11)",IF(C2760&lt;=16,"Afternoon (12-16)",IF(C2760&lt;=20,"Evening (17-20)","Late (21-23)")))))</f>
        <v/>
      </c>
    </row>
    <row r="2761" customFormat="false" ht="15" hidden="false" customHeight="false" outlineLevel="0" collapsed="false">
      <c r="L2761" s="37" t="str">
        <f aca="false">IF(C2761="","",IF(C2761&lt;=5,"Night (00-05)",IF(C2761&lt;=11,"Morning (06-11)",IF(C2761&lt;=16,"Afternoon (12-16)",IF(C2761&lt;=20,"Evening (17-20)","Late (21-23)")))))</f>
        <v/>
      </c>
    </row>
    <row r="2762" customFormat="false" ht="15" hidden="false" customHeight="false" outlineLevel="0" collapsed="false">
      <c r="L2762" s="37" t="str">
        <f aca="false">IF(C2762="","",IF(C2762&lt;=5,"Night (00-05)",IF(C2762&lt;=11,"Morning (06-11)",IF(C2762&lt;=16,"Afternoon (12-16)",IF(C2762&lt;=20,"Evening (17-20)","Late (21-23)")))))</f>
        <v/>
      </c>
    </row>
    <row r="2763" customFormat="false" ht="15" hidden="false" customHeight="false" outlineLevel="0" collapsed="false">
      <c r="L2763" s="37" t="str">
        <f aca="false">IF(C2763="","",IF(C2763&lt;=5,"Night (00-05)",IF(C2763&lt;=11,"Morning (06-11)",IF(C2763&lt;=16,"Afternoon (12-16)",IF(C2763&lt;=20,"Evening (17-20)","Late (21-23)")))))</f>
        <v/>
      </c>
    </row>
    <row r="2764" customFormat="false" ht="15" hidden="false" customHeight="false" outlineLevel="0" collapsed="false">
      <c r="L2764" s="37" t="str">
        <f aca="false">IF(C2764="","",IF(C2764&lt;=5,"Night (00-05)",IF(C2764&lt;=11,"Morning (06-11)",IF(C2764&lt;=16,"Afternoon (12-16)",IF(C2764&lt;=20,"Evening (17-20)","Late (21-23)")))))</f>
        <v/>
      </c>
    </row>
    <row r="2765" customFormat="false" ht="15" hidden="false" customHeight="false" outlineLevel="0" collapsed="false">
      <c r="L2765" s="37" t="str">
        <f aca="false">IF(C2765="","",IF(C2765&lt;=5,"Night (00-05)",IF(C2765&lt;=11,"Morning (06-11)",IF(C2765&lt;=16,"Afternoon (12-16)",IF(C2765&lt;=20,"Evening (17-20)","Late (21-23)")))))</f>
        <v/>
      </c>
    </row>
    <row r="2766" customFormat="false" ht="15" hidden="false" customHeight="false" outlineLevel="0" collapsed="false">
      <c r="L2766" s="37" t="str">
        <f aca="false">IF(C2766="","",IF(C2766&lt;=5,"Night (00-05)",IF(C2766&lt;=11,"Morning (06-11)",IF(C2766&lt;=16,"Afternoon (12-16)",IF(C2766&lt;=20,"Evening (17-20)","Late (21-23)")))))</f>
        <v/>
      </c>
    </row>
    <row r="2767" customFormat="false" ht="15" hidden="false" customHeight="false" outlineLevel="0" collapsed="false">
      <c r="L2767" s="37" t="str">
        <f aca="false">IF(C2767="","",IF(C2767&lt;=5,"Night (00-05)",IF(C2767&lt;=11,"Morning (06-11)",IF(C2767&lt;=16,"Afternoon (12-16)",IF(C2767&lt;=20,"Evening (17-20)","Late (21-23)")))))</f>
        <v/>
      </c>
    </row>
    <row r="2768" customFormat="false" ht="15" hidden="false" customHeight="false" outlineLevel="0" collapsed="false">
      <c r="L2768" s="37" t="str">
        <f aca="false">IF(C2768="","",IF(C2768&lt;=5,"Night (00-05)",IF(C2768&lt;=11,"Morning (06-11)",IF(C2768&lt;=16,"Afternoon (12-16)",IF(C2768&lt;=20,"Evening (17-20)","Late (21-23)")))))</f>
        <v/>
      </c>
    </row>
    <row r="2769" customFormat="false" ht="15" hidden="false" customHeight="false" outlineLevel="0" collapsed="false">
      <c r="L2769" s="37" t="str">
        <f aca="false">IF(C2769="","",IF(C2769&lt;=5,"Night (00-05)",IF(C2769&lt;=11,"Morning (06-11)",IF(C2769&lt;=16,"Afternoon (12-16)",IF(C2769&lt;=20,"Evening (17-20)","Late (21-23)")))))</f>
        <v/>
      </c>
    </row>
    <row r="2770" customFormat="false" ht="15" hidden="false" customHeight="false" outlineLevel="0" collapsed="false">
      <c r="L2770" s="37" t="str">
        <f aca="false">IF(C2770="","",IF(C2770&lt;=5,"Night (00-05)",IF(C2770&lt;=11,"Morning (06-11)",IF(C2770&lt;=16,"Afternoon (12-16)",IF(C2770&lt;=20,"Evening (17-20)","Late (21-23)")))))</f>
        <v/>
      </c>
    </row>
    <row r="2771" customFormat="false" ht="15" hidden="false" customHeight="false" outlineLevel="0" collapsed="false">
      <c r="L2771" s="37" t="str">
        <f aca="false">IF(C2771="","",IF(C2771&lt;=5,"Night (00-05)",IF(C2771&lt;=11,"Morning (06-11)",IF(C2771&lt;=16,"Afternoon (12-16)",IF(C2771&lt;=20,"Evening (17-20)","Late (21-23)")))))</f>
        <v/>
      </c>
    </row>
    <row r="2772" customFormat="false" ht="15" hidden="false" customHeight="false" outlineLevel="0" collapsed="false">
      <c r="L2772" s="37" t="str">
        <f aca="false">IF(C2772="","",IF(C2772&lt;=5,"Night (00-05)",IF(C2772&lt;=11,"Morning (06-11)",IF(C2772&lt;=16,"Afternoon (12-16)",IF(C2772&lt;=20,"Evening (17-20)","Late (21-23)")))))</f>
        <v/>
      </c>
    </row>
    <row r="2773" customFormat="false" ht="15" hidden="false" customHeight="false" outlineLevel="0" collapsed="false">
      <c r="L2773" s="37" t="str">
        <f aca="false">IF(C2773="","",IF(C2773&lt;=5,"Night (00-05)",IF(C2773&lt;=11,"Morning (06-11)",IF(C2773&lt;=16,"Afternoon (12-16)",IF(C2773&lt;=20,"Evening (17-20)","Late (21-23)")))))</f>
        <v/>
      </c>
    </row>
    <row r="2774" customFormat="false" ht="15" hidden="false" customHeight="false" outlineLevel="0" collapsed="false">
      <c r="L2774" s="37" t="str">
        <f aca="false">IF(C2774="","",IF(C2774&lt;=5,"Night (00-05)",IF(C2774&lt;=11,"Morning (06-11)",IF(C2774&lt;=16,"Afternoon (12-16)",IF(C2774&lt;=20,"Evening (17-20)","Late (21-23)")))))</f>
        <v/>
      </c>
    </row>
    <row r="2775" customFormat="false" ht="15" hidden="false" customHeight="false" outlineLevel="0" collapsed="false">
      <c r="L2775" s="37" t="str">
        <f aca="false">IF(C2775="","",IF(C2775&lt;=5,"Night (00-05)",IF(C2775&lt;=11,"Morning (06-11)",IF(C2775&lt;=16,"Afternoon (12-16)",IF(C2775&lt;=20,"Evening (17-20)","Late (21-23)")))))</f>
        <v/>
      </c>
    </row>
    <row r="2776" customFormat="false" ht="15" hidden="false" customHeight="false" outlineLevel="0" collapsed="false">
      <c r="L2776" s="37" t="str">
        <f aca="false">IF(C2776="","",IF(C2776&lt;=5,"Night (00-05)",IF(C2776&lt;=11,"Morning (06-11)",IF(C2776&lt;=16,"Afternoon (12-16)",IF(C2776&lt;=20,"Evening (17-20)","Late (21-23)")))))</f>
        <v/>
      </c>
    </row>
    <row r="2777" customFormat="false" ht="15" hidden="false" customHeight="false" outlineLevel="0" collapsed="false">
      <c r="L2777" s="37" t="str">
        <f aca="false">IF(C2777="","",IF(C2777&lt;=5,"Night (00-05)",IF(C2777&lt;=11,"Morning (06-11)",IF(C2777&lt;=16,"Afternoon (12-16)",IF(C2777&lt;=20,"Evening (17-20)","Late (21-23)")))))</f>
        <v/>
      </c>
    </row>
    <row r="2778" customFormat="false" ht="15" hidden="false" customHeight="false" outlineLevel="0" collapsed="false">
      <c r="L2778" s="37" t="str">
        <f aca="false">IF(C2778="","",IF(C2778&lt;=5,"Night (00-05)",IF(C2778&lt;=11,"Morning (06-11)",IF(C2778&lt;=16,"Afternoon (12-16)",IF(C2778&lt;=20,"Evening (17-20)","Late (21-23)")))))</f>
        <v/>
      </c>
    </row>
    <row r="2779" customFormat="false" ht="15" hidden="false" customHeight="false" outlineLevel="0" collapsed="false">
      <c r="L2779" s="37" t="str">
        <f aca="false">IF(C2779="","",IF(C2779&lt;=5,"Night (00-05)",IF(C2779&lt;=11,"Morning (06-11)",IF(C2779&lt;=16,"Afternoon (12-16)",IF(C2779&lt;=20,"Evening (17-20)","Late (21-23)")))))</f>
        <v/>
      </c>
    </row>
    <row r="2780" customFormat="false" ht="15" hidden="false" customHeight="false" outlineLevel="0" collapsed="false">
      <c r="L2780" s="37" t="str">
        <f aca="false">IF(C2780="","",IF(C2780&lt;=5,"Night (00-05)",IF(C2780&lt;=11,"Morning (06-11)",IF(C2780&lt;=16,"Afternoon (12-16)",IF(C2780&lt;=20,"Evening (17-20)","Late (21-23)")))))</f>
        <v/>
      </c>
    </row>
    <row r="2781" customFormat="false" ht="15" hidden="false" customHeight="false" outlineLevel="0" collapsed="false">
      <c r="L2781" s="37" t="str">
        <f aca="false">IF(C2781="","",IF(C2781&lt;=5,"Night (00-05)",IF(C2781&lt;=11,"Morning (06-11)",IF(C2781&lt;=16,"Afternoon (12-16)",IF(C2781&lt;=20,"Evening (17-20)","Late (21-23)")))))</f>
        <v/>
      </c>
    </row>
    <row r="2782" customFormat="false" ht="15" hidden="false" customHeight="false" outlineLevel="0" collapsed="false">
      <c r="L2782" s="37" t="str">
        <f aca="false">IF(C2782="","",IF(C2782&lt;=5,"Night (00-05)",IF(C2782&lt;=11,"Morning (06-11)",IF(C2782&lt;=16,"Afternoon (12-16)",IF(C2782&lt;=20,"Evening (17-20)","Late (21-23)")))))</f>
        <v/>
      </c>
    </row>
    <row r="2783" customFormat="false" ht="15" hidden="false" customHeight="false" outlineLevel="0" collapsed="false">
      <c r="L2783" s="37" t="str">
        <f aca="false">IF(C2783="","",IF(C2783&lt;=5,"Night (00-05)",IF(C2783&lt;=11,"Morning (06-11)",IF(C2783&lt;=16,"Afternoon (12-16)",IF(C2783&lt;=20,"Evening (17-20)","Late (21-23)")))))</f>
        <v/>
      </c>
    </row>
    <row r="2784" customFormat="false" ht="15" hidden="false" customHeight="false" outlineLevel="0" collapsed="false">
      <c r="L2784" s="37" t="str">
        <f aca="false">IF(C2784="","",IF(C2784&lt;=5,"Night (00-05)",IF(C2784&lt;=11,"Morning (06-11)",IF(C2784&lt;=16,"Afternoon (12-16)",IF(C2784&lt;=20,"Evening (17-20)","Late (21-23)")))))</f>
        <v/>
      </c>
    </row>
    <row r="2785" customFormat="false" ht="15" hidden="false" customHeight="false" outlineLevel="0" collapsed="false">
      <c r="L2785" s="37" t="str">
        <f aca="false">IF(C2785="","",IF(C2785&lt;=5,"Night (00-05)",IF(C2785&lt;=11,"Morning (06-11)",IF(C2785&lt;=16,"Afternoon (12-16)",IF(C2785&lt;=20,"Evening (17-20)","Late (21-23)")))))</f>
        <v/>
      </c>
    </row>
    <row r="2786" customFormat="false" ht="15" hidden="false" customHeight="false" outlineLevel="0" collapsed="false">
      <c r="L2786" s="37" t="str">
        <f aca="false">IF(C2786="","",IF(C2786&lt;=5,"Night (00-05)",IF(C2786&lt;=11,"Morning (06-11)",IF(C2786&lt;=16,"Afternoon (12-16)",IF(C2786&lt;=20,"Evening (17-20)","Late (21-23)")))))</f>
        <v/>
      </c>
    </row>
    <row r="2787" customFormat="false" ht="15" hidden="false" customHeight="false" outlineLevel="0" collapsed="false">
      <c r="L2787" s="37" t="str">
        <f aca="false">IF(C2787="","",IF(C2787&lt;=5,"Night (00-05)",IF(C2787&lt;=11,"Morning (06-11)",IF(C2787&lt;=16,"Afternoon (12-16)",IF(C2787&lt;=20,"Evening (17-20)","Late (21-23)")))))</f>
        <v/>
      </c>
    </row>
    <row r="2788" customFormat="false" ht="15" hidden="false" customHeight="false" outlineLevel="0" collapsed="false">
      <c r="L2788" s="37" t="str">
        <f aca="false">IF(C2788="","",IF(C2788&lt;=5,"Night (00-05)",IF(C2788&lt;=11,"Morning (06-11)",IF(C2788&lt;=16,"Afternoon (12-16)",IF(C2788&lt;=20,"Evening (17-20)","Late (21-23)")))))</f>
        <v/>
      </c>
    </row>
    <row r="2789" customFormat="false" ht="15" hidden="false" customHeight="false" outlineLevel="0" collapsed="false">
      <c r="L2789" s="37" t="str">
        <f aca="false">IF(C2789="","",IF(C2789&lt;=5,"Night (00-05)",IF(C2789&lt;=11,"Morning (06-11)",IF(C2789&lt;=16,"Afternoon (12-16)",IF(C2789&lt;=20,"Evening (17-20)","Late (21-23)")))))</f>
        <v/>
      </c>
    </row>
    <row r="2790" customFormat="false" ht="15" hidden="false" customHeight="false" outlineLevel="0" collapsed="false">
      <c r="L2790" s="37" t="str">
        <f aca="false">IF(C2790="","",IF(C2790&lt;=5,"Night (00-05)",IF(C2790&lt;=11,"Morning (06-11)",IF(C2790&lt;=16,"Afternoon (12-16)",IF(C2790&lt;=20,"Evening (17-20)","Late (21-23)")))))</f>
        <v/>
      </c>
    </row>
    <row r="2791" customFormat="false" ht="15" hidden="false" customHeight="false" outlineLevel="0" collapsed="false">
      <c r="L2791" s="37" t="str">
        <f aca="false">IF(C2791="","",IF(C2791&lt;=5,"Night (00-05)",IF(C2791&lt;=11,"Morning (06-11)",IF(C2791&lt;=16,"Afternoon (12-16)",IF(C2791&lt;=20,"Evening (17-20)","Late (21-23)")))))</f>
        <v/>
      </c>
    </row>
    <row r="2792" customFormat="false" ht="15" hidden="false" customHeight="false" outlineLevel="0" collapsed="false">
      <c r="L2792" s="37" t="str">
        <f aca="false">IF(C2792="","",IF(C2792&lt;=5,"Night (00-05)",IF(C2792&lt;=11,"Morning (06-11)",IF(C2792&lt;=16,"Afternoon (12-16)",IF(C2792&lt;=20,"Evening (17-20)","Late (21-23)")))))</f>
        <v/>
      </c>
    </row>
    <row r="2793" customFormat="false" ht="15" hidden="false" customHeight="false" outlineLevel="0" collapsed="false">
      <c r="L2793" s="37" t="str">
        <f aca="false">IF(C2793="","",IF(C2793&lt;=5,"Night (00-05)",IF(C2793&lt;=11,"Morning (06-11)",IF(C2793&lt;=16,"Afternoon (12-16)",IF(C2793&lt;=20,"Evening (17-20)","Late (21-23)")))))</f>
        <v/>
      </c>
    </row>
    <row r="2794" customFormat="false" ht="15" hidden="false" customHeight="false" outlineLevel="0" collapsed="false">
      <c r="L2794" s="37" t="str">
        <f aca="false">IF(C2794="","",IF(C2794&lt;=5,"Night (00-05)",IF(C2794&lt;=11,"Morning (06-11)",IF(C2794&lt;=16,"Afternoon (12-16)",IF(C2794&lt;=20,"Evening (17-20)","Late (21-23)")))))</f>
        <v/>
      </c>
    </row>
    <row r="2795" customFormat="false" ht="15" hidden="false" customHeight="false" outlineLevel="0" collapsed="false">
      <c r="L2795" s="37" t="str">
        <f aca="false">IF(C2795="","",IF(C2795&lt;=5,"Night (00-05)",IF(C2795&lt;=11,"Morning (06-11)",IF(C2795&lt;=16,"Afternoon (12-16)",IF(C2795&lt;=20,"Evening (17-20)","Late (21-23)")))))</f>
        <v/>
      </c>
    </row>
    <row r="2796" customFormat="false" ht="15" hidden="false" customHeight="false" outlineLevel="0" collapsed="false">
      <c r="L2796" s="37" t="str">
        <f aca="false">IF(C2796="","",IF(C2796&lt;=5,"Night (00-05)",IF(C2796&lt;=11,"Morning (06-11)",IF(C2796&lt;=16,"Afternoon (12-16)",IF(C2796&lt;=20,"Evening (17-20)","Late (21-23)")))))</f>
        <v/>
      </c>
    </row>
    <row r="2797" customFormat="false" ht="15" hidden="false" customHeight="false" outlineLevel="0" collapsed="false">
      <c r="L2797" s="37" t="str">
        <f aca="false">IF(C2797="","",IF(C2797&lt;=5,"Night (00-05)",IF(C2797&lt;=11,"Morning (06-11)",IF(C2797&lt;=16,"Afternoon (12-16)",IF(C2797&lt;=20,"Evening (17-20)","Late (21-23)")))))</f>
        <v/>
      </c>
    </row>
    <row r="2798" customFormat="false" ht="15" hidden="false" customHeight="false" outlineLevel="0" collapsed="false">
      <c r="L2798" s="37" t="str">
        <f aca="false">IF(C2798="","",IF(C2798&lt;=5,"Night (00-05)",IF(C2798&lt;=11,"Morning (06-11)",IF(C2798&lt;=16,"Afternoon (12-16)",IF(C2798&lt;=20,"Evening (17-20)","Late (21-23)")))))</f>
        <v/>
      </c>
    </row>
    <row r="2799" customFormat="false" ht="15" hidden="false" customHeight="false" outlineLevel="0" collapsed="false">
      <c r="L2799" s="37" t="str">
        <f aca="false">IF(C2799="","",IF(C2799&lt;=5,"Night (00-05)",IF(C2799&lt;=11,"Morning (06-11)",IF(C2799&lt;=16,"Afternoon (12-16)",IF(C2799&lt;=20,"Evening (17-20)","Late (21-23)")))))</f>
        <v/>
      </c>
    </row>
    <row r="2800" customFormat="false" ht="15" hidden="false" customHeight="false" outlineLevel="0" collapsed="false">
      <c r="L2800" s="37" t="str">
        <f aca="false">IF(C2800="","",IF(C2800&lt;=5,"Night (00-05)",IF(C2800&lt;=11,"Morning (06-11)",IF(C2800&lt;=16,"Afternoon (12-16)",IF(C2800&lt;=20,"Evening (17-20)","Late (21-23)")))))</f>
        <v/>
      </c>
    </row>
    <row r="2801" customFormat="false" ht="15" hidden="false" customHeight="false" outlineLevel="0" collapsed="false">
      <c r="L2801" s="37" t="str">
        <f aca="false">IF(C2801="","",IF(C2801&lt;=5,"Night (00-05)",IF(C2801&lt;=11,"Morning (06-11)",IF(C2801&lt;=16,"Afternoon (12-16)",IF(C2801&lt;=20,"Evening (17-20)","Late (21-23)")))))</f>
        <v/>
      </c>
    </row>
    <row r="2802" customFormat="false" ht="15" hidden="false" customHeight="false" outlineLevel="0" collapsed="false">
      <c r="L2802" s="37" t="str">
        <f aca="false">IF(C2802="","",IF(C2802&lt;=5,"Night (00-05)",IF(C2802&lt;=11,"Morning (06-11)",IF(C2802&lt;=16,"Afternoon (12-16)",IF(C2802&lt;=20,"Evening (17-20)","Late (21-23)")))))</f>
        <v/>
      </c>
    </row>
    <row r="2803" customFormat="false" ht="15" hidden="false" customHeight="false" outlineLevel="0" collapsed="false">
      <c r="L2803" s="37" t="str">
        <f aca="false">IF(C2803="","",IF(C2803&lt;=5,"Night (00-05)",IF(C2803&lt;=11,"Morning (06-11)",IF(C2803&lt;=16,"Afternoon (12-16)",IF(C2803&lt;=20,"Evening (17-20)","Late (21-23)")))))</f>
        <v/>
      </c>
    </row>
    <row r="2804" customFormat="false" ht="15" hidden="false" customHeight="false" outlineLevel="0" collapsed="false">
      <c r="L2804" s="37" t="str">
        <f aca="false">IF(C2804="","",IF(C2804&lt;=5,"Night (00-05)",IF(C2804&lt;=11,"Morning (06-11)",IF(C2804&lt;=16,"Afternoon (12-16)",IF(C2804&lt;=20,"Evening (17-20)","Late (21-23)")))))</f>
        <v/>
      </c>
    </row>
    <row r="2805" customFormat="false" ht="15" hidden="false" customHeight="false" outlineLevel="0" collapsed="false">
      <c r="L2805" s="37" t="str">
        <f aca="false">IF(C2805="","",IF(C2805&lt;=5,"Night (00-05)",IF(C2805&lt;=11,"Morning (06-11)",IF(C2805&lt;=16,"Afternoon (12-16)",IF(C2805&lt;=20,"Evening (17-20)","Late (21-23)")))))</f>
        <v/>
      </c>
    </row>
    <row r="2806" customFormat="false" ht="15" hidden="false" customHeight="false" outlineLevel="0" collapsed="false">
      <c r="L2806" s="37" t="str">
        <f aca="false">IF(C2806="","",IF(C2806&lt;=5,"Night (00-05)",IF(C2806&lt;=11,"Morning (06-11)",IF(C2806&lt;=16,"Afternoon (12-16)",IF(C2806&lt;=20,"Evening (17-20)","Late (21-23)")))))</f>
        <v/>
      </c>
    </row>
    <row r="2807" customFormat="false" ht="15" hidden="false" customHeight="false" outlineLevel="0" collapsed="false">
      <c r="L2807" s="37" t="str">
        <f aca="false">IF(C2807="","",IF(C2807&lt;=5,"Night (00-05)",IF(C2807&lt;=11,"Morning (06-11)",IF(C2807&lt;=16,"Afternoon (12-16)",IF(C2807&lt;=20,"Evening (17-20)","Late (21-23)")))))</f>
        <v/>
      </c>
    </row>
    <row r="2808" customFormat="false" ht="15" hidden="false" customHeight="false" outlineLevel="0" collapsed="false">
      <c r="L2808" s="37" t="str">
        <f aca="false">IF(C2808="","",IF(C2808&lt;=5,"Night (00-05)",IF(C2808&lt;=11,"Morning (06-11)",IF(C2808&lt;=16,"Afternoon (12-16)",IF(C2808&lt;=20,"Evening (17-20)","Late (21-23)")))))</f>
        <v/>
      </c>
    </row>
    <row r="2809" customFormat="false" ht="15" hidden="false" customHeight="false" outlineLevel="0" collapsed="false">
      <c r="L2809" s="37" t="str">
        <f aca="false">IF(C2809="","",IF(C2809&lt;=5,"Night (00-05)",IF(C2809&lt;=11,"Morning (06-11)",IF(C2809&lt;=16,"Afternoon (12-16)",IF(C2809&lt;=20,"Evening (17-20)","Late (21-23)")))))</f>
        <v/>
      </c>
    </row>
    <row r="2810" customFormat="false" ht="15" hidden="false" customHeight="false" outlineLevel="0" collapsed="false">
      <c r="L2810" s="37" t="str">
        <f aca="false">IF(C2810="","",IF(C2810&lt;=5,"Night (00-05)",IF(C2810&lt;=11,"Morning (06-11)",IF(C2810&lt;=16,"Afternoon (12-16)",IF(C2810&lt;=20,"Evening (17-20)","Late (21-23)")))))</f>
        <v/>
      </c>
    </row>
    <row r="2811" customFormat="false" ht="15" hidden="false" customHeight="false" outlineLevel="0" collapsed="false">
      <c r="L2811" s="37" t="str">
        <f aca="false">IF(C2811="","",IF(C2811&lt;=5,"Night (00-05)",IF(C2811&lt;=11,"Morning (06-11)",IF(C2811&lt;=16,"Afternoon (12-16)",IF(C2811&lt;=20,"Evening (17-20)","Late (21-23)")))))</f>
        <v/>
      </c>
    </row>
    <row r="2812" customFormat="false" ht="15" hidden="false" customHeight="false" outlineLevel="0" collapsed="false">
      <c r="L2812" s="37" t="str">
        <f aca="false">IF(C2812="","",IF(C2812&lt;=5,"Night (00-05)",IF(C2812&lt;=11,"Morning (06-11)",IF(C2812&lt;=16,"Afternoon (12-16)",IF(C2812&lt;=20,"Evening (17-20)","Late (21-23)")))))</f>
        <v/>
      </c>
    </row>
    <row r="2813" customFormat="false" ht="15" hidden="false" customHeight="false" outlineLevel="0" collapsed="false">
      <c r="L2813" s="37" t="str">
        <f aca="false">IF(C2813="","",IF(C2813&lt;=5,"Night (00-05)",IF(C2813&lt;=11,"Morning (06-11)",IF(C2813&lt;=16,"Afternoon (12-16)",IF(C2813&lt;=20,"Evening (17-20)","Late (21-23)")))))</f>
        <v/>
      </c>
    </row>
    <row r="2814" customFormat="false" ht="15" hidden="false" customHeight="false" outlineLevel="0" collapsed="false">
      <c r="L2814" s="37" t="str">
        <f aca="false">IF(C2814="","",IF(C2814&lt;=5,"Night (00-05)",IF(C2814&lt;=11,"Morning (06-11)",IF(C2814&lt;=16,"Afternoon (12-16)",IF(C2814&lt;=20,"Evening (17-20)","Late (21-23)")))))</f>
        <v/>
      </c>
    </row>
    <row r="2815" customFormat="false" ht="15" hidden="false" customHeight="false" outlineLevel="0" collapsed="false">
      <c r="L2815" s="37" t="str">
        <f aca="false">IF(C2815="","",IF(C2815&lt;=5,"Night (00-05)",IF(C2815&lt;=11,"Morning (06-11)",IF(C2815&lt;=16,"Afternoon (12-16)",IF(C2815&lt;=20,"Evening (17-20)","Late (21-23)")))))</f>
        <v/>
      </c>
    </row>
    <row r="2816" customFormat="false" ht="15" hidden="false" customHeight="false" outlineLevel="0" collapsed="false">
      <c r="L2816" s="37" t="str">
        <f aca="false">IF(C2816="","",IF(C2816&lt;=5,"Night (00-05)",IF(C2816&lt;=11,"Morning (06-11)",IF(C2816&lt;=16,"Afternoon (12-16)",IF(C2816&lt;=20,"Evening (17-20)","Late (21-23)")))))</f>
        <v/>
      </c>
    </row>
    <row r="2817" customFormat="false" ht="15" hidden="false" customHeight="false" outlineLevel="0" collapsed="false">
      <c r="L2817" s="37" t="str">
        <f aca="false">IF(C2817="","",IF(C2817&lt;=5,"Night (00-05)",IF(C2817&lt;=11,"Morning (06-11)",IF(C2817&lt;=16,"Afternoon (12-16)",IF(C2817&lt;=20,"Evening (17-20)","Late (21-23)")))))</f>
        <v/>
      </c>
    </row>
    <row r="2818" customFormat="false" ht="15" hidden="false" customHeight="false" outlineLevel="0" collapsed="false">
      <c r="L2818" s="37" t="str">
        <f aca="false">IF(C2818="","",IF(C2818&lt;=5,"Night (00-05)",IF(C2818&lt;=11,"Morning (06-11)",IF(C2818&lt;=16,"Afternoon (12-16)",IF(C2818&lt;=20,"Evening (17-20)","Late (21-23)")))))</f>
        <v/>
      </c>
    </row>
    <row r="2819" customFormat="false" ht="15" hidden="false" customHeight="false" outlineLevel="0" collapsed="false">
      <c r="L2819" s="37" t="str">
        <f aca="false">IF(C2819="","",IF(C2819&lt;=5,"Night (00-05)",IF(C2819&lt;=11,"Morning (06-11)",IF(C2819&lt;=16,"Afternoon (12-16)",IF(C2819&lt;=20,"Evening (17-20)","Late (21-23)")))))</f>
        <v/>
      </c>
    </row>
    <row r="2820" customFormat="false" ht="15" hidden="false" customHeight="false" outlineLevel="0" collapsed="false">
      <c r="L2820" s="37" t="str">
        <f aca="false">IF(C2820="","",IF(C2820&lt;=5,"Night (00-05)",IF(C2820&lt;=11,"Morning (06-11)",IF(C2820&lt;=16,"Afternoon (12-16)",IF(C2820&lt;=20,"Evening (17-20)","Late (21-23)")))))</f>
        <v/>
      </c>
    </row>
    <row r="2821" customFormat="false" ht="15" hidden="false" customHeight="false" outlineLevel="0" collapsed="false">
      <c r="L2821" s="37" t="str">
        <f aca="false">IF(C2821="","",IF(C2821&lt;=5,"Night (00-05)",IF(C2821&lt;=11,"Morning (06-11)",IF(C2821&lt;=16,"Afternoon (12-16)",IF(C2821&lt;=20,"Evening (17-20)","Late (21-23)")))))</f>
        <v/>
      </c>
    </row>
    <row r="2822" customFormat="false" ht="15" hidden="false" customHeight="false" outlineLevel="0" collapsed="false">
      <c r="L2822" s="37" t="str">
        <f aca="false">IF(C2822="","",IF(C2822&lt;=5,"Night (00-05)",IF(C2822&lt;=11,"Morning (06-11)",IF(C2822&lt;=16,"Afternoon (12-16)",IF(C2822&lt;=20,"Evening (17-20)","Late (21-23)")))))</f>
        <v/>
      </c>
    </row>
    <row r="2823" customFormat="false" ht="15" hidden="false" customHeight="false" outlineLevel="0" collapsed="false">
      <c r="L2823" s="37" t="str">
        <f aca="false">IF(C2823="","",IF(C2823&lt;=5,"Night (00-05)",IF(C2823&lt;=11,"Morning (06-11)",IF(C2823&lt;=16,"Afternoon (12-16)",IF(C2823&lt;=20,"Evening (17-20)","Late (21-23)")))))</f>
        <v/>
      </c>
    </row>
    <row r="2824" customFormat="false" ht="15" hidden="false" customHeight="false" outlineLevel="0" collapsed="false">
      <c r="L2824" s="37" t="str">
        <f aca="false">IF(C2824="","",IF(C2824&lt;=5,"Night (00-05)",IF(C2824&lt;=11,"Morning (06-11)",IF(C2824&lt;=16,"Afternoon (12-16)",IF(C2824&lt;=20,"Evening (17-20)","Late (21-23)")))))</f>
        <v/>
      </c>
    </row>
    <row r="2825" customFormat="false" ht="15" hidden="false" customHeight="false" outlineLevel="0" collapsed="false">
      <c r="L2825" s="37" t="str">
        <f aca="false">IF(C2825="","",IF(C2825&lt;=5,"Night (00-05)",IF(C2825&lt;=11,"Morning (06-11)",IF(C2825&lt;=16,"Afternoon (12-16)",IF(C2825&lt;=20,"Evening (17-20)","Late (21-23)")))))</f>
        <v/>
      </c>
    </row>
    <row r="2826" customFormat="false" ht="15" hidden="false" customHeight="false" outlineLevel="0" collapsed="false">
      <c r="L2826" s="37" t="str">
        <f aca="false">IF(C2826="","",IF(C2826&lt;=5,"Night (00-05)",IF(C2826&lt;=11,"Morning (06-11)",IF(C2826&lt;=16,"Afternoon (12-16)",IF(C2826&lt;=20,"Evening (17-20)","Late (21-23)")))))</f>
        <v/>
      </c>
    </row>
    <row r="2827" customFormat="false" ht="15" hidden="false" customHeight="false" outlineLevel="0" collapsed="false">
      <c r="L2827" s="37" t="str">
        <f aca="false">IF(C2827="","",IF(C2827&lt;=5,"Night (00-05)",IF(C2827&lt;=11,"Morning (06-11)",IF(C2827&lt;=16,"Afternoon (12-16)",IF(C2827&lt;=20,"Evening (17-20)","Late (21-23)")))))</f>
        <v/>
      </c>
    </row>
    <row r="2828" customFormat="false" ht="15" hidden="false" customHeight="false" outlineLevel="0" collapsed="false">
      <c r="L2828" s="37" t="str">
        <f aca="false">IF(C2828="","",IF(C2828&lt;=5,"Night (00-05)",IF(C2828&lt;=11,"Morning (06-11)",IF(C2828&lt;=16,"Afternoon (12-16)",IF(C2828&lt;=20,"Evening (17-20)","Late (21-23)")))))</f>
        <v/>
      </c>
    </row>
    <row r="2829" customFormat="false" ht="15" hidden="false" customHeight="false" outlineLevel="0" collapsed="false">
      <c r="L2829" s="37" t="str">
        <f aca="false">IF(C2829="","",IF(C2829&lt;=5,"Night (00-05)",IF(C2829&lt;=11,"Morning (06-11)",IF(C2829&lt;=16,"Afternoon (12-16)",IF(C2829&lt;=20,"Evening (17-20)","Late (21-23)")))))</f>
        <v/>
      </c>
    </row>
    <row r="2830" customFormat="false" ht="15" hidden="false" customHeight="false" outlineLevel="0" collapsed="false">
      <c r="L2830" s="37" t="str">
        <f aca="false">IF(C2830="","",IF(C2830&lt;=5,"Night (00-05)",IF(C2830&lt;=11,"Morning (06-11)",IF(C2830&lt;=16,"Afternoon (12-16)",IF(C2830&lt;=20,"Evening (17-20)","Late (21-23)")))))</f>
        <v/>
      </c>
    </row>
    <row r="2831" customFormat="false" ht="15" hidden="false" customHeight="false" outlineLevel="0" collapsed="false">
      <c r="L2831" s="37" t="str">
        <f aca="false">IF(C2831="","",IF(C2831&lt;=5,"Night (00-05)",IF(C2831&lt;=11,"Morning (06-11)",IF(C2831&lt;=16,"Afternoon (12-16)",IF(C2831&lt;=20,"Evening (17-20)","Late (21-23)")))))</f>
        <v/>
      </c>
    </row>
    <row r="2832" customFormat="false" ht="15" hidden="false" customHeight="false" outlineLevel="0" collapsed="false">
      <c r="L2832" s="37" t="str">
        <f aca="false">IF(C2832="","",IF(C2832&lt;=5,"Night (00-05)",IF(C2832&lt;=11,"Morning (06-11)",IF(C2832&lt;=16,"Afternoon (12-16)",IF(C2832&lt;=20,"Evening (17-20)","Late (21-23)")))))</f>
        <v/>
      </c>
    </row>
    <row r="2833" customFormat="false" ht="15" hidden="false" customHeight="false" outlineLevel="0" collapsed="false">
      <c r="L2833" s="37" t="str">
        <f aca="false">IF(C2833="","",IF(C2833&lt;=5,"Night (00-05)",IF(C2833&lt;=11,"Morning (06-11)",IF(C2833&lt;=16,"Afternoon (12-16)",IF(C2833&lt;=20,"Evening (17-20)","Late (21-23)")))))</f>
        <v/>
      </c>
    </row>
    <row r="2834" customFormat="false" ht="15" hidden="false" customHeight="false" outlineLevel="0" collapsed="false">
      <c r="L2834" s="37" t="str">
        <f aca="false">IF(C2834="","",IF(C2834&lt;=5,"Night (00-05)",IF(C2834&lt;=11,"Morning (06-11)",IF(C2834&lt;=16,"Afternoon (12-16)",IF(C2834&lt;=20,"Evening (17-20)","Late (21-23)")))))</f>
        <v/>
      </c>
    </row>
    <row r="2835" customFormat="false" ht="15" hidden="false" customHeight="false" outlineLevel="0" collapsed="false">
      <c r="L2835" s="37" t="str">
        <f aca="false">IF(C2835="","",IF(C2835&lt;=5,"Night (00-05)",IF(C2835&lt;=11,"Morning (06-11)",IF(C2835&lt;=16,"Afternoon (12-16)",IF(C2835&lt;=20,"Evening (17-20)","Late (21-23)")))))</f>
        <v/>
      </c>
    </row>
    <row r="2836" customFormat="false" ht="15" hidden="false" customHeight="false" outlineLevel="0" collapsed="false">
      <c r="L2836" s="37" t="str">
        <f aca="false">IF(C2836="","",IF(C2836&lt;=5,"Night (00-05)",IF(C2836&lt;=11,"Morning (06-11)",IF(C2836&lt;=16,"Afternoon (12-16)",IF(C2836&lt;=20,"Evening (17-20)","Late (21-23)")))))</f>
        <v/>
      </c>
    </row>
    <row r="2837" customFormat="false" ht="15" hidden="false" customHeight="false" outlineLevel="0" collapsed="false">
      <c r="L2837" s="37" t="str">
        <f aca="false">IF(C2837="","",IF(C2837&lt;=5,"Night (00-05)",IF(C2837&lt;=11,"Morning (06-11)",IF(C2837&lt;=16,"Afternoon (12-16)",IF(C2837&lt;=20,"Evening (17-20)","Late (21-23)")))))</f>
        <v/>
      </c>
    </row>
    <row r="2838" customFormat="false" ht="15" hidden="false" customHeight="false" outlineLevel="0" collapsed="false">
      <c r="L2838" s="37" t="str">
        <f aca="false">IF(C2838="","",IF(C2838&lt;=5,"Night (00-05)",IF(C2838&lt;=11,"Morning (06-11)",IF(C2838&lt;=16,"Afternoon (12-16)",IF(C2838&lt;=20,"Evening (17-20)","Late (21-23)")))))</f>
        <v/>
      </c>
    </row>
    <row r="2839" customFormat="false" ht="15" hidden="false" customHeight="false" outlineLevel="0" collapsed="false">
      <c r="L2839" s="37" t="str">
        <f aca="false">IF(C2839="","",IF(C2839&lt;=5,"Night (00-05)",IF(C2839&lt;=11,"Morning (06-11)",IF(C2839&lt;=16,"Afternoon (12-16)",IF(C2839&lt;=20,"Evening (17-20)","Late (21-23)")))))</f>
        <v/>
      </c>
    </row>
    <row r="2840" customFormat="false" ht="15" hidden="false" customHeight="false" outlineLevel="0" collapsed="false">
      <c r="L2840" s="37" t="str">
        <f aca="false">IF(C2840="","",IF(C2840&lt;=5,"Night (00-05)",IF(C2840&lt;=11,"Morning (06-11)",IF(C2840&lt;=16,"Afternoon (12-16)",IF(C2840&lt;=20,"Evening (17-20)","Late (21-23)")))))</f>
        <v/>
      </c>
    </row>
    <row r="2841" customFormat="false" ht="15" hidden="false" customHeight="false" outlineLevel="0" collapsed="false">
      <c r="L2841" s="37" t="str">
        <f aca="false">IF(C2841="","",IF(C2841&lt;=5,"Night (00-05)",IF(C2841&lt;=11,"Morning (06-11)",IF(C2841&lt;=16,"Afternoon (12-16)",IF(C2841&lt;=20,"Evening (17-20)","Late (21-23)")))))</f>
        <v/>
      </c>
    </row>
    <row r="2842" customFormat="false" ht="15" hidden="false" customHeight="false" outlineLevel="0" collapsed="false">
      <c r="L2842" s="37" t="str">
        <f aca="false">IF(C2842="","",IF(C2842&lt;=5,"Night (00-05)",IF(C2842&lt;=11,"Morning (06-11)",IF(C2842&lt;=16,"Afternoon (12-16)",IF(C2842&lt;=20,"Evening (17-20)","Late (21-23)")))))</f>
        <v/>
      </c>
    </row>
    <row r="2843" customFormat="false" ht="15" hidden="false" customHeight="false" outlineLevel="0" collapsed="false">
      <c r="L2843" s="37" t="str">
        <f aca="false">IF(C2843="","",IF(C2843&lt;=5,"Night (00-05)",IF(C2843&lt;=11,"Morning (06-11)",IF(C2843&lt;=16,"Afternoon (12-16)",IF(C2843&lt;=20,"Evening (17-20)","Late (21-23)")))))</f>
        <v/>
      </c>
    </row>
    <row r="2844" customFormat="false" ht="15" hidden="false" customHeight="false" outlineLevel="0" collapsed="false">
      <c r="L2844" s="37" t="str">
        <f aca="false">IF(C2844="","",IF(C2844&lt;=5,"Night (00-05)",IF(C2844&lt;=11,"Morning (06-11)",IF(C2844&lt;=16,"Afternoon (12-16)",IF(C2844&lt;=20,"Evening (17-20)","Late (21-23)")))))</f>
        <v/>
      </c>
    </row>
    <row r="2845" customFormat="false" ht="15" hidden="false" customHeight="false" outlineLevel="0" collapsed="false">
      <c r="L2845" s="37" t="str">
        <f aca="false">IF(C2845="","",IF(C2845&lt;=5,"Night (00-05)",IF(C2845&lt;=11,"Morning (06-11)",IF(C2845&lt;=16,"Afternoon (12-16)",IF(C2845&lt;=20,"Evening (17-20)","Late (21-23)")))))</f>
        <v/>
      </c>
    </row>
    <row r="2846" customFormat="false" ht="15" hidden="false" customHeight="false" outlineLevel="0" collapsed="false">
      <c r="L2846" s="37" t="str">
        <f aca="false">IF(C2846="","",IF(C2846&lt;=5,"Night (00-05)",IF(C2846&lt;=11,"Morning (06-11)",IF(C2846&lt;=16,"Afternoon (12-16)",IF(C2846&lt;=20,"Evening (17-20)","Late (21-23)")))))</f>
        <v/>
      </c>
    </row>
    <row r="2847" customFormat="false" ht="15" hidden="false" customHeight="false" outlineLevel="0" collapsed="false">
      <c r="L2847" s="37" t="str">
        <f aca="false">IF(C2847="","",IF(C2847&lt;=5,"Night (00-05)",IF(C2847&lt;=11,"Morning (06-11)",IF(C2847&lt;=16,"Afternoon (12-16)",IF(C2847&lt;=20,"Evening (17-20)","Late (21-23)")))))</f>
        <v/>
      </c>
    </row>
    <row r="2848" customFormat="false" ht="15" hidden="false" customHeight="false" outlineLevel="0" collapsed="false">
      <c r="L2848" s="37" t="str">
        <f aca="false">IF(C2848="","",IF(C2848&lt;=5,"Night (00-05)",IF(C2848&lt;=11,"Morning (06-11)",IF(C2848&lt;=16,"Afternoon (12-16)",IF(C2848&lt;=20,"Evening (17-20)","Late (21-23)")))))</f>
        <v/>
      </c>
    </row>
    <row r="2849" customFormat="false" ht="15" hidden="false" customHeight="false" outlineLevel="0" collapsed="false">
      <c r="L2849" s="37" t="str">
        <f aca="false">IF(C2849="","",IF(C2849&lt;=5,"Night (00-05)",IF(C2849&lt;=11,"Morning (06-11)",IF(C2849&lt;=16,"Afternoon (12-16)",IF(C2849&lt;=20,"Evening (17-20)","Late (21-23)")))))</f>
        <v/>
      </c>
    </row>
    <row r="2850" customFormat="false" ht="15" hidden="false" customHeight="false" outlineLevel="0" collapsed="false">
      <c r="L2850" s="37" t="str">
        <f aca="false">IF(C2850="","",IF(C2850&lt;=5,"Night (00-05)",IF(C2850&lt;=11,"Morning (06-11)",IF(C2850&lt;=16,"Afternoon (12-16)",IF(C2850&lt;=20,"Evening (17-20)","Late (21-23)")))))</f>
        <v/>
      </c>
    </row>
    <row r="2851" customFormat="false" ht="15" hidden="false" customHeight="false" outlineLevel="0" collapsed="false">
      <c r="L2851" s="37" t="str">
        <f aca="false">IF(C2851="","",IF(C2851&lt;=5,"Night (00-05)",IF(C2851&lt;=11,"Morning (06-11)",IF(C2851&lt;=16,"Afternoon (12-16)",IF(C2851&lt;=20,"Evening (17-20)","Late (21-23)")))))</f>
        <v/>
      </c>
    </row>
    <row r="2852" customFormat="false" ht="15" hidden="false" customHeight="false" outlineLevel="0" collapsed="false">
      <c r="L2852" s="37" t="str">
        <f aca="false">IF(C2852="","",IF(C2852&lt;=5,"Night (00-05)",IF(C2852&lt;=11,"Morning (06-11)",IF(C2852&lt;=16,"Afternoon (12-16)",IF(C2852&lt;=20,"Evening (17-20)","Late (21-23)")))))</f>
        <v/>
      </c>
    </row>
    <row r="2853" customFormat="false" ht="15" hidden="false" customHeight="false" outlineLevel="0" collapsed="false">
      <c r="L2853" s="37" t="str">
        <f aca="false">IF(C2853="","",IF(C2853&lt;=5,"Night (00-05)",IF(C2853&lt;=11,"Morning (06-11)",IF(C2853&lt;=16,"Afternoon (12-16)",IF(C2853&lt;=20,"Evening (17-20)","Late (21-23)")))))</f>
        <v/>
      </c>
    </row>
    <row r="2854" customFormat="false" ht="15" hidden="false" customHeight="false" outlineLevel="0" collapsed="false">
      <c r="L2854" s="37" t="str">
        <f aca="false">IF(C2854="","",IF(C2854&lt;=5,"Night (00-05)",IF(C2854&lt;=11,"Morning (06-11)",IF(C2854&lt;=16,"Afternoon (12-16)",IF(C2854&lt;=20,"Evening (17-20)","Late (21-23)")))))</f>
        <v/>
      </c>
    </row>
    <row r="2855" customFormat="false" ht="15" hidden="false" customHeight="false" outlineLevel="0" collapsed="false">
      <c r="L2855" s="37" t="str">
        <f aca="false">IF(C2855="","",IF(C2855&lt;=5,"Night (00-05)",IF(C2855&lt;=11,"Morning (06-11)",IF(C2855&lt;=16,"Afternoon (12-16)",IF(C2855&lt;=20,"Evening (17-20)","Late (21-23)")))))</f>
        <v/>
      </c>
    </row>
    <row r="2856" customFormat="false" ht="15" hidden="false" customHeight="false" outlineLevel="0" collapsed="false">
      <c r="L2856" s="37" t="str">
        <f aca="false">IF(C2856="","",IF(C2856&lt;=5,"Night (00-05)",IF(C2856&lt;=11,"Morning (06-11)",IF(C2856&lt;=16,"Afternoon (12-16)",IF(C2856&lt;=20,"Evening (17-20)","Late (21-23)")))))</f>
        <v/>
      </c>
    </row>
    <row r="2857" customFormat="false" ht="15" hidden="false" customHeight="false" outlineLevel="0" collapsed="false">
      <c r="L2857" s="37" t="str">
        <f aca="false">IF(C2857="","",IF(C2857&lt;=5,"Night (00-05)",IF(C2857&lt;=11,"Morning (06-11)",IF(C2857&lt;=16,"Afternoon (12-16)",IF(C2857&lt;=20,"Evening (17-20)","Late (21-23)")))))</f>
        <v/>
      </c>
    </row>
    <row r="2858" customFormat="false" ht="15" hidden="false" customHeight="false" outlineLevel="0" collapsed="false">
      <c r="L2858" s="37" t="str">
        <f aca="false">IF(C2858="","",IF(C2858&lt;=5,"Night (00-05)",IF(C2858&lt;=11,"Morning (06-11)",IF(C2858&lt;=16,"Afternoon (12-16)",IF(C2858&lt;=20,"Evening (17-20)","Late (21-23)")))))</f>
        <v/>
      </c>
    </row>
    <row r="2859" customFormat="false" ht="15" hidden="false" customHeight="false" outlineLevel="0" collapsed="false">
      <c r="L2859" s="37" t="str">
        <f aca="false">IF(C2859="","",IF(C2859&lt;=5,"Night (00-05)",IF(C2859&lt;=11,"Morning (06-11)",IF(C2859&lt;=16,"Afternoon (12-16)",IF(C2859&lt;=20,"Evening (17-20)","Late (21-23)")))))</f>
        <v/>
      </c>
    </row>
    <row r="2860" customFormat="false" ht="15" hidden="false" customHeight="false" outlineLevel="0" collapsed="false">
      <c r="L2860" s="37" t="str">
        <f aca="false">IF(C2860="","",IF(C2860&lt;=5,"Night (00-05)",IF(C2860&lt;=11,"Morning (06-11)",IF(C2860&lt;=16,"Afternoon (12-16)",IF(C2860&lt;=20,"Evening (17-20)","Late (21-23)")))))</f>
        <v/>
      </c>
    </row>
    <row r="2861" customFormat="false" ht="15" hidden="false" customHeight="false" outlineLevel="0" collapsed="false">
      <c r="L2861" s="37" t="str">
        <f aca="false">IF(C2861="","",IF(C2861&lt;=5,"Night (00-05)",IF(C2861&lt;=11,"Morning (06-11)",IF(C2861&lt;=16,"Afternoon (12-16)",IF(C2861&lt;=20,"Evening (17-20)","Late (21-23)")))))</f>
        <v/>
      </c>
    </row>
    <row r="2862" customFormat="false" ht="15" hidden="false" customHeight="false" outlineLevel="0" collapsed="false">
      <c r="L2862" s="37" t="str">
        <f aca="false">IF(C2862="","",IF(C2862&lt;=5,"Night (00-05)",IF(C2862&lt;=11,"Morning (06-11)",IF(C2862&lt;=16,"Afternoon (12-16)",IF(C2862&lt;=20,"Evening (17-20)","Late (21-23)")))))</f>
        <v/>
      </c>
    </row>
    <row r="2863" customFormat="false" ht="15" hidden="false" customHeight="false" outlineLevel="0" collapsed="false">
      <c r="L2863" s="37" t="str">
        <f aca="false">IF(C2863="","",IF(C2863&lt;=5,"Night (00-05)",IF(C2863&lt;=11,"Morning (06-11)",IF(C2863&lt;=16,"Afternoon (12-16)",IF(C2863&lt;=20,"Evening (17-20)","Late (21-23)")))))</f>
        <v/>
      </c>
    </row>
    <row r="2864" customFormat="false" ht="15" hidden="false" customHeight="false" outlineLevel="0" collapsed="false">
      <c r="L2864" s="37" t="str">
        <f aca="false">IF(C2864="","",IF(C2864&lt;=5,"Night (00-05)",IF(C2864&lt;=11,"Morning (06-11)",IF(C2864&lt;=16,"Afternoon (12-16)",IF(C2864&lt;=20,"Evening (17-20)","Late (21-23)")))))</f>
        <v/>
      </c>
    </row>
    <row r="2865" customFormat="false" ht="15" hidden="false" customHeight="false" outlineLevel="0" collapsed="false">
      <c r="L2865" s="37" t="str">
        <f aca="false">IF(C2865="","",IF(C2865&lt;=5,"Night (00-05)",IF(C2865&lt;=11,"Morning (06-11)",IF(C2865&lt;=16,"Afternoon (12-16)",IF(C2865&lt;=20,"Evening (17-20)","Late (21-23)")))))</f>
        <v/>
      </c>
    </row>
    <row r="2866" customFormat="false" ht="15" hidden="false" customHeight="false" outlineLevel="0" collapsed="false">
      <c r="L2866" s="37" t="str">
        <f aca="false">IF(C2866="","",IF(C2866&lt;=5,"Night (00-05)",IF(C2866&lt;=11,"Morning (06-11)",IF(C2866&lt;=16,"Afternoon (12-16)",IF(C2866&lt;=20,"Evening (17-20)","Late (21-23)")))))</f>
        <v/>
      </c>
    </row>
    <row r="2867" customFormat="false" ht="15" hidden="false" customHeight="false" outlineLevel="0" collapsed="false">
      <c r="L2867" s="37" t="str">
        <f aca="false">IF(C2867="","",IF(C2867&lt;=5,"Night (00-05)",IF(C2867&lt;=11,"Morning (06-11)",IF(C2867&lt;=16,"Afternoon (12-16)",IF(C2867&lt;=20,"Evening (17-20)","Late (21-23)")))))</f>
        <v/>
      </c>
    </row>
    <row r="2868" customFormat="false" ht="15" hidden="false" customHeight="false" outlineLevel="0" collapsed="false">
      <c r="L2868" s="37" t="str">
        <f aca="false">IF(C2868="","",IF(C2868&lt;=5,"Night (00-05)",IF(C2868&lt;=11,"Morning (06-11)",IF(C2868&lt;=16,"Afternoon (12-16)",IF(C2868&lt;=20,"Evening (17-20)","Late (21-23)")))))</f>
        <v/>
      </c>
    </row>
    <row r="2869" customFormat="false" ht="15" hidden="false" customHeight="false" outlineLevel="0" collapsed="false">
      <c r="L2869" s="37" t="str">
        <f aca="false">IF(C2869="","",IF(C2869&lt;=5,"Night (00-05)",IF(C2869&lt;=11,"Morning (06-11)",IF(C2869&lt;=16,"Afternoon (12-16)",IF(C2869&lt;=20,"Evening (17-20)","Late (21-23)")))))</f>
        <v/>
      </c>
    </row>
    <row r="2870" customFormat="false" ht="15" hidden="false" customHeight="false" outlineLevel="0" collapsed="false">
      <c r="L2870" s="37" t="str">
        <f aca="false">IF(C2870="","",IF(C2870&lt;=5,"Night (00-05)",IF(C2870&lt;=11,"Morning (06-11)",IF(C2870&lt;=16,"Afternoon (12-16)",IF(C2870&lt;=20,"Evening (17-20)","Late (21-23)")))))</f>
        <v/>
      </c>
    </row>
    <row r="2871" customFormat="false" ht="15" hidden="false" customHeight="false" outlineLevel="0" collapsed="false">
      <c r="L2871" s="37" t="str">
        <f aca="false">IF(C2871="","",IF(C2871&lt;=5,"Night (00-05)",IF(C2871&lt;=11,"Morning (06-11)",IF(C2871&lt;=16,"Afternoon (12-16)",IF(C2871&lt;=20,"Evening (17-20)","Late (21-23)")))))</f>
        <v/>
      </c>
    </row>
    <row r="2872" customFormat="false" ht="15" hidden="false" customHeight="false" outlineLevel="0" collapsed="false">
      <c r="L2872" s="37" t="str">
        <f aca="false">IF(C2872="","",IF(C2872&lt;=5,"Night (00-05)",IF(C2872&lt;=11,"Morning (06-11)",IF(C2872&lt;=16,"Afternoon (12-16)",IF(C2872&lt;=20,"Evening (17-20)","Late (21-23)")))))</f>
        <v/>
      </c>
    </row>
    <row r="2873" customFormat="false" ht="15" hidden="false" customHeight="false" outlineLevel="0" collapsed="false">
      <c r="L2873" s="37" t="str">
        <f aca="false">IF(C2873="","",IF(C2873&lt;=5,"Night (00-05)",IF(C2873&lt;=11,"Morning (06-11)",IF(C2873&lt;=16,"Afternoon (12-16)",IF(C2873&lt;=20,"Evening (17-20)","Late (21-23)")))))</f>
        <v/>
      </c>
    </row>
    <row r="2874" customFormat="false" ht="15" hidden="false" customHeight="false" outlineLevel="0" collapsed="false">
      <c r="L2874" s="37" t="str">
        <f aca="false">IF(C2874="","",IF(C2874&lt;=5,"Night (00-05)",IF(C2874&lt;=11,"Morning (06-11)",IF(C2874&lt;=16,"Afternoon (12-16)",IF(C2874&lt;=20,"Evening (17-20)","Late (21-23)")))))</f>
        <v/>
      </c>
    </row>
    <row r="2875" customFormat="false" ht="15" hidden="false" customHeight="false" outlineLevel="0" collapsed="false">
      <c r="L2875" s="37" t="str">
        <f aca="false">IF(C2875="","",IF(C2875&lt;=5,"Night (00-05)",IF(C2875&lt;=11,"Morning (06-11)",IF(C2875&lt;=16,"Afternoon (12-16)",IF(C2875&lt;=20,"Evening (17-20)","Late (21-23)")))))</f>
        <v/>
      </c>
    </row>
    <row r="2876" customFormat="false" ht="15" hidden="false" customHeight="false" outlineLevel="0" collapsed="false">
      <c r="L2876" s="37" t="str">
        <f aca="false">IF(C2876="","",IF(C2876&lt;=5,"Night (00-05)",IF(C2876&lt;=11,"Morning (06-11)",IF(C2876&lt;=16,"Afternoon (12-16)",IF(C2876&lt;=20,"Evening (17-20)","Late (21-23)")))))</f>
        <v/>
      </c>
    </row>
    <row r="2877" customFormat="false" ht="15" hidden="false" customHeight="false" outlineLevel="0" collapsed="false">
      <c r="L2877" s="37" t="str">
        <f aca="false">IF(C2877="","",IF(C2877&lt;=5,"Night (00-05)",IF(C2877&lt;=11,"Morning (06-11)",IF(C2877&lt;=16,"Afternoon (12-16)",IF(C2877&lt;=20,"Evening (17-20)","Late (21-23)")))))</f>
        <v/>
      </c>
    </row>
    <row r="2878" customFormat="false" ht="15" hidden="false" customHeight="false" outlineLevel="0" collapsed="false">
      <c r="L2878" s="37" t="str">
        <f aca="false">IF(C2878="","",IF(C2878&lt;=5,"Night (00-05)",IF(C2878&lt;=11,"Morning (06-11)",IF(C2878&lt;=16,"Afternoon (12-16)",IF(C2878&lt;=20,"Evening (17-20)","Late (21-23)")))))</f>
        <v/>
      </c>
    </row>
    <row r="2879" customFormat="false" ht="15" hidden="false" customHeight="false" outlineLevel="0" collapsed="false">
      <c r="L2879" s="37" t="str">
        <f aca="false">IF(C2879="","",IF(C2879&lt;=5,"Night (00-05)",IF(C2879&lt;=11,"Morning (06-11)",IF(C2879&lt;=16,"Afternoon (12-16)",IF(C2879&lt;=20,"Evening (17-20)","Late (21-23)")))))</f>
        <v/>
      </c>
    </row>
    <row r="2880" customFormat="false" ht="15" hidden="false" customHeight="false" outlineLevel="0" collapsed="false">
      <c r="L2880" s="37" t="str">
        <f aca="false">IF(C2880="","",IF(C2880&lt;=5,"Night (00-05)",IF(C2880&lt;=11,"Morning (06-11)",IF(C2880&lt;=16,"Afternoon (12-16)",IF(C2880&lt;=20,"Evening (17-20)","Late (21-23)")))))</f>
        <v/>
      </c>
    </row>
    <row r="2881" customFormat="false" ht="15" hidden="false" customHeight="false" outlineLevel="0" collapsed="false">
      <c r="L2881" s="37" t="str">
        <f aca="false">IF(C2881="","",IF(C2881&lt;=5,"Night (00-05)",IF(C2881&lt;=11,"Morning (06-11)",IF(C2881&lt;=16,"Afternoon (12-16)",IF(C2881&lt;=20,"Evening (17-20)","Late (21-23)")))))</f>
        <v/>
      </c>
    </row>
    <row r="2882" customFormat="false" ht="15" hidden="false" customHeight="false" outlineLevel="0" collapsed="false">
      <c r="L2882" s="37" t="str">
        <f aca="false">IF(C2882="","",IF(C2882&lt;=5,"Night (00-05)",IF(C2882&lt;=11,"Morning (06-11)",IF(C2882&lt;=16,"Afternoon (12-16)",IF(C2882&lt;=20,"Evening (17-20)","Late (21-23)")))))</f>
        <v/>
      </c>
    </row>
    <row r="2883" customFormat="false" ht="15" hidden="false" customHeight="false" outlineLevel="0" collapsed="false">
      <c r="L2883" s="37" t="str">
        <f aca="false">IF(C2883="","",IF(C2883&lt;=5,"Night (00-05)",IF(C2883&lt;=11,"Morning (06-11)",IF(C2883&lt;=16,"Afternoon (12-16)",IF(C2883&lt;=20,"Evening (17-20)","Late (21-23)")))))</f>
        <v/>
      </c>
    </row>
    <row r="2884" customFormat="false" ht="15" hidden="false" customHeight="false" outlineLevel="0" collapsed="false">
      <c r="L2884" s="37" t="str">
        <f aca="false">IF(C2884="","",IF(C2884&lt;=5,"Night (00-05)",IF(C2884&lt;=11,"Morning (06-11)",IF(C2884&lt;=16,"Afternoon (12-16)",IF(C2884&lt;=20,"Evening (17-20)","Late (21-23)")))))</f>
        <v/>
      </c>
    </row>
    <row r="2885" customFormat="false" ht="15" hidden="false" customHeight="false" outlineLevel="0" collapsed="false">
      <c r="L2885" s="37" t="str">
        <f aca="false">IF(C2885="","",IF(C2885&lt;=5,"Night (00-05)",IF(C2885&lt;=11,"Morning (06-11)",IF(C2885&lt;=16,"Afternoon (12-16)",IF(C2885&lt;=20,"Evening (17-20)","Late (21-23)")))))</f>
        <v/>
      </c>
    </row>
    <row r="2886" customFormat="false" ht="15" hidden="false" customHeight="false" outlineLevel="0" collapsed="false">
      <c r="L2886" s="37" t="str">
        <f aca="false">IF(C2886="","",IF(C2886&lt;=5,"Night (00-05)",IF(C2886&lt;=11,"Morning (06-11)",IF(C2886&lt;=16,"Afternoon (12-16)",IF(C2886&lt;=20,"Evening (17-20)","Late (21-23)")))))</f>
        <v/>
      </c>
    </row>
    <row r="2887" customFormat="false" ht="15" hidden="false" customHeight="false" outlineLevel="0" collapsed="false">
      <c r="L2887" s="37" t="str">
        <f aca="false">IF(C2887="","",IF(C2887&lt;=5,"Night (00-05)",IF(C2887&lt;=11,"Morning (06-11)",IF(C2887&lt;=16,"Afternoon (12-16)",IF(C2887&lt;=20,"Evening (17-20)","Late (21-23)")))))</f>
        <v/>
      </c>
    </row>
    <row r="2888" customFormat="false" ht="15" hidden="false" customHeight="false" outlineLevel="0" collapsed="false">
      <c r="L2888" s="37" t="str">
        <f aca="false">IF(C2888="","",IF(C2888&lt;=5,"Night (00-05)",IF(C2888&lt;=11,"Morning (06-11)",IF(C2888&lt;=16,"Afternoon (12-16)",IF(C2888&lt;=20,"Evening (17-20)","Late (21-23)")))))</f>
        <v/>
      </c>
    </row>
    <row r="2889" customFormat="false" ht="15" hidden="false" customHeight="false" outlineLevel="0" collapsed="false">
      <c r="L2889" s="37" t="str">
        <f aca="false">IF(C2889="","",IF(C2889&lt;=5,"Night (00-05)",IF(C2889&lt;=11,"Morning (06-11)",IF(C2889&lt;=16,"Afternoon (12-16)",IF(C2889&lt;=20,"Evening (17-20)","Late (21-23)")))))</f>
        <v/>
      </c>
    </row>
    <row r="2890" customFormat="false" ht="15" hidden="false" customHeight="false" outlineLevel="0" collapsed="false">
      <c r="L2890" s="37" t="str">
        <f aca="false">IF(C2890="","",IF(C2890&lt;=5,"Night (00-05)",IF(C2890&lt;=11,"Morning (06-11)",IF(C2890&lt;=16,"Afternoon (12-16)",IF(C2890&lt;=20,"Evening (17-20)","Late (21-23)")))))</f>
        <v/>
      </c>
    </row>
    <row r="2891" customFormat="false" ht="15" hidden="false" customHeight="false" outlineLevel="0" collapsed="false">
      <c r="L2891" s="37" t="str">
        <f aca="false">IF(C2891="","",IF(C2891&lt;=5,"Night (00-05)",IF(C2891&lt;=11,"Morning (06-11)",IF(C2891&lt;=16,"Afternoon (12-16)",IF(C2891&lt;=20,"Evening (17-20)","Late (21-23)")))))</f>
        <v/>
      </c>
    </row>
    <row r="2892" customFormat="false" ht="15" hidden="false" customHeight="false" outlineLevel="0" collapsed="false">
      <c r="L2892" s="37" t="str">
        <f aca="false">IF(C2892="","",IF(C2892&lt;=5,"Night (00-05)",IF(C2892&lt;=11,"Morning (06-11)",IF(C2892&lt;=16,"Afternoon (12-16)",IF(C2892&lt;=20,"Evening (17-20)","Late (21-23)")))))</f>
        <v/>
      </c>
    </row>
    <row r="2893" customFormat="false" ht="15" hidden="false" customHeight="false" outlineLevel="0" collapsed="false">
      <c r="L2893" s="37" t="str">
        <f aca="false">IF(C2893="","",IF(C2893&lt;=5,"Night (00-05)",IF(C2893&lt;=11,"Morning (06-11)",IF(C2893&lt;=16,"Afternoon (12-16)",IF(C2893&lt;=20,"Evening (17-20)","Late (21-23)")))))</f>
        <v/>
      </c>
    </row>
    <row r="2894" customFormat="false" ht="15" hidden="false" customHeight="false" outlineLevel="0" collapsed="false">
      <c r="L2894" s="37" t="str">
        <f aca="false">IF(C2894="","",IF(C2894&lt;=5,"Night (00-05)",IF(C2894&lt;=11,"Morning (06-11)",IF(C2894&lt;=16,"Afternoon (12-16)",IF(C2894&lt;=20,"Evening (17-20)","Late (21-23)")))))</f>
        <v/>
      </c>
    </row>
    <row r="2895" customFormat="false" ht="15" hidden="false" customHeight="false" outlineLevel="0" collapsed="false">
      <c r="L2895" s="37" t="str">
        <f aca="false">IF(C2895="","",IF(C2895&lt;=5,"Night (00-05)",IF(C2895&lt;=11,"Morning (06-11)",IF(C2895&lt;=16,"Afternoon (12-16)",IF(C2895&lt;=20,"Evening (17-20)","Late (21-23)")))))</f>
        <v/>
      </c>
    </row>
    <row r="2896" customFormat="false" ht="15" hidden="false" customHeight="false" outlineLevel="0" collapsed="false">
      <c r="L2896" s="37" t="str">
        <f aca="false">IF(C2896="","",IF(C2896&lt;=5,"Night (00-05)",IF(C2896&lt;=11,"Morning (06-11)",IF(C2896&lt;=16,"Afternoon (12-16)",IF(C2896&lt;=20,"Evening (17-20)","Late (21-23)")))))</f>
        <v/>
      </c>
    </row>
    <row r="2897" customFormat="false" ht="15" hidden="false" customHeight="false" outlineLevel="0" collapsed="false">
      <c r="L2897" s="37" t="str">
        <f aca="false">IF(C2897="","",IF(C2897&lt;=5,"Night (00-05)",IF(C2897&lt;=11,"Morning (06-11)",IF(C2897&lt;=16,"Afternoon (12-16)",IF(C2897&lt;=20,"Evening (17-20)","Late (21-23)")))))</f>
        <v/>
      </c>
    </row>
    <row r="2898" customFormat="false" ht="15" hidden="false" customHeight="false" outlineLevel="0" collapsed="false">
      <c r="L2898" s="37" t="str">
        <f aca="false">IF(C2898="","",IF(C2898&lt;=5,"Night (00-05)",IF(C2898&lt;=11,"Morning (06-11)",IF(C2898&lt;=16,"Afternoon (12-16)",IF(C2898&lt;=20,"Evening (17-20)","Late (21-23)")))))</f>
        <v/>
      </c>
    </row>
    <row r="2899" customFormat="false" ht="15" hidden="false" customHeight="false" outlineLevel="0" collapsed="false">
      <c r="L2899" s="37" t="str">
        <f aca="false">IF(C2899="","",IF(C2899&lt;=5,"Night (00-05)",IF(C2899&lt;=11,"Morning (06-11)",IF(C2899&lt;=16,"Afternoon (12-16)",IF(C2899&lt;=20,"Evening (17-20)","Late (21-23)")))))</f>
        <v/>
      </c>
    </row>
    <row r="2900" customFormat="false" ht="15" hidden="false" customHeight="false" outlineLevel="0" collapsed="false">
      <c r="L2900" s="37" t="str">
        <f aca="false">IF(C2900="","",IF(C2900&lt;=5,"Night (00-05)",IF(C2900&lt;=11,"Morning (06-11)",IF(C2900&lt;=16,"Afternoon (12-16)",IF(C2900&lt;=20,"Evening (17-20)","Late (21-23)")))))</f>
        <v/>
      </c>
    </row>
    <row r="2901" customFormat="false" ht="15" hidden="false" customHeight="false" outlineLevel="0" collapsed="false">
      <c r="L2901" s="37" t="str">
        <f aca="false">IF(C2901="","",IF(C2901&lt;=5,"Night (00-05)",IF(C2901&lt;=11,"Morning (06-11)",IF(C2901&lt;=16,"Afternoon (12-16)",IF(C2901&lt;=20,"Evening (17-20)","Late (21-23)")))))</f>
        <v/>
      </c>
    </row>
    <row r="2902" customFormat="false" ht="15" hidden="false" customHeight="false" outlineLevel="0" collapsed="false">
      <c r="L2902" s="37" t="str">
        <f aca="false">IF(C2902="","",IF(C2902&lt;=5,"Night (00-05)",IF(C2902&lt;=11,"Morning (06-11)",IF(C2902&lt;=16,"Afternoon (12-16)",IF(C2902&lt;=20,"Evening (17-20)","Late (21-23)")))))</f>
        <v/>
      </c>
    </row>
    <row r="2903" customFormat="false" ht="15" hidden="false" customHeight="false" outlineLevel="0" collapsed="false">
      <c r="L2903" s="37" t="str">
        <f aca="false">IF(C2903="","",IF(C2903&lt;=5,"Night (00-05)",IF(C2903&lt;=11,"Morning (06-11)",IF(C2903&lt;=16,"Afternoon (12-16)",IF(C2903&lt;=20,"Evening (17-20)","Late (21-23)")))))</f>
        <v/>
      </c>
    </row>
    <row r="2904" customFormat="false" ht="15" hidden="false" customHeight="false" outlineLevel="0" collapsed="false">
      <c r="L2904" s="37" t="str">
        <f aca="false">IF(C2904="","",IF(C2904&lt;=5,"Night (00-05)",IF(C2904&lt;=11,"Morning (06-11)",IF(C2904&lt;=16,"Afternoon (12-16)",IF(C2904&lt;=20,"Evening (17-20)","Late (21-23)")))))</f>
        <v/>
      </c>
    </row>
    <row r="2905" customFormat="false" ht="15" hidden="false" customHeight="false" outlineLevel="0" collapsed="false">
      <c r="L2905" s="37" t="str">
        <f aca="false">IF(C2905="","",IF(C2905&lt;=5,"Night (00-05)",IF(C2905&lt;=11,"Morning (06-11)",IF(C2905&lt;=16,"Afternoon (12-16)",IF(C2905&lt;=20,"Evening (17-20)","Late (21-23)")))))</f>
        <v/>
      </c>
    </row>
    <row r="2906" customFormat="false" ht="15" hidden="false" customHeight="false" outlineLevel="0" collapsed="false">
      <c r="L2906" s="37" t="str">
        <f aca="false">IF(C2906="","",IF(C2906&lt;=5,"Night (00-05)",IF(C2906&lt;=11,"Morning (06-11)",IF(C2906&lt;=16,"Afternoon (12-16)",IF(C2906&lt;=20,"Evening (17-20)","Late (21-23)")))))</f>
        <v/>
      </c>
    </row>
    <row r="2907" customFormat="false" ht="15" hidden="false" customHeight="false" outlineLevel="0" collapsed="false">
      <c r="L2907" s="37" t="str">
        <f aca="false">IF(C2907="","",IF(C2907&lt;=5,"Night (00-05)",IF(C2907&lt;=11,"Morning (06-11)",IF(C2907&lt;=16,"Afternoon (12-16)",IF(C2907&lt;=20,"Evening (17-20)","Late (21-23)")))))</f>
        <v/>
      </c>
    </row>
    <row r="2908" customFormat="false" ht="15" hidden="false" customHeight="false" outlineLevel="0" collapsed="false">
      <c r="L2908" s="37" t="str">
        <f aca="false">IF(C2908="","",IF(C2908&lt;=5,"Night (00-05)",IF(C2908&lt;=11,"Morning (06-11)",IF(C2908&lt;=16,"Afternoon (12-16)",IF(C2908&lt;=20,"Evening (17-20)","Late (21-23)")))))</f>
        <v/>
      </c>
    </row>
    <row r="2909" customFormat="false" ht="15" hidden="false" customHeight="false" outlineLevel="0" collapsed="false">
      <c r="L2909" s="37" t="str">
        <f aca="false">IF(C2909="","",IF(C2909&lt;=5,"Night (00-05)",IF(C2909&lt;=11,"Morning (06-11)",IF(C2909&lt;=16,"Afternoon (12-16)",IF(C2909&lt;=20,"Evening (17-20)","Late (21-23)")))))</f>
        <v/>
      </c>
    </row>
    <row r="2910" customFormat="false" ht="15" hidden="false" customHeight="false" outlineLevel="0" collapsed="false">
      <c r="L2910" s="37" t="str">
        <f aca="false">IF(C2910="","",IF(C2910&lt;=5,"Night (00-05)",IF(C2910&lt;=11,"Morning (06-11)",IF(C2910&lt;=16,"Afternoon (12-16)",IF(C2910&lt;=20,"Evening (17-20)","Late (21-23)")))))</f>
        <v/>
      </c>
    </row>
    <row r="2911" customFormat="false" ht="15" hidden="false" customHeight="false" outlineLevel="0" collapsed="false">
      <c r="L2911" s="37" t="str">
        <f aca="false">IF(C2911="","",IF(C2911&lt;=5,"Night (00-05)",IF(C2911&lt;=11,"Morning (06-11)",IF(C2911&lt;=16,"Afternoon (12-16)",IF(C2911&lt;=20,"Evening (17-20)","Late (21-23)")))))</f>
        <v/>
      </c>
    </row>
    <row r="2912" customFormat="false" ht="15" hidden="false" customHeight="false" outlineLevel="0" collapsed="false">
      <c r="L2912" s="37" t="str">
        <f aca="false">IF(C2912="","",IF(C2912&lt;=5,"Night (00-05)",IF(C2912&lt;=11,"Morning (06-11)",IF(C2912&lt;=16,"Afternoon (12-16)",IF(C2912&lt;=20,"Evening (17-20)","Late (21-23)")))))</f>
        <v/>
      </c>
    </row>
    <row r="2913" customFormat="false" ht="15" hidden="false" customHeight="false" outlineLevel="0" collapsed="false">
      <c r="L2913" s="37" t="str">
        <f aca="false">IF(C2913="","",IF(C2913&lt;=5,"Night (00-05)",IF(C2913&lt;=11,"Morning (06-11)",IF(C2913&lt;=16,"Afternoon (12-16)",IF(C2913&lt;=20,"Evening (17-20)","Late (21-23)")))))</f>
        <v/>
      </c>
    </row>
    <row r="2914" customFormat="false" ht="15" hidden="false" customHeight="false" outlineLevel="0" collapsed="false">
      <c r="L2914" s="37" t="str">
        <f aca="false">IF(C2914="","",IF(C2914&lt;=5,"Night (00-05)",IF(C2914&lt;=11,"Morning (06-11)",IF(C2914&lt;=16,"Afternoon (12-16)",IF(C2914&lt;=20,"Evening (17-20)","Late (21-23)")))))</f>
        <v/>
      </c>
    </row>
    <row r="2915" customFormat="false" ht="15" hidden="false" customHeight="false" outlineLevel="0" collapsed="false">
      <c r="L2915" s="37" t="str">
        <f aca="false">IF(C2915="","",IF(C2915&lt;=5,"Night (00-05)",IF(C2915&lt;=11,"Morning (06-11)",IF(C2915&lt;=16,"Afternoon (12-16)",IF(C2915&lt;=20,"Evening (17-20)","Late (21-23)")))))</f>
        <v/>
      </c>
    </row>
    <row r="2916" customFormat="false" ht="15" hidden="false" customHeight="false" outlineLevel="0" collapsed="false">
      <c r="L2916" s="37" t="str">
        <f aca="false">IF(C2916="","",IF(C2916&lt;=5,"Night (00-05)",IF(C2916&lt;=11,"Morning (06-11)",IF(C2916&lt;=16,"Afternoon (12-16)",IF(C2916&lt;=20,"Evening (17-20)","Late (21-23)")))))</f>
        <v/>
      </c>
    </row>
    <row r="2917" customFormat="false" ht="15" hidden="false" customHeight="false" outlineLevel="0" collapsed="false">
      <c r="L2917" s="37" t="str">
        <f aca="false">IF(C2917="","",IF(C2917&lt;=5,"Night (00-05)",IF(C2917&lt;=11,"Morning (06-11)",IF(C2917&lt;=16,"Afternoon (12-16)",IF(C2917&lt;=20,"Evening (17-20)","Late (21-23)")))))</f>
        <v/>
      </c>
    </row>
    <row r="2918" customFormat="false" ht="15" hidden="false" customHeight="false" outlineLevel="0" collapsed="false">
      <c r="L2918" s="37" t="str">
        <f aca="false">IF(C2918="","",IF(C2918&lt;=5,"Night (00-05)",IF(C2918&lt;=11,"Morning (06-11)",IF(C2918&lt;=16,"Afternoon (12-16)",IF(C2918&lt;=20,"Evening (17-20)","Late (21-23)")))))</f>
        <v/>
      </c>
    </row>
    <row r="2919" customFormat="false" ht="15" hidden="false" customHeight="false" outlineLevel="0" collapsed="false">
      <c r="L2919" s="37" t="str">
        <f aca="false">IF(C2919="","",IF(C2919&lt;=5,"Night (00-05)",IF(C2919&lt;=11,"Morning (06-11)",IF(C2919&lt;=16,"Afternoon (12-16)",IF(C2919&lt;=20,"Evening (17-20)","Late (21-23)")))))</f>
        <v/>
      </c>
    </row>
    <row r="2920" customFormat="false" ht="15" hidden="false" customHeight="false" outlineLevel="0" collapsed="false">
      <c r="L2920" s="37" t="str">
        <f aca="false">IF(C2920="","",IF(C2920&lt;=5,"Night (00-05)",IF(C2920&lt;=11,"Morning (06-11)",IF(C2920&lt;=16,"Afternoon (12-16)",IF(C2920&lt;=20,"Evening (17-20)","Late (21-23)")))))</f>
        <v/>
      </c>
    </row>
    <row r="2921" customFormat="false" ht="15" hidden="false" customHeight="false" outlineLevel="0" collapsed="false">
      <c r="L2921" s="37" t="str">
        <f aca="false">IF(C2921="","",IF(C2921&lt;=5,"Night (00-05)",IF(C2921&lt;=11,"Morning (06-11)",IF(C2921&lt;=16,"Afternoon (12-16)",IF(C2921&lt;=20,"Evening (17-20)","Late (21-23)")))))</f>
        <v/>
      </c>
    </row>
    <row r="2922" customFormat="false" ht="15" hidden="false" customHeight="false" outlineLevel="0" collapsed="false">
      <c r="L2922" s="37" t="str">
        <f aca="false">IF(C2922="","",IF(C2922&lt;=5,"Night (00-05)",IF(C2922&lt;=11,"Morning (06-11)",IF(C2922&lt;=16,"Afternoon (12-16)",IF(C2922&lt;=20,"Evening (17-20)","Late (21-23)")))))</f>
        <v/>
      </c>
    </row>
    <row r="2923" customFormat="false" ht="15" hidden="false" customHeight="false" outlineLevel="0" collapsed="false">
      <c r="L2923" s="37" t="str">
        <f aca="false">IF(C2923="","",IF(C2923&lt;=5,"Night (00-05)",IF(C2923&lt;=11,"Morning (06-11)",IF(C2923&lt;=16,"Afternoon (12-16)",IF(C2923&lt;=20,"Evening (17-20)","Late (21-23)")))))</f>
        <v/>
      </c>
    </row>
    <row r="2924" customFormat="false" ht="15" hidden="false" customHeight="false" outlineLevel="0" collapsed="false">
      <c r="L2924" s="37" t="str">
        <f aca="false">IF(C2924="","",IF(C2924&lt;=5,"Night (00-05)",IF(C2924&lt;=11,"Morning (06-11)",IF(C2924&lt;=16,"Afternoon (12-16)",IF(C2924&lt;=20,"Evening (17-20)","Late (21-23)")))))</f>
        <v/>
      </c>
    </row>
    <row r="2925" customFormat="false" ht="15" hidden="false" customHeight="false" outlineLevel="0" collapsed="false">
      <c r="L2925" s="37" t="str">
        <f aca="false">IF(C2925="","",IF(C2925&lt;=5,"Night (00-05)",IF(C2925&lt;=11,"Morning (06-11)",IF(C2925&lt;=16,"Afternoon (12-16)",IF(C2925&lt;=20,"Evening (17-20)","Late (21-23)")))))</f>
        <v/>
      </c>
    </row>
    <row r="2926" customFormat="false" ht="15" hidden="false" customHeight="false" outlineLevel="0" collapsed="false">
      <c r="L2926" s="37" t="str">
        <f aca="false">IF(C2926="","",IF(C2926&lt;=5,"Night (00-05)",IF(C2926&lt;=11,"Morning (06-11)",IF(C2926&lt;=16,"Afternoon (12-16)",IF(C2926&lt;=20,"Evening (17-20)","Late (21-23)")))))</f>
        <v/>
      </c>
    </row>
    <row r="2927" customFormat="false" ht="15" hidden="false" customHeight="false" outlineLevel="0" collapsed="false">
      <c r="L2927" s="37" t="str">
        <f aca="false">IF(C2927="","",IF(C2927&lt;=5,"Night (00-05)",IF(C2927&lt;=11,"Morning (06-11)",IF(C2927&lt;=16,"Afternoon (12-16)",IF(C2927&lt;=20,"Evening (17-20)","Late (21-23)")))))</f>
        <v/>
      </c>
    </row>
    <row r="2928" customFormat="false" ht="15" hidden="false" customHeight="false" outlineLevel="0" collapsed="false">
      <c r="L2928" s="37" t="str">
        <f aca="false">IF(C2928="","",IF(C2928&lt;=5,"Night (00-05)",IF(C2928&lt;=11,"Morning (06-11)",IF(C2928&lt;=16,"Afternoon (12-16)",IF(C2928&lt;=20,"Evening (17-20)","Late (21-23)")))))</f>
        <v/>
      </c>
    </row>
    <row r="2929" customFormat="false" ht="15" hidden="false" customHeight="false" outlineLevel="0" collapsed="false">
      <c r="L2929" s="37" t="str">
        <f aca="false">IF(C2929="","",IF(C2929&lt;=5,"Night (00-05)",IF(C2929&lt;=11,"Morning (06-11)",IF(C2929&lt;=16,"Afternoon (12-16)",IF(C2929&lt;=20,"Evening (17-20)","Late (21-23)")))))</f>
        <v/>
      </c>
    </row>
    <row r="2930" customFormat="false" ht="15" hidden="false" customHeight="false" outlineLevel="0" collapsed="false">
      <c r="L2930" s="37" t="str">
        <f aca="false">IF(C2930="","",IF(C2930&lt;=5,"Night (00-05)",IF(C2930&lt;=11,"Morning (06-11)",IF(C2930&lt;=16,"Afternoon (12-16)",IF(C2930&lt;=20,"Evening (17-20)","Late (21-23)")))))</f>
        <v/>
      </c>
    </row>
    <row r="2931" customFormat="false" ht="15" hidden="false" customHeight="false" outlineLevel="0" collapsed="false">
      <c r="L2931" s="37" t="str">
        <f aca="false">IF(C2931="","",IF(C2931&lt;=5,"Night (00-05)",IF(C2931&lt;=11,"Morning (06-11)",IF(C2931&lt;=16,"Afternoon (12-16)",IF(C2931&lt;=20,"Evening (17-20)","Late (21-23)")))))</f>
        <v/>
      </c>
    </row>
    <row r="2932" customFormat="false" ht="15" hidden="false" customHeight="false" outlineLevel="0" collapsed="false">
      <c r="L2932" s="37" t="str">
        <f aca="false">IF(C2932="","",IF(C2932&lt;=5,"Night (00-05)",IF(C2932&lt;=11,"Morning (06-11)",IF(C2932&lt;=16,"Afternoon (12-16)",IF(C2932&lt;=20,"Evening (17-20)","Late (21-23)")))))</f>
        <v/>
      </c>
    </row>
    <row r="2933" customFormat="false" ht="15" hidden="false" customHeight="false" outlineLevel="0" collapsed="false">
      <c r="L2933" s="37" t="str">
        <f aca="false">IF(C2933="","",IF(C2933&lt;=5,"Night (00-05)",IF(C2933&lt;=11,"Morning (06-11)",IF(C2933&lt;=16,"Afternoon (12-16)",IF(C2933&lt;=20,"Evening (17-20)","Late (21-23)")))))</f>
        <v/>
      </c>
    </row>
    <row r="2934" customFormat="false" ht="15" hidden="false" customHeight="false" outlineLevel="0" collapsed="false">
      <c r="L2934" s="37" t="str">
        <f aca="false">IF(C2934="","",IF(C2934&lt;=5,"Night (00-05)",IF(C2934&lt;=11,"Morning (06-11)",IF(C2934&lt;=16,"Afternoon (12-16)",IF(C2934&lt;=20,"Evening (17-20)","Late (21-23)")))))</f>
        <v/>
      </c>
    </row>
    <row r="2935" customFormat="false" ht="15" hidden="false" customHeight="false" outlineLevel="0" collapsed="false">
      <c r="L2935" s="37" t="str">
        <f aca="false">IF(C2935="","",IF(C2935&lt;=5,"Night (00-05)",IF(C2935&lt;=11,"Morning (06-11)",IF(C2935&lt;=16,"Afternoon (12-16)",IF(C2935&lt;=20,"Evening (17-20)","Late (21-23)")))))</f>
        <v/>
      </c>
    </row>
    <row r="2936" customFormat="false" ht="15" hidden="false" customHeight="false" outlineLevel="0" collapsed="false">
      <c r="L2936" s="37" t="str">
        <f aca="false">IF(C2936="","",IF(C2936&lt;=5,"Night (00-05)",IF(C2936&lt;=11,"Morning (06-11)",IF(C2936&lt;=16,"Afternoon (12-16)",IF(C2936&lt;=20,"Evening (17-20)","Late (21-23)")))))</f>
        <v/>
      </c>
    </row>
    <row r="2937" customFormat="false" ht="15" hidden="false" customHeight="false" outlineLevel="0" collapsed="false">
      <c r="L2937" s="37" t="str">
        <f aca="false">IF(C2937="","",IF(C2937&lt;=5,"Night (00-05)",IF(C2937&lt;=11,"Morning (06-11)",IF(C2937&lt;=16,"Afternoon (12-16)",IF(C2937&lt;=20,"Evening (17-20)","Late (21-23)")))))</f>
        <v/>
      </c>
    </row>
    <row r="2938" customFormat="false" ht="15" hidden="false" customHeight="false" outlineLevel="0" collapsed="false">
      <c r="L2938" s="37" t="str">
        <f aca="false">IF(C2938="","",IF(C2938&lt;=5,"Night (00-05)",IF(C2938&lt;=11,"Morning (06-11)",IF(C2938&lt;=16,"Afternoon (12-16)",IF(C2938&lt;=20,"Evening (17-20)","Late (21-23)")))))</f>
        <v/>
      </c>
    </row>
    <row r="2939" customFormat="false" ht="15" hidden="false" customHeight="false" outlineLevel="0" collapsed="false">
      <c r="L2939" s="37" t="str">
        <f aca="false">IF(C2939="","",IF(C2939&lt;=5,"Night (00-05)",IF(C2939&lt;=11,"Morning (06-11)",IF(C2939&lt;=16,"Afternoon (12-16)",IF(C2939&lt;=20,"Evening (17-20)","Late (21-23)")))))</f>
        <v/>
      </c>
    </row>
    <row r="2940" customFormat="false" ht="15" hidden="false" customHeight="false" outlineLevel="0" collapsed="false">
      <c r="L2940" s="37" t="str">
        <f aca="false">IF(C2940="","",IF(C2940&lt;=5,"Night (00-05)",IF(C2940&lt;=11,"Morning (06-11)",IF(C2940&lt;=16,"Afternoon (12-16)",IF(C2940&lt;=20,"Evening (17-20)","Late (21-23)")))))</f>
        <v/>
      </c>
    </row>
    <row r="2941" customFormat="false" ht="15" hidden="false" customHeight="false" outlineLevel="0" collapsed="false">
      <c r="L2941" s="37" t="str">
        <f aca="false">IF(C2941="","",IF(C2941&lt;=5,"Night (00-05)",IF(C2941&lt;=11,"Morning (06-11)",IF(C2941&lt;=16,"Afternoon (12-16)",IF(C2941&lt;=20,"Evening (17-20)","Late (21-23)")))))</f>
        <v/>
      </c>
    </row>
    <row r="2942" customFormat="false" ht="15" hidden="false" customHeight="false" outlineLevel="0" collapsed="false">
      <c r="L2942" s="37" t="str">
        <f aca="false">IF(C2942="","",IF(C2942&lt;=5,"Night (00-05)",IF(C2942&lt;=11,"Morning (06-11)",IF(C2942&lt;=16,"Afternoon (12-16)",IF(C2942&lt;=20,"Evening (17-20)","Late (21-23)")))))</f>
        <v/>
      </c>
    </row>
    <row r="2943" customFormat="false" ht="15" hidden="false" customHeight="false" outlineLevel="0" collapsed="false">
      <c r="L2943" s="37" t="str">
        <f aca="false">IF(C2943="","",IF(C2943&lt;=5,"Night (00-05)",IF(C2943&lt;=11,"Morning (06-11)",IF(C2943&lt;=16,"Afternoon (12-16)",IF(C2943&lt;=20,"Evening (17-20)","Late (21-23)")))))</f>
        <v/>
      </c>
    </row>
    <row r="2944" customFormat="false" ht="15" hidden="false" customHeight="false" outlineLevel="0" collapsed="false">
      <c r="L2944" s="37" t="str">
        <f aca="false">IF(C2944="","",IF(C2944&lt;=5,"Night (00-05)",IF(C2944&lt;=11,"Morning (06-11)",IF(C2944&lt;=16,"Afternoon (12-16)",IF(C2944&lt;=20,"Evening (17-20)","Late (21-23)")))))</f>
        <v/>
      </c>
    </row>
    <row r="2945" customFormat="false" ht="15" hidden="false" customHeight="false" outlineLevel="0" collapsed="false">
      <c r="L2945" s="37" t="str">
        <f aca="false">IF(C2945="","",IF(C2945&lt;=5,"Night (00-05)",IF(C2945&lt;=11,"Morning (06-11)",IF(C2945&lt;=16,"Afternoon (12-16)",IF(C2945&lt;=20,"Evening (17-20)","Late (21-23)")))))</f>
        <v/>
      </c>
    </row>
    <row r="2946" customFormat="false" ht="15" hidden="false" customHeight="false" outlineLevel="0" collapsed="false">
      <c r="L2946" s="37" t="str">
        <f aca="false">IF(C2946="","",IF(C2946&lt;=5,"Night (00-05)",IF(C2946&lt;=11,"Morning (06-11)",IF(C2946&lt;=16,"Afternoon (12-16)",IF(C2946&lt;=20,"Evening (17-20)","Late (21-23)")))))</f>
        <v/>
      </c>
    </row>
    <row r="2947" customFormat="false" ht="15" hidden="false" customHeight="false" outlineLevel="0" collapsed="false">
      <c r="L2947" s="37" t="str">
        <f aca="false">IF(C2947="","",IF(C2947&lt;=5,"Night (00-05)",IF(C2947&lt;=11,"Morning (06-11)",IF(C2947&lt;=16,"Afternoon (12-16)",IF(C2947&lt;=20,"Evening (17-20)","Late (21-23)")))))</f>
        <v/>
      </c>
    </row>
    <row r="2948" customFormat="false" ht="15" hidden="false" customHeight="false" outlineLevel="0" collapsed="false">
      <c r="L2948" s="37" t="str">
        <f aca="false">IF(C2948="","",IF(C2948&lt;=5,"Night (00-05)",IF(C2948&lt;=11,"Morning (06-11)",IF(C2948&lt;=16,"Afternoon (12-16)",IF(C2948&lt;=20,"Evening (17-20)","Late (21-23)")))))</f>
        <v/>
      </c>
    </row>
    <row r="2949" customFormat="false" ht="15" hidden="false" customHeight="false" outlineLevel="0" collapsed="false">
      <c r="L2949" s="37" t="str">
        <f aca="false">IF(C2949="","",IF(C2949&lt;=5,"Night (00-05)",IF(C2949&lt;=11,"Morning (06-11)",IF(C2949&lt;=16,"Afternoon (12-16)",IF(C2949&lt;=20,"Evening (17-20)","Late (21-23)")))))</f>
        <v/>
      </c>
    </row>
    <row r="2950" customFormat="false" ht="15" hidden="false" customHeight="false" outlineLevel="0" collapsed="false">
      <c r="L2950" s="37" t="str">
        <f aca="false">IF(C2950="","",IF(C2950&lt;=5,"Night (00-05)",IF(C2950&lt;=11,"Morning (06-11)",IF(C2950&lt;=16,"Afternoon (12-16)",IF(C2950&lt;=20,"Evening (17-20)","Late (21-23)")))))</f>
        <v/>
      </c>
    </row>
    <row r="2951" customFormat="false" ht="15" hidden="false" customHeight="false" outlineLevel="0" collapsed="false">
      <c r="L2951" s="37" t="str">
        <f aca="false">IF(C2951="","",IF(C2951&lt;=5,"Night (00-05)",IF(C2951&lt;=11,"Morning (06-11)",IF(C2951&lt;=16,"Afternoon (12-16)",IF(C2951&lt;=20,"Evening (17-20)","Late (21-23)")))))</f>
        <v/>
      </c>
    </row>
    <row r="2952" customFormat="false" ht="15" hidden="false" customHeight="false" outlineLevel="0" collapsed="false">
      <c r="L2952" s="37" t="str">
        <f aca="false">IF(C2952="","",IF(C2952&lt;=5,"Night (00-05)",IF(C2952&lt;=11,"Morning (06-11)",IF(C2952&lt;=16,"Afternoon (12-16)",IF(C2952&lt;=20,"Evening (17-20)","Late (21-23)")))))</f>
        <v/>
      </c>
    </row>
    <row r="2953" customFormat="false" ht="15" hidden="false" customHeight="false" outlineLevel="0" collapsed="false">
      <c r="L2953" s="37" t="str">
        <f aca="false">IF(C2953="","",IF(C2953&lt;=5,"Night (00-05)",IF(C2953&lt;=11,"Morning (06-11)",IF(C2953&lt;=16,"Afternoon (12-16)",IF(C2953&lt;=20,"Evening (17-20)","Late (21-23)")))))</f>
        <v/>
      </c>
    </row>
    <row r="2954" customFormat="false" ht="15" hidden="false" customHeight="false" outlineLevel="0" collapsed="false">
      <c r="L2954" s="37" t="str">
        <f aca="false">IF(C2954="","",IF(C2954&lt;=5,"Night (00-05)",IF(C2954&lt;=11,"Morning (06-11)",IF(C2954&lt;=16,"Afternoon (12-16)",IF(C2954&lt;=20,"Evening (17-20)","Late (21-23)")))))</f>
        <v/>
      </c>
    </row>
    <row r="2955" customFormat="false" ht="15" hidden="false" customHeight="false" outlineLevel="0" collapsed="false">
      <c r="L2955" s="37" t="str">
        <f aca="false">IF(C2955="","",IF(C2955&lt;=5,"Night (00-05)",IF(C2955&lt;=11,"Morning (06-11)",IF(C2955&lt;=16,"Afternoon (12-16)",IF(C2955&lt;=20,"Evening (17-20)","Late (21-23)")))))</f>
        <v/>
      </c>
    </row>
    <row r="2956" customFormat="false" ht="15" hidden="false" customHeight="false" outlineLevel="0" collapsed="false">
      <c r="L2956" s="37" t="str">
        <f aca="false">IF(C2956="","",IF(C2956&lt;=5,"Night (00-05)",IF(C2956&lt;=11,"Morning (06-11)",IF(C2956&lt;=16,"Afternoon (12-16)",IF(C2956&lt;=20,"Evening (17-20)","Late (21-23)")))))</f>
        <v/>
      </c>
    </row>
    <row r="2957" customFormat="false" ht="15" hidden="false" customHeight="false" outlineLevel="0" collapsed="false">
      <c r="L2957" s="37" t="str">
        <f aca="false">IF(C2957="","",IF(C2957&lt;=5,"Night (00-05)",IF(C2957&lt;=11,"Morning (06-11)",IF(C2957&lt;=16,"Afternoon (12-16)",IF(C2957&lt;=20,"Evening (17-20)","Late (21-23)")))))</f>
        <v/>
      </c>
    </row>
    <row r="2958" customFormat="false" ht="15" hidden="false" customHeight="false" outlineLevel="0" collapsed="false">
      <c r="L2958" s="37" t="str">
        <f aca="false">IF(C2958="","",IF(C2958&lt;=5,"Night (00-05)",IF(C2958&lt;=11,"Morning (06-11)",IF(C2958&lt;=16,"Afternoon (12-16)",IF(C2958&lt;=20,"Evening (17-20)","Late (21-23)")))))</f>
        <v/>
      </c>
    </row>
    <row r="2959" customFormat="false" ht="15" hidden="false" customHeight="false" outlineLevel="0" collapsed="false">
      <c r="L2959" s="37" t="str">
        <f aca="false">IF(C2959="","",IF(C2959&lt;=5,"Night (00-05)",IF(C2959&lt;=11,"Morning (06-11)",IF(C2959&lt;=16,"Afternoon (12-16)",IF(C2959&lt;=20,"Evening (17-20)","Late (21-23)")))))</f>
        <v/>
      </c>
    </row>
    <row r="2960" customFormat="false" ht="15" hidden="false" customHeight="false" outlineLevel="0" collapsed="false">
      <c r="L2960" s="37" t="str">
        <f aca="false">IF(C2960="","",IF(C2960&lt;=5,"Night (00-05)",IF(C2960&lt;=11,"Morning (06-11)",IF(C2960&lt;=16,"Afternoon (12-16)",IF(C2960&lt;=20,"Evening (17-20)","Late (21-23)")))))</f>
        <v/>
      </c>
    </row>
    <row r="2961" customFormat="false" ht="15" hidden="false" customHeight="false" outlineLevel="0" collapsed="false">
      <c r="L2961" s="37" t="str">
        <f aca="false">IF(C2961="","",IF(C2961&lt;=5,"Night (00-05)",IF(C2961&lt;=11,"Morning (06-11)",IF(C2961&lt;=16,"Afternoon (12-16)",IF(C2961&lt;=20,"Evening (17-20)","Late (21-23)")))))</f>
        <v/>
      </c>
    </row>
    <row r="2962" customFormat="false" ht="15" hidden="false" customHeight="false" outlineLevel="0" collapsed="false">
      <c r="L2962" s="37" t="str">
        <f aca="false">IF(C2962="","",IF(C2962&lt;=5,"Night (00-05)",IF(C2962&lt;=11,"Morning (06-11)",IF(C2962&lt;=16,"Afternoon (12-16)",IF(C2962&lt;=20,"Evening (17-20)","Late (21-23)")))))</f>
        <v/>
      </c>
    </row>
    <row r="2963" customFormat="false" ht="15" hidden="false" customHeight="false" outlineLevel="0" collapsed="false">
      <c r="L2963" s="37" t="str">
        <f aca="false">IF(C2963="","",IF(C2963&lt;=5,"Night (00-05)",IF(C2963&lt;=11,"Morning (06-11)",IF(C2963&lt;=16,"Afternoon (12-16)",IF(C2963&lt;=20,"Evening (17-20)","Late (21-23)")))))</f>
        <v/>
      </c>
    </row>
    <row r="2964" customFormat="false" ht="15" hidden="false" customHeight="false" outlineLevel="0" collapsed="false">
      <c r="L2964" s="37" t="str">
        <f aca="false">IF(C2964="","",IF(C2964&lt;=5,"Night (00-05)",IF(C2964&lt;=11,"Morning (06-11)",IF(C2964&lt;=16,"Afternoon (12-16)",IF(C2964&lt;=20,"Evening (17-20)","Late (21-23)")))))</f>
        <v/>
      </c>
    </row>
    <row r="2965" customFormat="false" ht="15" hidden="false" customHeight="false" outlineLevel="0" collapsed="false">
      <c r="L2965" s="37" t="str">
        <f aca="false">IF(C2965="","",IF(C2965&lt;=5,"Night (00-05)",IF(C2965&lt;=11,"Morning (06-11)",IF(C2965&lt;=16,"Afternoon (12-16)",IF(C2965&lt;=20,"Evening (17-20)","Late (21-23)")))))</f>
        <v/>
      </c>
    </row>
    <row r="2966" customFormat="false" ht="15" hidden="false" customHeight="false" outlineLevel="0" collapsed="false">
      <c r="L2966" s="37" t="str">
        <f aca="false">IF(C2966="","",IF(C2966&lt;=5,"Night (00-05)",IF(C2966&lt;=11,"Morning (06-11)",IF(C2966&lt;=16,"Afternoon (12-16)",IF(C2966&lt;=20,"Evening (17-20)","Late (21-23)")))))</f>
        <v/>
      </c>
    </row>
    <row r="2967" customFormat="false" ht="15" hidden="false" customHeight="false" outlineLevel="0" collapsed="false">
      <c r="L2967" s="37" t="str">
        <f aca="false">IF(C2967="","",IF(C2967&lt;=5,"Night (00-05)",IF(C2967&lt;=11,"Morning (06-11)",IF(C2967&lt;=16,"Afternoon (12-16)",IF(C2967&lt;=20,"Evening (17-20)","Late (21-23)")))))</f>
        <v/>
      </c>
    </row>
    <row r="2968" customFormat="false" ht="15" hidden="false" customHeight="false" outlineLevel="0" collapsed="false">
      <c r="L2968" s="37" t="str">
        <f aca="false">IF(C2968="","",IF(C2968&lt;=5,"Night (00-05)",IF(C2968&lt;=11,"Morning (06-11)",IF(C2968&lt;=16,"Afternoon (12-16)",IF(C2968&lt;=20,"Evening (17-20)","Late (21-23)")))))</f>
        <v/>
      </c>
    </row>
    <row r="2969" customFormat="false" ht="15" hidden="false" customHeight="false" outlineLevel="0" collapsed="false">
      <c r="L2969" s="37" t="str">
        <f aca="false">IF(C2969="","",IF(C2969&lt;=5,"Night (00-05)",IF(C2969&lt;=11,"Morning (06-11)",IF(C2969&lt;=16,"Afternoon (12-16)",IF(C2969&lt;=20,"Evening (17-20)","Late (21-23)")))))</f>
        <v/>
      </c>
    </row>
    <row r="2970" customFormat="false" ht="15" hidden="false" customHeight="false" outlineLevel="0" collapsed="false">
      <c r="L2970" s="37" t="str">
        <f aca="false">IF(C2970="","",IF(C2970&lt;=5,"Night (00-05)",IF(C2970&lt;=11,"Morning (06-11)",IF(C2970&lt;=16,"Afternoon (12-16)",IF(C2970&lt;=20,"Evening (17-20)","Late (21-23)")))))</f>
        <v/>
      </c>
    </row>
    <row r="2971" customFormat="false" ht="15" hidden="false" customHeight="false" outlineLevel="0" collapsed="false">
      <c r="L2971" s="37" t="str">
        <f aca="false">IF(C2971="","",IF(C2971&lt;=5,"Night (00-05)",IF(C2971&lt;=11,"Morning (06-11)",IF(C2971&lt;=16,"Afternoon (12-16)",IF(C2971&lt;=20,"Evening (17-20)","Late (21-23)")))))</f>
        <v/>
      </c>
    </row>
    <row r="2972" customFormat="false" ht="15" hidden="false" customHeight="false" outlineLevel="0" collapsed="false">
      <c r="L2972" s="37" t="str">
        <f aca="false">IF(C2972="","",IF(C2972&lt;=5,"Night (00-05)",IF(C2972&lt;=11,"Morning (06-11)",IF(C2972&lt;=16,"Afternoon (12-16)",IF(C2972&lt;=20,"Evening (17-20)","Late (21-23)")))))</f>
        <v/>
      </c>
    </row>
    <row r="2973" customFormat="false" ht="15" hidden="false" customHeight="false" outlineLevel="0" collapsed="false">
      <c r="L2973" s="37" t="str">
        <f aca="false">IF(C2973="","",IF(C2973&lt;=5,"Night (00-05)",IF(C2973&lt;=11,"Morning (06-11)",IF(C2973&lt;=16,"Afternoon (12-16)",IF(C2973&lt;=20,"Evening (17-20)","Late (21-23)")))))</f>
        <v/>
      </c>
    </row>
    <row r="2974" customFormat="false" ht="15" hidden="false" customHeight="false" outlineLevel="0" collapsed="false">
      <c r="L2974" s="37" t="str">
        <f aca="false">IF(C2974="","",IF(C2974&lt;=5,"Night (00-05)",IF(C2974&lt;=11,"Morning (06-11)",IF(C2974&lt;=16,"Afternoon (12-16)",IF(C2974&lt;=20,"Evening (17-20)","Late (21-23)")))))</f>
        <v/>
      </c>
    </row>
    <row r="2975" customFormat="false" ht="15" hidden="false" customHeight="false" outlineLevel="0" collapsed="false">
      <c r="L2975" s="37" t="str">
        <f aca="false">IF(C2975="","",IF(C2975&lt;=5,"Night (00-05)",IF(C2975&lt;=11,"Morning (06-11)",IF(C2975&lt;=16,"Afternoon (12-16)",IF(C2975&lt;=20,"Evening (17-20)","Late (21-23)")))))</f>
        <v/>
      </c>
    </row>
    <row r="2976" customFormat="false" ht="15" hidden="false" customHeight="false" outlineLevel="0" collapsed="false">
      <c r="L2976" s="37" t="str">
        <f aca="false">IF(C2976="","",IF(C2976&lt;=5,"Night (00-05)",IF(C2976&lt;=11,"Morning (06-11)",IF(C2976&lt;=16,"Afternoon (12-16)",IF(C2976&lt;=20,"Evening (17-20)","Late (21-23)")))))</f>
        <v/>
      </c>
    </row>
    <row r="2977" customFormat="false" ht="15" hidden="false" customHeight="false" outlineLevel="0" collapsed="false">
      <c r="L2977" s="37" t="str">
        <f aca="false">IF(C2977="","",IF(C2977&lt;=5,"Night (00-05)",IF(C2977&lt;=11,"Morning (06-11)",IF(C2977&lt;=16,"Afternoon (12-16)",IF(C2977&lt;=20,"Evening (17-20)","Late (21-23)")))))</f>
        <v/>
      </c>
    </row>
    <row r="2978" customFormat="false" ht="15" hidden="false" customHeight="false" outlineLevel="0" collapsed="false">
      <c r="L2978" s="37" t="str">
        <f aca="false">IF(C2978="","",IF(C2978&lt;=5,"Night (00-05)",IF(C2978&lt;=11,"Morning (06-11)",IF(C2978&lt;=16,"Afternoon (12-16)",IF(C2978&lt;=20,"Evening (17-20)","Late (21-23)")))))</f>
        <v/>
      </c>
    </row>
    <row r="2979" customFormat="false" ht="15" hidden="false" customHeight="false" outlineLevel="0" collapsed="false">
      <c r="L2979" s="37" t="str">
        <f aca="false">IF(C2979="","",IF(C2979&lt;=5,"Night (00-05)",IF(C2979&lt;=11,"Morning (06-11)",IF(C2979&lt;=16,"Afternoon (12-16)",IF(C2979&lt;=20,"Evening (17-20)","Late (21-23)")))))</f>
        <v/>
      </c>
    </row>
    <row r="2980" customFormat="false" ht="15" hidden="false" customHeight="false" outlineLevel="0" collapsed="false">
      <c r="L2980" s="37" t="str">
        <f aca="false">IF(C2980="","",IF(C2980&lt;=5,"Night (00-05)",IF(C2980&lt;=11,"Morning (06-11)",IF(C2980&lt;=16,"Afternoon (12-16)",IF(C2980&lt;=20,"Evening (17-20)","Late (21-23)")))))</f>
        <v/>
      </c>
    </row>
    <row r="2981" customFormat="false" ht="15" hidden="false" customHeight="false" outlineLevel="0" collapsed="false">
      <c r="L2981" s="37" t="str">
        <f aca="false">IF(C2981="","",IF(C2981&lt;=5,"Night (00-05)",IF(C2981&lt;=11,"Morning (06-11)",IF(C2981&lt;=16,"Afternoon (12-16)",IF(C2981&lt;=20,"Evening (17-20)","Late (21-23)")))))</f>
        <v/>
      </c>
    </row>
    <row r="2982" customFormat="false" ht="15" hidden="false" customHeight="false" outlineLevel="0" collapsed="false">
      <c r="L2982" s="37" t="str">
        <f aca="false">IF(C2982="","",IF(C2982&lt;=5,"Night (00-05)",IF(C2982&lt;=11,"Morning (06-11)",IF(C2982&lt;=16,"Afternoon (12-16)",IF(C2982&lt;=20,"Evening (17-20)","Late (21-23)")))))</f>
        <v/>
      </c>
    </row>
    <row r="2983" customFormat="false" ht="15" hidden="false" customHeight="false" outlineLevel="0" collapsed="false">
      <c r="L2983" s="37" t="str">
        <f aca="false">IF(C2983="","",IF(C2983&lt;=5,"Night (00-05)",IF(C2983&lt;=11,"Morning (06-11)",IF(C2983&lt;=16,"Afternoon (12-16)",IF(C2983&lt;=20,"Evening (17-20)","Late (21-23)")))))</f>
        <v/>
      </c>
    </row>
    <row r="2984" customFormat="false" ht="15" hidden="false" customHeight="false" outlineLevel="0" collapsed="false">
      <c r="L2984" s="37" t="str">
        <f aca="false">IF(C2984="","",IF(C2984&lt;=5,"Night (00-05)",IF(C2984&lt;=11,"Morning (06-11)",IF(C2984&lt;=16,"Afternoon (12-16)",IF(C2984&lt;=20,"Evening (17-20)","Late (21-23)")))))</f>
        <v/>
      </c>
    </row>
    <row r="2985" customFormat="false" ht="15" hidden="false" customHeight="false" outlineLevel="0" collapsed="false">
      <c r="L2985" s="37" t="str">
        <f aca="false">IF(C2985="","",IF(C2985&lt;=5,"Night (00-05)",IF(C2985&lt;=11,"Morning (06-11)",IF(C2985&lt;=16,"Afternoon (12-16)",IF(C2985&lt;=20,"Evening (17-20)","Late (21-23)")))))</f>
        <v/>
      </c>
    </row>
    <row r="2986" customFormat="false" ht="15" hidden="false" customHeight="false" outlineLevel="0" collapsed="false">
      <c r="L2986" s="37" t="str">
        <f aca="false">IF(C2986="","",IF(C2986&lt;=5,"Night (00-05)",IF(C2986&lt;=11,"Morning (06-11)",IF(C2986&lt;=16,"Afternoon (12-16)",IF(C2986&lt;=20,"Evening (17-20)","Late (21-23)")))))</f>
        <v/>
      </c>
    </row>
    <row r="2987" customFormat="false" ht="15" hidden="false" customHeight="false" outlineLevel="0" collapsed="false">
      <c r="L2987" s="37" t="str">
        <f aca="false">IF(C2987="","",IF(C2987&lt;=5,"Night (00-05)",IF(C2987&lt;=11,"Morning (06-11)",IF(C2987&lt;=16,"Afternoon (12-16)",IF(C2987&lt;=20,"Evening (17-20)","Late (21-23)")))))</f>
        <v/>
      </c>
    </row>
    <row r="2988" customFormat="false" ht="15" hidden="false" customHeight="false" outlineLevel="0" collapsed="false">
      <c r="L2988" s="37" t="str">
        <f aca="false">IF(C2988="","",IF(C2988&lt;=5,"Night (00-05)",IF(C2988&lt;=11,"Morning (06-11)",IF(C2988&lt;=16,"Afternoon (12-16)",IF(C2988&lt;=20,"Evening (17-20)","Late (21-23)")))))</f>
        <v/>
      </c>
    </row>
    <row r="2989" customFormat="false" ht="15" hidden="false" customHeight="false" outlineLevel="0" collapsed="false">
      <c r="L2989" s="37" t="str">
        <f aca="false">IF(C2989="","",IF(C2989&lt;=5,"Night (00-05)",IF(C2989&lt;=11,"Morning (06-11)",IF(C2989&lt;=16,"Afternoon (12-16)",IF(C2989&lt;=20,"Evening (17-20)","Late (21-23)")))))</f>
        <v/>
      </c>
    </row>
    <row r="2990" customFormat="false" ht="15" hidden="false" customHeight="false" outlineLevel="0" collapsed="false">
      <c r="L2990" s="37" t="str">
        <f aca="false">IF(C2990="","",IF(C2990&lt;=5,"Night (00-05)",IF(C2990&lt;=11,"Morning (06-11)",IF(C2990&lt;=16,"Afternoon (12-16)",IF(C2990&lt;=20,"Evening (17-20)","Late (21-23)")))))</f>
        <v/>
      </c>
    </row>
    <row r="2991" customFormat="false" ht="15" hidden="false" customHeight="false" outlineLevel="0" collapsed="false">
      <c r="L2991" s="37" t="str">
        <f aca="false">IF(C2991="","",IF(C2991&lt;=5,"Night (00-05)",IF(C2991&lt;=11,"Morning (06-11)",IF(C2991&lt;=16,"Afternoon (12-16)",IF(C2991&lt;=20,"Evening (17-20)","Late (21-23)")))))</f>
        <v/>
      </c>
    </row>
    <row r="2992" customFormat="false" ht="15" hidden="false" customHeight="false" outlineLevel="0" collapsed="false">
      <c r="L2992" s="37" t="str">
        <f aca="false">IF(C2992="","",IF(C2992&lt;=5,"Night (00-05)",IF(C2992&lt;=11,"Morning (06-11)",IF(C2992&lt;=16,"Afternoon (12-16)",IF(C2992&lt;=20,"Evening (17-20)","Late (21-23)")))))</f>
        <v/>
      </c>
    </row>
    <row r="2993" customFormat="false" ht="15" hidden="false" customHeight="false" outlineLevel="0" collapsed="false">
      <c r="L2993" s="37" t="str">
        <f aca="false">IF(C2993="","",IF(C2993&lt;=5,"Night (00-05)",IF(C2993&lt;=11,"Morning (06-11)",IF(C2993&lt;=16,"Afternoon (12-16)",IF(C2993&lt;=20,"Evening (17-20)","Late (21-23)")))))</f>
        <v/>
      </c>
    </row>
    <row r="2994" customFormat="false" ht="15" hidden="false" customHeight="false" outlineLevel="0" collapsed="false">
      <c r="L2994" s="37" t="str">
        <f aca="false">IF(C2994="","",IF(C2994&lt;=5,"Night (00-05)",IF(C2994&lt;=11,"Morning (06-11)",IF(C2994&lt;=16,"Afternoon (12-16)",IF(C2994&lt;=20,"Evening (17-20)","Late (21-23)")))))</f>
        <v/>
      </c>
    </row>
    <row r="2995" customFormat="false" ht="15" hidden="false" customHeight="false" outlineLevel="0" collapsed="false">
      <c r="L2995" s="37" t="str">
        <f aca="false">IF(C2995="","",IF(C2995&lt;=5,"Night (00-05)",IF(C2995&lt;=11,"Morning (06-11)",IF(C2995&lt;=16,"Afternoon (12-16)",IF(C2995&lt;=20,"Evening (17-20)","Late (21-23)")))))</f>
        <v/>
      </c>
    </row>
    <row r="2996" customFormat="false" ht="15" hidden="false" customHeight="false" outlineLevel="0" collapsed="false">
      <c r="L2996" s="37" t="str">
        <f aca="false">IF(C2996="","",IF(C2996&lt;=5,"Night (00-05)",IF(C2996&lt;=11,"Morning (06-11)",IF(C2996&lt;=16,"Afternoon (12-16)",IF(C2996&lt;=20,"Evening (17-20)","Late (21-23)")))))</f>
        <v/>
      </c>
    </row>
    <row r="2997" customFormat="false" ht="15" hidden="false" customHeight="false" outlineLevel="0" collapsed="false">
      <c r="L2997" s="37" t="str">
        <f aca="false">IF(C2997="","",IF(C2997&lt;=5,"Night (00-05)",IF(C2997&lt;=11,"Morning (06-11)",IF(C2997&lt;=16,"Afternoon (12-16)",IF(C2997&lt;=20,"Evening (17-20)","Late (21-23)")))))</f>
        <v/>
      </c>
    </row>
    <row r="2998" customFormat="false" ht="15" hidden="false" customHeight="false" outlineLevel="0" collapsed="false">
      <c r="L2998" s="37" t="str">
        <f aca="false">IF(C2998="","",IF(C2998&lt;=5,"Night (00-05)",IF(C2998&lt;=11,"Morning (06-11)",IF(C2998&lt;=16,"Afternoon (12-16)",IF(C2998&lt;=20,"Evening (17-20)","Late (21-23)")))))</f>
        <v/>
      </c>
    </row>
    <row r="2999" customFormat="false" ht="15" hidden="false" customHeight="false" outlineLevel="0" collapsed="false">
      <c r="L2999" s="37" t="str">
        <f aca="false">IF(C2999="","",IF(C2999&lt;=5,"Night (00-05)",IF(C2999&lt;=11,"Morning (06-11)",IF(C2999&lt;=16,"Afternoon (12-16)",IF(C2999&lt;=20,"Evening (17-20)","Late (21-23)")))))</f>
        <v/>
      </c>
    </row>
    <row r="3000" customFormat="false" ht="15" hidden="false" customHeight="false" outlineLevel="0" collapsed="false">
      <c r="L3000" s="37" t="str">
        <f aca="false">IF(C3000="","",IF(C3000&lt;=5,"Night (00-05)",IF(C3000&lt;=11,"Morning (06-11)",IF(C3000&lt;=16,"Afternoon (12-16)",IF(C3000&lt;=20,"Evening (17-20)","Late (21-23)")))))</f>
        <v/>
      </c>
    </row>
    <row r="3001" customFormat="false" ht="15" hidden="false" customHeight="false" outlineLevel="0" collapsed="false">
      <c r="L3001" s="37" t="str">
        <f aca="false">IF(C3001="","",IF(C3001&lt;=5,"Night (00-05)",IF(C3001&lt;=11,"Morning (06-11)",IF(C3001&lt;=16,"Afternoon (12-16)",IF(C3001&lt;=20,"Evening (17-20)","Late (21-23)")))))</f>
        <v/>
      </c>
    </row>
    <row r="3002" customFormat="false" ht="15" hidden="false" customHeight="false" outlineLevel="0" collapsed="false">
      <c r="L3002" s="37" t="str">
        <f aca="false">IF(C3002="","",IF(C3002&lt;=5,"Night (00-05)",IF(C3002&lt;=11,"Morning (06-11)",IF(C3002&lt;=16,"Afternoon (12-16)",IF(C3002&lt;=20,"Evening (17-20)","Late (21-23)")))))</f>
        <v/>
      </c>
    </row>
    <row r="3003" customFormat="false" ht="15" hidden="false" customHeight="false" outlineLevel="0" collapsed="false">
      <c r="L3003" s="37" t="str">
        <f aca="false">IF(C3003="","",IF(C3003&lt;=5,"Night (00-05)",IF(C3003&lt;=11,"Morning (06-11)",IF(C3003&lt;=16,"Afternoon (12-16)",IF(C3003&lt;=20,"Evening (17-20)","Late (21-23)")))))</f>
        <v/>
      </c>
    </row>
    <row r="3004" customFormat="false" ht="15" hidden="false" customHeight="false" outlineLevel="0" collapsed="false">
      <c r="L3004" s="37" t="str">
        <f aca="false">IF(C3004="","",IF(C3004&lt;=5,"Night (00-05)",IF(C3004&lt;=11,"Morning (06-11)",IF(C3004&lt;=16,"Afternoon (12-16)",IF(C3004&lt;=20,"Evening (17-20)","Late (21-23)")))))</f>
        <v/>
      </c>
    </row>
    <row r="3005" customFormat="false" ht="15" hidden="false" customHeight="false" outlineLevel="0" collapsed="false">
      <c r="L3005" s="37" t="str">
        <f aca="false">IF(C3005="","",IF(C3005&lt;=5,"Night (00-05)",IF(C3005&lt;=11,"Morning (06-11)",IF(C3005&lt;=16,"Afternoon (12-16)",IF(C3005&lt;=20,"Evening (17-20)","Late (21-23)")))))</f>
        <v/>
      </c>
    </row>
    <row r="3006" customFormat="false" ht="15" hidden="false" customHeight="false" outlineLevel="0" collapsed="false">
      <c r="L3006" s="37" t="str">
        <f aca="false">IF(C3006="","",IF(C3006&lt;=5,"Night (00-05)",IF(C3006&lt;=11,"Morning (06-11)",IF(C3006&lt;=16,"Afternoon (12-16)",IF(C3006&lt;=20,"Evening (17-20)","Late (21-23)")))))</f>
        <v/>
      </c>
    </row>
    <row r="3007" customFormat="false" ht="15" hidden="false" customHeight="false" outlineLevel="0" collapsed="false">
      <c r="L3007" s="37" t="str">
        <f aca="false">IF(C3007="","",IF(C3007&lt;=5,"Night (00-05)",IF(C3007&lt;=11,"Morning (06-11)",IF(C3007&lt;=16,"Afternoon (12-16)",IF(C3007&lt;=20,"Evening (17-20)","Late (21-23)")))))</f>
        <v/>
      </c>
    </row>
    <row r="3008" customFormat="false" ht="15" hidden="false" customHeight="false" outlineLevel="0" collapsed="false">
      <c r="L3008" s="37" t="str">
        <f aca="false">IF(C3008="","",IF(C3008&lt;=5,"Night (00-05)",IF(C3008&lt;=11,"Morning (06-11)",IF(C3008&lt;=16,"Afternoon (12-16)",IF(C3008&lt;=20,"Evening (17-20)","Late (21-23)")))))</f>
        <v/>
      </c>
    </row>
    <row r="3009" customFormat="false" ht="15" hidden="false" customHeight="false" outlineLevel="0" collapsed="false">
      <c r="L3009" s="37" t="str">
        <f aca="false">IF(C3009="","",IF(C3009&lt;=5,"Night (00-05)",IF(C3009&lt;=11,"Morning (06-11)",IF(C3009&lt;=16,"Afternoon (12-16)",IF(C3009&lt;=20,"Evening (17-20)","Late (21-23)")))))</f>
        <v/>
      </c>
    </row>
    <row r="3010" customFormat="false" ht="15" hidden="false" customHeight="false" outlineLevel="0" collapsed="false">
      <c r="L3010" s="37" t="str">
        <f aca="false">IF(C3010="","",IF(C3010&lt;=5,"Night (00-05)",IF(C3010&lt;=11,"Morning (06-11)",IF(C3010&lt;=16,"Afternoon (12-16)",IF(C3010&lt;=20,"Evening (17-20)","Late (21-23)")))))</f>
        <v/>
      </c>
    </row>
    <row r="3011" customFormat="false" ht="15" hidden="false" customHeight="false" outlineLevel="0" collapsed="false">
      <c r="L3011" s="37" t="str">
        <f aca="false">IF(C3011="","",IF(C3011&lt;=5,"Night (00-05)",IF(C3011&lt;=11,"Morning (06-11)",IF(C3011&lt;=16,"Afternoon (12-16)",IF(C3011&lt;=20,"Evening (17-20)","Late (21-23)")))))</f>
        <v/>
      </c>
    </row>
    <row r="3012" customFormat="false" ht="15" hidden="false" customHeight="false" outlineLevel="0" collapsed="false">
      <c r="L3012" s="37" t="str">
        <f aca="false">IF(C3012="","",IF(C3012&lt;=5,"Night (00-05)",IF(C3012&lt;=11,"Morning (06-11)",IF(C3012&lt;=16,"Afternoon (12-16)",IF(C3012&lt;=20,"Evening (17-20)","Late (21-23)")))))</f>
        <v/>
      </c>
    </row>
    <row r="3013" customFormat="false" ht="15" hidden="false" customHeight="false" outlineLevel="0" collapsed="false">
      <c r="L3013" s="37" t="str">
        <f aca="false">IF(C3013="","",IF(C3013&lt;=5,"Night (00-05)",IF(C3013&lt;=11,"Morning (06-11)",IF(C3013&lt;=16,"Afternoon (12-16)",IF(C3013&lt;=20,"Evening (17-20)","Late (21-23)")))))</f>
        <v/>
      </c>
    </row>
    <row r="3014" customFormat="false" ht="15" hidden="false" customHeight="false" outlineLevel="0" collapsed="false">
      <c r="L3014" s="37" t="str">
        <f aca="false">IF(C3014="","",IF(C3014&lt;=5,"Night (00-05)",IF(C3014&lt;=11,"Morning (06-11)",IF(C3014&lt;=16,"Afternoon (12-16)",IF(C3014&lt;=20,"Evening (17-20)","Late (21-23)")))))</f>
        <v/>
      </c>
    </row>
    <row r="3015" customFormat="false" ht="15" hidden="false" customHeight="false" outlineLevel="0" collapsed="false">
      <c r="L3015" s="37" t="str">
        <f aca="false">IF(C3015="","",IF(C3015&lt;=5,"Night (00-05)",IF(C3015&lt;=11,"Morning (06-11)",IF(C3015&lt;=16,"Afternoon (12-16)",IF(C3015&lt;=20,"Evening (17-20)","Late (21-23)")))))</f>
        <v/>
      </c>
    </row>
    <row r="3016" customFormat="false" ht="15" hidden="false" customHeight="false" outlineLevel="0" collapsed="false">
      <c r="L3016" s="37" t="str">
        <f aca="false">IF(C3016="","",IF(C3016&lt;=5,"Night (00-05)",IF(C3016&lt;=11,"Morning (06-11)",IF(C3016&lt;=16,"Afternoon (12-16)",IF(C3016&lt;=20,"Evening (17-20)","Late (21-23)")))))</f>
        <v/>
      </c>
    </row>
    <row r="3017" customFormat="false" ht="15" hidden="false" customHeight="false" outlineLevel="0" collapsed="false">
      <c r="L3017" s="37" t="str">
        <f aca="false">IF(C3017="","",IF(C3017&lt;=5,"Night (00-05)",IF(C3017&lt;=11,"Morning (06-11)",IF(C3017&lt;=16,"Afternoon (12-16)",IF(C3017&lt;=20,"Evening (17-20)","Late (21-23)")))))</f>
        <v/>
      </c>
    </row>
    <row r="3018" customFormat="false" ht="15" hidden="false" customHeight="false" outlineLevel="0" collapsed="false">
      <c r="L3018" s="37" t="str">
        <f aca="false">IF(C3018="","",IF(C3018&lt;=5,"Night (00-05)",IF(C3018&lt;=11,"Morning (06-11)",IF(C3018&lt;=16,"Afternoon (12-16)",IF(C3018&lt;=20,"Evening (17-20)","Late (21-23)")))))</f>
        <v/>
      </c>
    </row>
    <row r="3019" customFormat="false" ht="15" hidden="false" customHeight="false" outlineLevel="0" collapsed="false">
      <c r="L3019" s="37" t="str">
        <f aca="false">IF(C3019="","",IF(C3019&lt;=5,"Night (00-05)",IF(C3019&lt;=11,"Morning (06-11)",IF(C3019&lt;=16,"Afternoon (12-16)",IF(C3019&lt;=20,"Evening (17-20)","Late (21-23)")))))</f>
        <v/>
      </c>
    </row>
    <row r="3020" customFormat="false" ht="15" hidden="false" customHeight="false" outlineLevel="0" collapsed="false">
      <c r="L3020" s="37" t="str">
        <f aca="false">IF(C3020="","",IF(C3020&lt;=5,"Night (00-05)",IF(C3020&lt;=11,"Morning (06-11)",IF(C3020&lt;=16,"Afternoon (12-16)",IF(C3020&lt;=20,"Evening (17-20)","Late (21-23)")))))</f>
        <v/>
      </c>
    </row>
    <row r="3021" customFormat="false" ht="15" hidden="false" customHeight="false" outlineLevel="0" collapsed="false">
      <c r="L3021" s="37" t="str">
        <f aca="false">IF(C3021="","",IF(C3021&lt;=5,"Night (00-05)",IF(C3021&lt;=11,"Morning (06-11)",IF(C3021&lt;=16,"Afternoon (12-16)",IF(C3021&lt;=20,"Evening (17-20)","Late (21-23)")))))</f>
        <v/>
      </c>
    </row>
    <row r="3022" customFormat="false" ht="15" hidden="false" customHeight="false" outlineLevel="0" collapsed="false">
      <c r="L3022" s="37" t="str">
        <f aca="false">IF(C3022="","",IF(C3022&lt;=5,"Night (00-05)",IF(C3022&lt;=11,"Morning (06-11)",IF(C3022&lt;=16,"Afternoon (12-16)",IF(C3022&lt;=20,"Evening (17-20)","Late (21-23)")))))</f>
        <v/>
      </c>
    </row>
    <row r="3023" customFormat="false" ht="15" hidden="false" customHeight="false" outlineLevel="0" collapsed="false">
      <c r="L3023" s="37" t="str">
        <f aca="false">IF(C3023="","",IF(C3023&lt;=5,"Night (00-05)",IF(C3023&lt;=11,"Morning (06-11)",IF(C3023&lt;=16,"Afternoon (12-16)",IF(C3023&lt;=20,"Evening (17-20)","Late (21-23)")))))</f>
        <v/>
      </c>
    </row>
    <row r="3024" customFormat="false" ht="15" hidden="false" customHeight="false" outlineLevel="0" collapsed="false">
      <c r="L3024" s="37" t="str">
        <f aca="false">IF(C3024="","",IF(C3024&lt;=5,"Night (00-05)",IF(C3024&lt;=11,"Morning (06-11)",IF(C3024&lt;=16,"Afternoon (12-16)",IF(C3024&lt;=20,"Evening (17-20)","Late (21-23)")))))</f>
        <v/>
      </c>
    </row>
    <row r="3025" customFormat="false" ht="15" hidden="false" customHeight="false" outlineLevel="0" collapsed="false">
      <c r="L3025" s="37" t="str">
        <f aca="false">IF(C3025="","",IF(C3025&lt;=5,"Night (00-05)",IF(C3025&lt;=11,"Morning (06-11)",IF(C3025&lt;=16,"Afternoon (12-16)",IF(C3025&lt;=20,"Evening (17-20)","Late (21-23)")))))</f>
        <v/>
      </c>
    </row>
    <row r="3026" customFormat="false" ht="15" hidden="false" customHeight="false" outlineLevel="0" collapsed="false">
      <c r="L3026" s="37" t="str">
        <f aca="false">IF(C3026="","",IF(C3026&lt;=5,"Night (00-05)",IF(C3026&lt;=11,"Morning (06-11)",IF(C3026&lt;=16,"Afternoon (12-16)",IF(C3026&lt;=20,"Evening (17-20)","Late (21-23)")))))</f>
        <v/>
      </c>
    </row>
    <row r="3027" customFormat="false" ht="15" hidden="false" customHeight="false" outlineLevel="0" collapsed="false">
      <c r="L3027" s="37" t="str">
        <f aca="false">IF(C3027="","",IF(C3027&lt;=5,"Night (00-05)",IF(C3027&lt;=11,"Morning (06-11)",IF(C3027&lt;=16,"Afternoon (12-16)",IF(C3027&lt;=20,"Evening (17-20)","Late (21-23)")))))</f>
        <v/>
      </c>
    </row>
    <row r="3028" customFormat="false" ht="15" hidden="false" customHeight="false" outlineLevel="0" collapsed="false">
      <c r="L3028" s="37" t="str">
        <f aca="false">IF(C3028="","",IF(C3028&lt;=5,"Night (00-05)",IF(C3028&lt;=11,"Morning (06-11)",IF(C3028&lt;=16,"Afternoon (12-16)",IF(C3028&lt;=20,"Evening (17-20)","Late (21-23)")))))</f>
        <v/>
      </c>
    </row>
    <row r="3029" customFormat="false" ht="15" hidden="false" customHeight="false" outlineLevel="0" collapsed="false">
      <c r="L3029" s="37" t="str">
        <f aca="false">IF(C3029="","",IF(C3029&lt;=5,"Night (00-05)",IF(C3029&lt;=11,"Morning (06-11)",IF(C3029&lt;=16,"Afternoon (12-16)",IF(C3029&lt;=20,"Evening (17-20)","Late (21-23)")))))</f>
        <v/>
      </c>
    </row>
    <row r="3030" customFormat="false" ht="15" hidden="false" customHeight="false" outlineLevel="0" collapsed="false">
      <c r="L3030" s="37" t="str">
        <f aca="false">IF(C3030="","",IF(C3030&lt;=5,"Night (00-05)",IF(C3030&lt;=11,"Morning (06-11)",IF(C3030&lt;=16,"Afternoon (12-16)",IF(C3030&lt;=20,"Evening (17-20)","Late (21-23)")))))</f>
        <v/>
      </c>
    </row>
    <row r="3031" customFormat="false" ht="15" hidden="false" customHeight="false" outlineLevel="0" collapsed="false">
      <c r="L3031" s="37" t="str">
        <f aca="false">IF(C3031="","",IF(C3031&lt;=5,"Night (00-05)",IF(C3031&lt;=11,"Morning (06-11)",IF(C3031&lt;=16,"Afternoon (12-16)",IF(C3031&lt;=20,"Evening (17-20)","Late (21-23)")))))</f>
        <v/>
      </c>
    </row>
    <row r="3032" customFormat="false" ht="15" hidden="false" customHeight="false" outlineLevel="0" collapsed="false">
      <c r="L3032" s="37" t="str">
        <f aca="false">IF(C3032="","",IF(C3032&lt;=5,"Night (00-05)",IF(C3032&lt;=11,"Morning (06-11)",IF(C3032&lt;=16,"Afternoon (12-16)",IF(C3032&lt;=20,"Evening (17-20)","Late (21-23)")))))</f>
        <v/>
      </c>
    </row>
    <row r="3033" customFormat="false" ht="15" hidden="false" customHeight="false" outlineLevel="0" collapsed="false">
      <c r="L3033" s="37" t="str">
        <f aca="false">IF(C3033="","",IF(C3033&lt;=5,"Night (00-05)",IF(C3033&lt;=11,"Morning (06-11)",IF(C3033&lt;=16,"Afternoon (12-16)",IF(C3033&lt;=20,"Evening (17-20)","Late (21-23)")))))</f>
        <v/>
      </c>
    </row>
    <row r="3034" customFormat="false" ht="15" hidden="false" customHeight="false" outlineLevel="0" collapsed="false">
      <c r="L3034" s="37" t="str">
        <f aca="false">IF(C3034="","",IF(C3034&lt;=5,"Night (00-05)",IF(C3034&lt;=11,"Morning (06-11)",IF(C3034&lt;=16,"Afternoon (12-16)",IF(C3034&lt;=20,"Evening (17-20)","Late (21-23)")))))</f>
        <v/>
      </c>
    </row>
    <row r="3035" customFormat="false" ht="15" hidden="false" customHeight="false" outlineLevel="0" collapsed="false">
      <c r="L3035" s="37" t="str">
        <f aca="false">IF(C3035="","",IF(C3035&lt;=5,"Night (00-05)",IF(C3035&lt;=11,"Morning (06-11)",IF(C3035&lt;=16,"Afternoon (12-16)",IF(C3035&lt;=20,"Evening (17-20)","Late (21-23)")))))</f>
        <v/>
      </c>
    </row>
    <row r="3036" customFormat="false" ht="15" hidden="false" customHeight="false" outlineLevel="0" collapsed="false">
      <c r="L3036" s="37" t="str">
        <f aca="false">IF(C3036="","",IF(C3036&lt;=5,"Night (00-05)",IF(C3036&lt;=11,"Morning (06-11)",IF(C3036&lt;=16,"Afternoon (12-16)",IF(C3036&lt;=20,"Evening (17-20)","Late (21-23)")))))</f>
        <v/>
      </c>
    </row>
    <row r="3037" customFormat="false" ht="15" hidden="false" customHeight="false" outlineLevel="0" collapsed="false">
      <c r="L3037" s="37" t="str">
        <f aca="false">IF(C3037="","",IF(C3037&lt;=5,"Night (00-05)",IF(C3037&lt;=11,"Morning (06-11)",IF(C3037&lt;=16,"Afternoon (12-16)",IF(C3037&lt;=20,"Evening (17-20)","Late (21-23)")))))</f>
        <v/>
      </c>
    </row>
    <row r="3038" customFormat="false" ht="15" hidden="false" customHeight="false" outlineLevel="0" collapsed="false">
      <c r="L3038" s="37" t="str">
        <f aca="false">IF(C3038="","",IF(C3038&lt;=5,"Night (00-05)",IF(C3038&lt;=11,"Morning (06-11)",IF(C3038&lt;=16,"Afternoon (12-16)",IF(C3038&lt;=20,"Evening (17-20)","Late (21-23)")))))</f>
        <v/>
      </c>
    </row>
    <row r="3039" customFormat="false" ht="15" hidden="false" customHeight="false" outlineLevel="0" collapsed="false">
      <c r="L3039" s="37" t="str">
        <f aca="false">IF(C3039="","",IF(C3039&lt;=5,"Night (00-05)",IF(C3039&lt;=11,"Morning (06-11)",IF(C3039&lt;=16,"Afternoon (12-16)",IF(C3039&lt;=20,"Evening (17-20)","Late (21-23)")))))</f>
        <v/>
      </c>
    </row>
    <row r="3040" customFormat="false" ht="15" hidden="false" customHeight="false" outlineLevel="0" collapsed="false">
      <c r="L3040" s="37" t="str">
        <f aca="false">IF(C3040="","",IF(C3040&lt;=5,"Night (00-05)",IF(C3040&lt;=11,"Morning (06-11)",IF(C3040&lt;=16,"Afternoon (12-16)",IF(C3040&lt;=20,"Evening (17-20)","Late (21-23)")))))</f>
        <v/>
      </c>
    </row>
    <row r="3041" customFormat="false" ht="15" hidden="false" customHeight="false" outlineLevel="0" collapsed="false">
      <c r="L3041" s="37" t="str">
        <f aca="false">IF(C3041="","",IF(C3041&lt;=5,"Night (00-05)",IF(C3041&lt;=11,"Morning (06-11)",IF(C3041&lt;=16,"Afternoon (12-16)",IF(C3041&lt;=20,"Evening (17-20)","Late (21-23)")))))</f>
        <v/>
      </c>
    </row>
    <row r="3042" customFormat="false" ht="15" hidden="false" customHeight="false" outlineLevel="0" collapsed="false">
      <c r="L3042" s="37" t="str">
        <f aca="false">IF(C3042="","",IF(C3042&lt;=5,"Night (00-05)",IF(C3042&lt;=11,"Morning (06-11)",IF(C3042&lt;=16,"Afternoon (12-16)",IF(C3042&lt;=20,"Evening (17-20)","Late (21-23)")))))</f>
        <v/>
      </c>
    </row>
    <row r="3043" customFormat="false" ht="15" hidden="false" customHeight="false" outlineLevel="0" collapsed="false">
      <c r="L3043" s="37" t="str">
        <f aca="false">IF(C3043="","",IF(C3043&lt;=5,"Night (00-05)",IF(C3043&lt;=11,"Morning (06-11)",IF(C3043&lt;=16,"Afternoon (12-16)",IF(C3043&lt;=20,"Evening (17-20)","Late (21-23)")))))</f>
        <v/>
      </c>
    </row>
    <row r="3044" customFormat="false" ht="15" hidden="false" customHeight="false" outlineLevel="0" collapsed="false">
      <c r="L3044" s="37" t="str">
        <f aca="false">IF(C3044="","",IF(C3044&lt;=5,"Night (00-05)",IF(C3044&lt;=11,"Morning (06-11)",IF(C3044&lt;=16,"Afternoon (12-16)",IF(C3044&lt;=20,"Evening (17-20)","Late (21-23)")))))</f>
        <v/>
      </c>
    </row>
    <row r="3045" customFormat="false" ht="15" hidden="false" customHeight="false" outlineLevel="0" collapsed="false">
      <c r="L3045" s="37" t="str">
        <f aca="false">IF(C3045="","",IF(C3045&lt;=5,"Night (00-05)",IF(C3045&lt;=11,"Morning (06-11)",IF(C3045&lt;=16,"Afternoon (12-16)",IF(C3045&lt;=20,"Evening (17-20)","Late (21-23)")))))</f>
        <v/>
      </c>
    </row>
    <row r="3046" customFormat="false" ht="15" hidden="false" customHeight="false" outlineLevel="0" collapsed="false">
      <c r="L3046" s="37" t="str">
        <f aca="false">IF(C3046="","",IF(C3046&lt;=5,"Night (00-05)",IF(C3046&lt;=11,"Morning (06-11)",IF(C3046&lt;=16,"Afternoon (12-16)",IF(C3046&lt;=20,"Evening (17-20)","Late (21-23)")))))</f>
        <v/>
      </c>
    </row>
    <row r="3047" customFormat="false" ht="15" hidden="false" customHeight="false" outlineLevel="0" collapsed="false">
      <c r="L3047" s="37" t="str">
        <f aca="false">IF(C3047="","",IF(C3047&lt;=5,"Night (00-05)",IF(C3047&lt;=11,"Morning (06-11)",IF(C3047&lt;=16,"Afternoon (12-16)",IF(C3047&lt;=20,"Evening (17-20)","Late (21-23)")))))</f>
        <v/>
      </c>
    </row>
    <row r="3048" customFormat="false" ht="15" hidden="false" customHeight="false" outlineLevel="0" collapsed="false">
      <c r="L3048" s="37" t="str">
        <f aca="false">IF(C3048="","",IF(C3048&lt;=5,"Night (00-05)",IF(C3048&lt;=11,"Morning (06-11)",IF(C3048&lt;=16,"Afternoon (12-16)",IF(C3048&lt;=20,"Evening (17-20)","Late (21-23)")))))</f>
        <v/>
      </c>
    </row>
    <row r="3049" customFormat="false" ht="15" hidden="false" customHeight="false" outlineLevel="0" collapsed="false">
      <c r="L3049" s="37" t="str">
        <f aca="false">IF(C3049="","",IF(C3049&lt;=5,"Night (00-05)",IF(C3049&lt;=11,"Morning (06-11)",IF(C3049&lt;=16,"Afternoon (12-16)",IF(C3049&lt;=20,"Evening (17-20)","Late (21-23)")))))</f>
        <v/>
      </c>
    </row>
    <row r="3050" customFormat="false" ht="15" hidden="false" customHeight="false" outlineLevel="0" collapsed="false">
      <c r="L3050" s="37" t="str">
        <f aca="false">IF(C3050="","",IF(C3050&lt;=5,"Night (00-05)",IF(C3050&lt;=11,"Morning (06-11)",IF(C3050&lt;=16,"Afternoon (12-16)",IF(C3050&lt;=20,"Evening (17-20)","Late (21-23)")))))</f>
        <v/>
      </c>
    </row>
    <row r="3051" customFormat="false" ht="15" hidden="false" customHeight="false" outlineLevel="0" collapsed="false">
      <c r="L3051" s="37" t="str">
        <f aca="false">IF(C3051="","",IF(C3051&lt;=5,"Night (00-05)",IF(C3051&lt;=11,"Morning (06-11)",IF(C3051&lt;=16,"Afternoon (12-16)",IF(C3051&lt;=20,"Evening (17-20)","Late (21-23)")))))</f>
        <v/>
      </c>
    </row>
    <row r="3052" customFormat="false" ht="15" hidden="false" customHeight="false" outlineLevel="0" collapsed="false">
      <c r="L3052" s="37" t="str">
        <f aca="false">IF(C3052="","",IF(C3052&lt;=5,"Night (00-05)",IF(C3052&lt;=11,"Morning (06-11)",IF(C3052&lt;=16,"Afternoon (12-16)",IF(C3052&lt;=20,"Evening (17-20)","Late (21-23)")))))</f>
        <v/>
      </c>
    </row>
    <row r="3053" customFormat="false" ht="15" hidden="false" customHeight="false" outlineLevel="0" collapsed="false">
      <c r="L3053" s="37" t="str">
        <f aca="false">IF(C3053="","",IF(C3053&lt;=5,"Night (00-05)",IF(C3053&lt;=11,"Morning (06-11)",IF(C3053&lt;=16,"Afternoon (12-16)",IF(C3053&lt;=20,"Evening (17-20)","Late (21-23)")))))</f>
        <v/>
      </c>
    </row>
    <row r="3054" customFormat="false" ht="15" hidden="false" customHeight="false" outlineLevel="0" collapsed="false">
      <c r="L3054" s="37" t="str">
        <f aca="false">IF(C3054="","",IF(C3054&lt;=5,"Night (00-05)",IF(C3054&lt;=11,"Morning (06-11)",IF(C3054&lt;=16,"Afternoon (12-16)",IF(C3054&lt;=20,"Evening (17-20)","Late (21-23)")))))</f>
        <v/>
      </c>
    </row>
    <row r="3055" customFormat="false" ht="15" hidden="false" customHeight="false" outlineLevel="0" collapsed="false">
      <c r="L3055" s="37" t="str">
        <f aca="false">IF(C3055="","",IF(C3055&lt;=5,"Night (00-05)",IF(C3055&lt;=11,"Morning (06-11)",IF(C3055&lt;=16,"Afternoon (12-16)",IF(C3055&lt;=20,"Evening (17-20)","Late (21-23)")))))</f>
        <v/>
      </c>
    </row>
    <row r="3056" customFormat="false" ht="15" hidden="false" customHeight="false" outlineLevel="0" collapsed="false">
      <c r="L3056" s="37" t="str">
        <f aca="false">IF(C3056="","",IF(C3056&lt;=5,"Night (00-05)",IF(C3056&lt;=11,"Morning (06-11)",IF(C3056&lt;=16,"Afternoon (12-16)",IF(C3056&lt;=20,"Evening (17-20)","Late (21-23)")))))</f>
        <v/>
      </c>
    </row>
    <row r="3057" customFormat="false" ht="15" hidden="false" customHeight="false" outlineLevel="0" collapsed="false">
      <c r="L3057" s="37" t="str">
        <f aca="false">IF(C3057="","",IF(C3057&lt;=5,"Night (00-05)",IF(C3057&lt;=11,"Morning (06-11)",IF(C3057&lt;=16,"Afternoon (12-16)",IF(C3057&lt;=20,"Evening (17-20)","Late (21-23)")))))</f>
        <v/>
      </c>
    </row>
    <row r="3058" customFormat="false" ht="15" hidden="false" customHeight="false" outlineLevel="0" collapsed="false">
      <c r="L3058" s="37" t="str">
        <f aca="false">IF(C3058="","",IF(C3058&lt;=5,"Night (00-05)",IF(C3058&lt;=11,"Morning (06-11)",IF(C3058&lt;=16,"Afternoon (12-16)",IF(C3058&lt;=20,"Evening (17-20)","Late (21-23)")))))</f>
        <v/>
      </c>
    </row>
    <row r="3059" customFormat="false" ht="15" hidden="false" customHeight="false" outlineLevel="0" collapsed="false">
      <c r="L3059" s="37" t="str">
        <f aca="false">IF(C3059="","",IF(C3059&lt;=5,"Night (00-05)",IF(C3059&lt;=11,"Morning (06-11)",IF(C3059&lt;=16,"Afternoon (12-16)",IF(C3059&lt;=20,"Evening (17-20)","Late (21-23)")))))</f>
        <v/>
      </c>
    </row>
    <row r="3060" customFormat="false" ht="15" hidden="false" customHeight="false" outlineLevel="0" collapsed="false">
      <c r="L3060" s="37" t="str">
        <f aca="false">IF(C3060="","",IF(C3060&lt;=5,"Night (00-05)",IF(C3060&lt;=11,"Morning (06-11)",IF(C3060&lt;=16,"Afternoon (12-16)",IF(C3060&lt;=20,"Evening (17-20)","Late (21-23)")))))</f>
        <v/>
      </c>
    </row>
    <row r="3061" customFormat="false" ht="15" hidden="false" customHeight="false" outlineLevel="0" collapsed="false">
      <c r="L3061" s="37" t="str">
        <f aca="false">IF(C3061="","",IF(C3061&lt;=5,"Night (00-05)",IF(C3061&lt;=11,"Morning (06-11)",IF(C3061&lt;=16,"Afternoon (12-16)",IF(C3061&lt;=20,"Evening (17-20)","Late (21-23)")))))</f>
        <v/>
      </c>
    </row>
    <row r="3062" customFormat="false" ht="15" hidden="false" customHeight="false" outlineLevel="0" collapsed="false">
      <c r="L3062" s="37" t="str">
        <f aca="false">IF(C3062="","",IF(C3062&lt;=5,"Night (00-05)",IF(C3062&lt;=11,"Morning (06-11)",IF(C3062&lt;=16,"Afternoon (12-16)",IF(C3062&lt;=20,"Evening (17-20)","Late (21-23)")))))</f>
        <v/>
      </c>
    </row>
    <row r="3063" customFormat="false" ht="15" hidden="false" customHeight="false" outlineLevel="0" collapsed="false">
      <c r="L3063" s="37" t="str">
        <f aca="false">IF(C3063="","",IF(C3063&lt;=5,"Night (00-05)",IF(C3063&lt;=11,"Morning (06-11)",IF(C3063&lt;=16,"Afternoon (12-16)",IF(C3063&lt;=20,"Evening (17-20)","Late (21-23)")))))</f>
        <v/>
      </c>
    </row>
    <row r="3064" customFormat="false" ht="15" hidden="false" customHeight="false" outlineLevel="0" collapsed="false">
      <c r="L3064" s="37" t="str">
        <f aca="false">IF(C3064="","",IF(C3064&lt;=5,"Night (00-05)",IF(C3064&lt;=11,"Morning (06-11)",IF(C3064&lt;=16,"Afternoon (12-16)",IF(C3064&lt;=20,"Evening (17-20)","Late (21-23)")))))</f>
        <v/>
      </c>
    </row>
    <row r="3065" customFormat="false" ht="15" hidden="false" customHeight="false" outlineLevel="0" collapsed="false">
      <c r="L3065" s="37" t="str">
        <f aca="false">IF(C3065="","",IF(C3065&lt;=5,"Night (00-05)",IF(C3065&lt;=11,"Morning (06-11)",IF(C3065&lt;=16,"Afternoon (12-16)",IF(C3065&lt;=20,"Evening (17-20)","Late (21-23)")))))</f>
        <v/>
      </c>
    </row>
    <row r="3066" customFormat="false" ht="15" hidden="false" customHeight="false" outlineLevel="0" collapsed="false">
      <c r="L3066" s="37" t="str">
        <f aca="false">IF(C3066="","",IF(C3066&lt;=5,"Night (00-05)",IF(C3066&lt;=11,"Morning (06-11)",IF(C3066&lt;=16,"Afternoon (12-16)",IF(C3066&lt;=20,"Evening (17-20)","Late (21-23)")))))</f>
        <v/>
      </c>
    </row>
    <row r="3067" customFormat="false" ht="15" hidden="false" customHeight="false" outlineLevel="0" collapsed="false">
      <c r="L3067" s="37" t="str">
        <f aca="false">IF(C3067="","",IF(C3067&lt;=5,"Night (00-05)",IF(C3067&lt;=11,"Morning (06-11)",IF(C3067&lt;=16,"Afternoon (12-16)",IF(C3067&lt;=20,"Evening (17-20)","Late (21-23)")))))</f>
        <v/>
      </c>
    </row>
    <row r="3068" customFormat="false" ht="15" hidden="false" customHeight="false" outlineLevel="0" collapsed="false">
      <c r="L3068" s="37" t="str">
        <f aca="false">IF(C3068="","",IF(C3068&lt;=5,"Night (00-05)",IF(C3068&lt;=11,"Morning (06-11)",IF(C3068&lt;=16,"Afternoon (12-16)",IF(C3068&lt;=20,"Evening (17-20)","Late (21-23)")))))</f>
        <v/>
      </c>
    </row>
    <row r="3069" customFormat="false" ht="15" hidden="false" customHeight="false" outlineLevel="0" collapsed="false">
      <c r="L3069" s="37" t="str">
        <f aca="false">IF(C3069="","",IF(C3069&lt;=5,"Night (00-05)",IF(C3069&lt;=11,"Morning (06-11)",IF(C3069&lt;=16,"Afternoon (12-16)",IF(C3069&lt;=20,"Evening (17-20)","Late (21-23)")))))</f>
        <v/>
      </c>
    </row>
    <row r="3070" customFormat="false" ht="15" hidden="false" customHeight="false" outlineLevel="0" collapsed="false">
      <c r="L3070" s="37" t="str">
        <f aca="false">IF(C3070="","",IF(C3070&lt;=5,"Night (00-05)",IF(C3070&lt;=11,"Morning (06-11)",IF(C3070&lt;=16,"Afternoon (12-16)",IF(C3070&lt;=20,"Evening (17-20)","Late (21-23)")))))</f>
        <v/>
      </c>
    </row>
    <row r="3071" customFormat="false" ht="15" hidden="false" customHeight="false" outlineLevel="0" collapsed="false">
      <c r="L3071" s="37" t="str">
        <f aca="false">IF(C3071="","",IF(C3071&lt;=5,"Night (00-05)",IF(C3071&lt;=11,"Morning (06-11)",IF(C3071&lt;=16,"Afternoon (12-16)",IF(C3071&lt;=20,"Evening (17-20)","Late (21-23)")))))</f>
        <v/>
      </c>
    </row>
    <row r="3072" customFormat="false" ht="15" hidden="false" customHeight="false" outlineLevel="0" collapsed="false">
      <c r="L3072" s="37" t="str">
        <f aca="false">IF(C3072="","",IF(C3072&lt;=5,"Night (00-05)",IF(C3072&lt;=11,"Morning (06-11)",IF(C3072&lt;=16,"Afternoon (12-16)",IF(C3072&lt;=20,"Evening (17-20)","Late (21-23)")))))</f>
        <v/>
      </c>
    </row>
    <row r="3073" customFormat="false" ht="15" hidden="false" customHeight="false" outlineLevel="0" collapsed="false">
      <c r="L3073" s="37" t="str">
        <f aca="false">IF(C3073="","",IF(C3073&lt;=5,"Night (00-05)",IF(C3073&lt;=11,"Morning (06-11)",IF(C3073&lt;=16,"Afternoon (12-16)",IF(C3073&lt;=20,"Evening (17-20)","Late (21-23)")))))</f>
        <v/>
      </c>
    </row>
    <row r="3074" customFormat="false" ht="15" hidden="false" customHeight="false" outlineLevel="0" collapsed="false">
      <c r="L3074" s="37" t="str">
        <f aca="false">IF(C3074="","",IF(C3074&lt;=5,"Night (00-05)",IF(C3074&lt;=11,"Morning (06-11)",IF(C3074&lt;=16,"Afternoon (12-16)",IF(C3074&lt;=20,"Evening (17-20)","Late (21-23)")))))</f>
        <v/>
      </c>
    </row>
    <row r="3075" customFormat="false" ht="15" hidden="false" customHeight="false" outlineLevel="0" collapsed="false">
      <c r="L3075" s="37" t="str">
        <f aca="false">IF(C3075="","",IF(C3075&lt;=5,"Night (00-05)",IF(C3075&lt;=11,"Morning (06-11)",IF(C3075&lt;=16,"Afternoon (12-16)",IF(C3075&lt;=20,"Evening (17-20)","Late (21-23)")))))</f>
        <v/>
      </c>
    </row>
    <row r="3076" customFormat="false" ht="15" hidden="false" customHeight="false" outlineLevel="0" collapsed="false">
      <c r="L3076" s="37" t="str">
        <f aca="false">IF(C3076="","",IF(C3076&lt;=5,"Night (00-05)",IF(C3076&lt;=11,"Morning (06-11)",IF(C3076&lt;=16,"Afternoon (12-16)",IF(C3076&lt;=20,"Evening (17-20)","Late (21-23)")))))</f>
        <v/>
      </c>
    </row>
    <row r="3077" customFormat="false" ht="15" hidden="false" customHeight="false" outlineLevel="0" collapsed="false">
      <c r="L3077" s="37" t="str">
        <f aca="false">IF(C3077="","",IF(C3077&lt;=5,"Night (00-05)",IF(C3077&lt;=11,"Morning (06-11)",IF(C3077&lt;=16,"Afternoon (12-16)",IF(C3077&lt;=20,"Evening (17-20)","Late (21-23)")))))</f>
        <v/>
      </c>
    </row>
    <row r="3078" customFormat="false" ht="15" hidden="false" customHeight="false" outlineLevel="0" collapsed="false">
      <c r="L3078" s="37" t="str">
        <f aca="false">IF(C3078="","",IF(C3078&lt;=5,"Night (00-05)",IF(C3078&lt;=11,"Morning (06-11)",IF(C3078&lt;=16,"Afternoon (12-16)",IF(C3078&lt;=20,"Evening (17-20)","Late (21-23)")))))</f>
        <v/>
      </c>
    </row>
    <row r="3079" customFormat="false" ht="15" hidden="false" customHeight="false" outlineLevel="0" collapsed="false">
      <c r="L3079" s="37" t="str">
        <f aca="false">IF(C3079="","",IF(C3079&lt;=5,"Night (00-05)",IF(C3079&lt;=11,"Morning (06-11)",IF(C3079&lt;=16,"Afternoon (12-16)",IF(C3079&lt;=20,"Evening (17-20)","Late (21-23)")))))</f>
        <v/>
      </c>
    </row>
    <row r="3080" customFormat="false" ht="15" hidden="false" customHeight="false" outlineLevel="0" collapsed="false">
      <c r="L3080" s="37" t="str">
        <f aca="false">IF(C3080="","",IF(C3080&lt;=5,"Night (00-05)",IF(C3080&lt;=11,"Morning (06-11)",IF(C3080&lt;=16,"Afternoon (12-16)",IF(C3080&lt;=20,"Evening (17-20)","Late (21-23)")))))</f>
        <v/>
      </c>
    </row>
    <row r="3081" customFormat="false" ht="15" hidden="false" customHeight="false" outlineLevel="0" collapsed="false">
      <c r="L3081" s="37" t="str">
        <f aca="false">IF(C3081="","",IF(C3081&lt;=5,"Night (00-05)",IF(C3081&lt;=11,"Morning (06-11)",IF(C3081&lt;=16,"Afternoon (12-16)",IF(C3081&lt;=20,"Evening (17-20)","Late (21-23)")))))</f>
        <v/>
      </c>
    </row>
    <row r="3082" customFormat="false" ht="15" hidden="false" customHeight="false" outlineLevel="0" collapsed="false">
      <c r="L3082" s="37" t="str">
        <f aca="false">IF(C3082="","",IF(C3082&lt;=5,"Night (00-05)",IF(C3082&lt;=11,"Morning (06-11)",IF(C3082&lt;=16,"Afternoon (12-16)",IF(C3082&lt;=20,"Evening (17-20)","Late (21-23)")))))</f>
        <v/>
      </c>
    </row>
    <row r="3083" customFormat="false" ht="15" hidden="false" customHeight="false" outlineLevel="0" collapsed="false">
      <c r="L3083" s="37" t="str">
        <f aca="false">IF(C3083="","",IF(C3083&lt;=5,"Night (00-05)",IF(C3083&lt;=11,"Morning (06-11)",IF(C3083&lt;=16,"Afternoon (12-16)",IF(C3083&lt;=20,"Evening (17-20)","Late (21-23)")))))</f>
        <v/>
      </c>
    </row>
    <row r="3084" customFormat="false" ht="15" hidden="false" customHeight="false" outlineLevel="0" collapsed="false">
      <c r="L3084" s="37" t="str">
        <f aca="false">IF(C3084="","",IF(C3084&lt;=5,"Night (00-05)",IF(C3084&lt;=11,"Morning (06-11)",IF(C3084&lt;=16,"Afternoon (12-16)",IF(C3084&lt;=20,"Evening (17-20)","Late (21-23)")))))</f>
        <v/>
      </c>
    </row>
    <row r="3085" customFormat="false" ht="15" hidden="false" customHeight="false" outlineLevel="0" collapsed="false">
      <c r="L3085" s="37" t="str">
        <f aca="false">IF(C3085="","",IF(C3085&lt;=5,"Night (00-05)",IF(C3085&lt;=11,"Morning (06-11)",IF(C3085&lt;=16,"Afternoon (12-16)",IF(C3085&lt;=20,"Evening (17-20)","Late (21-23)")))))</f>
        <v/>
      </c>
    </row>
    <row r="3086" customFormat="false" ht="15" hidden="false" customHeight="false" outlineLevel="0" collapsed="false">
      <c r="L3086" s="37" t="str">
        <f aca="false">IF(C3086="","",IF(C3086&lt;=5,"Night (00-05)",IF(C3086&lt;=11,"Morning (06-11)",IF(C3086&lt;=16,"Afternoon (12-16)",IF(C3086&lt;=20,"Evening (17-20)","Late (21-23)")))))</f>
        <v/>
      </c>
    </row>
    <row r="3087" customFormat="false" ht="15" hidden="false" customHeight="false" outlineLevel="0" collapsed="false">
      <c r="L3087" s="37" t="str">
        <f aca="false">IF(C3087="","",IF(C3087&lt;=5,"Night (00-05)",IF(C3087&lt;=11,"Morning (06-11)",IF(C3087&lt;=16,"Afternoon (12-16)",IF(C3087&lt;=20,"Evening (17-20)","Late (21-23)")))))</f>
        <v/>
      </c>
    </row>
    <row r="3088" customFormat="false" ht="15" hidden="false" customHeight="false" outlineLevel="0" collapsed="false">
      <c r="L3088" s="37" t="str">
        <f aca="false">IF(C3088="","",IF(C3088&lt;=5,"Night (00-05)",IF(C3088&lt;=11,"Morning (06-11)",IF(C3088&lt;=16,"Afternoon (12-16)",IF(C3088&lt;=20,"Evening (17-20)","Late (21-23)")))))</f>
        <v/>
      </c>
    </row>
    <row r="3089" customFormat="false" ht="15" hidden="false" customHeight="false" outlineLevel="0" collapsed="false">
      <c r="L3089" s="37" t="str">
        <f aca="false">IF(C3089="","",IF(C3089&lt;=5,"Night (00-05)",IF(C3089&lt;=11,"Morning (06-11)",IF(C3089&lt;=16,"Afternoon (12-16)",IF(C3089&lt;=20,"Evening (17-20)","Late (21-23)")))))</f>
        <v/>
      </c>
    </row>
    <row r="3090" customFormat="false" ht="15" hidden="false" customHeight="false" outlineLevel="0" collapsed="false">
      <c r="L3090" s="37" t="str">
        <f aca="false">IF(C3090="","",IF(C3090&lt;=5,"Night (00-05)",IF(C3090&lt;=11,"Morning (06-11)",IF(C3090&lt;=16,"Afternoon (12-16)",IF(C3090&lt;=20,"Evening (17-20)","Late (21-23)")))))</f>
        <v/>
      </c>
    </row>
    <row r="3091" customFormat="false" ht="15" hidden="false" customHeight="false" outlineLevel="0" collapsed="false">
      <c r="L3091" s="37" t="str">
        <f aca="false">IF(C3091="","",IF(C3091&lt;=5,"Night (00-05)",IF(C3091&lt;=11,"Morning (06-11)",IF(C3091&lt;=16,"Afternoon (12-16)",IF(C3091&lt;=20,"Evening (17-20)","Late (21-23)")))))</f>
        <v/>
      </c>
    </row>
    <row r="3092" customFormat="false" ht="15" hidden="false" customHeight="false" outlineLevel="0" collapsed="false">
      <c r="L3092" s="37" t="str">
        <f aca="false">IF(C3092="","",IF(C3092&lt;=5,"Night (00-05)",IF(C3092&lt;=11,"Morning (06-11)",IF(C3092&lt;=16,"Afternoon (12-16)",IF(C3092&lt;=20,"Evening (17-20)","Late (21-23)")))))</f>
        <v/>
      </c>
    </row>
    <row r="3093" customFormat="false" ht="15" hidden="false" customHeight="false" outlineLevel="0" collapsed="false">
      <c r="L3093" s="37" t="str">
        <f aca="false">IF(C3093="","",IF(C3093&lt;=5,"Night (00-05)",IF(C3093&lt;=11,"Morning (06-11)",IF(C3093&lt;=16,"Afternoon (12-16)",IF(C3093&lt;=20,"Evening (17-20)","Late (21-23)")))))</f>
        <v/>
      </c>
    </row>
    <row r="3094" customFormat="false" ht="15" hidden="false" customHeight="false" outlineLevel="0" collapsed="false">
      <c r="L3094" s="37" t="str">
        <f aca="false">IF(C3094="","",IF(C3094&lt;=5,"Night (00-05)",IF(C3094&lt;=11,"Morning (06-11)",IF(C3094&lt;=16,"Afternoon (12-16)",IF(C3094&lt;=20,"Evening (17-20)","Late (21-23)")))))</f>
        <v/>
      </c>
    </row>
    <row r="3095" customFormat="false" ht="15" hidden="false" customHeight="false" outlineLevel="0" collapsed="false">
      <c r="L3095" s="37" t="str">
        <f aca="false">IF(C3095="","",IF(C3095&lt;=5,"Night (00-05)",IF(C3095&lt;=11,"Morning (06-11)",IF(C3095&lt;=16,"Afternoon (12-16)",IF(C3095&lt;=20,"Evening (17-20)","Late (21-23)")))))</f>
        <v/>
      </c>
    </row>
    <row r="3096" customFormat="false" ht="15" hidden="false" customHeight="false" outlineLevel="0" collapsed="false">
      <c r="L3096" s="37" t="str">
        <f aca="false">IF(C3096="","",IF(C3096&lt;=5,"Night (00-05)",IF(C3096&lt;=11,"Morning (06-11)",IF(C3096&lt;=16,"Afternoon (12-16)",IF(C3096&lt;=20,"Evening (17-20)","Late (21-23)")))))</f>
        <v/>
      </c>
    </row>
    <row r="3097" customFormat="false" ht="15" hidden="false" customHeight="false" outlineLevel="0" collapsed="false">
      <c r="L3097" s="37" t="str">
        <f aca="false">IF(C3097="","",IF(C3097&lt;=5,"Night (00-05)",IF(C3097&lt;=11,"Morning (06-11)",IF(C3097&lt;=16,"Afternoon (12-16)",IF(C3097&lt;=20,"Evening (17-20)","Late (21-23)")))))</f>
        <v/>
      </c>
    </row>
    <row r="3098" customFormat="false" ht="15" hidden="false" customHeight="false" outlineLevel="0" collapsed="false">
      <c r="L3098" s="37" t="str">
        <f aca="false">IF(C3098="","",IF(C3098&lt;=5,"Night (00-05)",IF(C3098&lt;=11,"Morning (06-11)",IF(C3098&lt;=16,"Afternoon (12-16)",IF(C3098&lt;=20,"Evening (17-20)","Late (21-23)")))))</f>
        <v/>
      </c>
    </row>
    <row r="3099" customFormat="false" ht="15" hidden="false" customHeight="false" outlineLevel="0" collapsed="false">
      <c r="L3099" s="37" t="str">
        <f aca="false">IF(C3099="","",IF(C3099&lt;=5,"Night (00-05)",IF(C3099&lt;=11,"Morning (06-11)",IF(C3099&lt;=16,"Afternoon (12-16)",IF(C3099&lt;=20,"Evening (17-20)","Late (21-23)")))))</f>
        <v/>
      </c>
    </row>
    <row r="3100" customFormat="false" ht="15" hidden="false" customHeight="false" outlineLevel="0" collapsed="false">
      <c r="L3100" s="37" t="str">
        <f aca="false">IF(C3100="","",IF(C3100&lt;=5,"Night (00-05)",IF(C3100&lt;=11,"Morning (06-11)",IF(C3100&lt;=16,"Afternoon (12-16)",IF(C3100&lt;=20,"Evening (17-20)","Late (21-23)")))))</f>
        <v/>
      </c>
    </row>
    <row r="3101" customFormat="false" ht="15" hidden="false" customHeight="false" outlineLevel="0" collapsed="false">
      <c r="L3101" s="37" t="str">
        <f aca="false">IF(C3101="","",IF(C3101&lt;=5,"Night (00-05)",IF(C3101&lt;=11,"Morning (06-11)",IF(C3101&lt;=16,"Afternoon (12-16)",IF(C3101&lt;=20,"Evening (17-20)","Late (21-23)")))))</f>
        <v/>
      </c>
    </row>
    <row r="3102" customFormat="false" ht="15" hidden="false" customHeight="false" outlineLevel="0" collapsed="false">
      <c r="L3102" s="37" t="str">
        <f aca="false">IF(C3102="","",IF(C3102&lt;=5,"Night (00-05)",IF(C3102&lt;=11,"Morning (06-11)",IF(C3102&lt;=16,"Afternoon (12-16)",IF(C3102&lt;=20,"Evening (17-20)","Late (21-23)")))))</f>
        <v/>
      </c>
    </row>
    <row r="3103" customFormat="false" ht="15" hidden="false" customHeight="false" outlineLevel="0" collapsed="false">
      <c r="L3103" s="37" t="str">
        <f aca="false">IF(C3103="","",IF(C3103&lt;=5,"Night (00-05)",IF(C3103&lt;=11,"Morning (06-11)",IF(C3103&lt;=16,"Afternoon (12-16)",IF(C3103&lt;=20,"Evening (17-20)","Late (21-23)")))))</f>
        <v/>
      </c>
    </row>
    <row r="3104" customFormat="false" ht="15" hidden="false" customHeight="false" outlineLevel="0" collapsed="false">
      <c r="L3104" s="37" t="str">
        <f aca="false">IF(C3104="","",IF(C3104&lt;=5,"Night (00-05)",IF(C3104&lt;=11,"Morning (06-11)",IF(C3104&lt;=16,"Afternoon (12-16)",IF(C3104&lt;=20,"Evening (17-20)","Late (21-23)")))))</f>
        <v/>
      </c>
    </row>
    <row r="3105" customFormat="false" ht="15" hidden="false" customHeight="false" outlineLevel="0" collapsed="false">
      <c r="L3105" s="37" t="str">
        <f aca="false">IF(C3105="","",IF(C3105&lt;=5,"Night (00-05)",IF(C3105&lt;=11,"Morning (06-11)",IF(C3105&lt;=16,"Afternoon (12-16)",IF(C3105&lt;=20,"Evening (17-20)","Late (21-23)")))))</f>
        <v/>
      </c>
    </row>
    <row r="3106" customFormat="false" ht="15" hidden="false" customHeight="false" outlineLevel="0" collapsed="false">
      <c r="L3106" s="37" t="str">
        <f aca="false">IF(C3106="","",IF(C3106&lt;=5,"Night (00-05)",IF(C3106&lt;=11,"Morning (06-11)",IF(C3106&lt;=16,"Afternoon (12-16)",IF(C3106&lt;=20,"Evening (17-20)","Late (21-23)")))))</f>
        <v/>
      </c>
    </row>
    <row r="3107" customFormat="false" ht="15" hidden="false" customHeight="false" outlineLevel="0" collapsed="false">
      <c r="L3107" s="37" t="str">
        <f aca="false">IF(C3107="","",IF(C3107&lt;=5,"Night (00-05)",IF(C3107&lt;=11,"Morning (06-11)",IF(C3107&lt;=16,"Afternoon (12-16)",IF(C3107&lt;=20,"Evening (17-20)","Late (21-23)")))))</f>
        <v/>
      </c>
    </row>
    <row r="3108" customFormat="false" ht="15" hidden="false" customHeight="false" outlineLevel="0" collapsed="false">
      <c r="L3108" s="37" t="str">
        <f aca="false">IF(C3108="","",IF(C3108&lt;=5,"Night (00-05)",IF(C3108&lt;=11,"Morning (06-11)",IF(C3108&lt;=16,"Afternoon (12-16)",IF(C3108&lt;=20,"Evening (17-20)","Late (21-23)")))))</f>
        <v/>
      </c>
    </row>
    <row r="3109" customFormat="false" ht="15" hidden="false" customHeight="false" outlineLevel="0" collapsed="false">
      <c r="L3109" s="37" t="str">
        <f aca="false">IF(C3109="","",IF(C3109&lt;=5,"Night (00-05)",IF(C3109&lt;=11,"Morning (06-11)",IF(C3109&lt;=16,"Afternoon (12-16)",IF(C3109&lt;=20,"Evening (17-20)","Late (21-23)")))))</f>
        <v/>
      </c>
    </row>
    <row r="3110" customFormat="false" ht="15" hidden="false" customHeight="false" outlineLevel="0" collapsed="false">
      <c r="L3110" s="37" t="str">
        <f aca="false">IF(C3110="","",IF(C3110&lt;=5,"Night (00-05)",IF(C3110&lt;=11,"Morning (06-11)",IF(C3110&lt;=16,"Afternoon (12-16)",IF(C3110&lt;=20,"Evening (17-20)","Late (21-23)")))))</f>
        <v/>
      </c>
    </row>
    <row r="3111" customFormat="false" ht="15" hidden="false" customHeight="false" outlineLevel="0" collapsed="false">
      <c r="L3111" s="37" t="str">
        <f aca="false">IF(C3111="","",IF(C3111&lt;=5,"Night (00-05)",IF(C3111&lt;=11,"Morning (06-11)",IF(C3111&lt;=16,"Afternoon (12-16)",IF(C3111&lt;=20,"Evening (17-20)","Late (21-23)")))))</f>
        <v/>
      </c>
    </row>
    <row r="3112" customFormat="false" ht="15" hidden="false" customHeight="false" outlineLevel="0" collapsed="false">
      <c r="L3112" s="37" t="str">
        <f aca="false">IF(C3112="","",IF(C3112&lt;=5,"Night (00-05)",IF(C3112&lt;=11,"Morning (06-11)",IF(C3112&lt;=16,"Afternoon (12-16)",IF(C3112&lt;=20,"Evening (17-20)","Late (21-23)")))))</f>
        <v/>
      </c>
    </row>
    <row r="3113" customFormat="false" ht="15" hidden="false" customHeight="false" outlineLevel="0" collapsed="false">
      <c r="L3113" s="37" t="str">
        <f aca="false">IF(C3113="","",IF(C3113&lt;=5,"Night (00-05)",IF(C3113&lt;=11,"Morning (06-11)",IF(C3113&lt;=16,"Afternoon (12-16)",IF(C3113&lt;=20,"Evening (17-20)","Late (21-23)")))))</f>
        <v/>
      </c>
    </row>
    <row r="3114" customFormat="false" ht="15" hidden="false" customHeight="false" outlineLevel="0" collapsed="false">
      <c r="L3114" s="37" t="str">
        <f aca="false">IF(C3114="","",IF(C3114&lt;=5,"Night (00-05)",IF(C3114&lt;=11,"Morning (06-11)",IF(C3114&lt;=16,"Afternoon (12-16)",IF(C3114&lt;=20,"Evening (17-20)","Late (21-23)")))))</f>
        <v/>
      </c>
    </row>
    <row r="3115" customFormat="false" ht="15" hidden="false" customHeight="false" outlineLevel="0" collapsed="false">
      <c r="L3115" s="37" t="str">
        <f aca="false">IF(C3115="","",IF(C3115&lt;=5,"Night (00-05)",IF(C3115&lt;=11,"Morning (06-11)",IF(C3115&lt;=16,"Afternoon (12-16)",IF(C3115&lt;=20,"Evening (17-20)","Late (21-23)")))))</f>
        <v/>
      </c>
    </row>
    <row r="3116" customFormat="false" ht="15" hidden="false" customHeight="false" outlineLevel="0" collapsed="false">
      <c r="L3116" s="37" t="str">
        <f aca="false">IF(C3116="","",IF(C3116&lt;=5,"Night (00-05)",IF(C3116&lt;=11,"Morning (06-11)",IF(C3116&lt;=16,"Afternoon (12-16)",IF(C3116&lt;=20,"Evening (17-20)","Late (21-23)")))))</f>
        <v/>
      </c>
    </row>
    <row r="3117" customFormat="false" ht="15" hidden="false" customHeight="false" outlineLevel="0" collapsed="false">
      <c r="L3117" s="37" t="str">
        <f aca="false">IF(C3117="","",IF(C3117&lt;=5,"Night (00-05)",IF(C3117&lt;=11,"Morning (06-11)",IF(C3117&lt;=16,"Afternoon (12-16)",IF(C3117&lt;=20,"Evening (17-20)","Late (21-23)")))))</f>
        <v/>
      </c>
    </row>
    <row r="3118" customFormat="false" ht="15" hidden="false" customHeight="false" outlineLevel="0" collapsed="false">
      <c r="L3118" s="37" t="str">
        <f aca="false">IF(C3118="","",IF(C3118&lt;=5,"Night (00-05)",IF(C3118&lt;=11,"Morning (06-11)",IF(C3118&lt;=16,"Afternoon (12-16)",IF(C3118&lt;=20,"Evening (17-20)","Late (21-23)")))))</f>
        <v/>
      </c>
    </row>
    <row r="3119" customFormat="false" ht="15" hidden="false" customHeight="false" outlineLevel="0" collapsed="false">
      <c r="L3119" s="37" t="str">
        <f aca="false">IF(C3119="","",IF(C3119&lt;=5,"Night (00-05)",IF(C3119&lt;=11,"Morning (06-11)",IF(C3119&lt;=16,"Afternoon (12-16)",IF(C3119&lt;=20,"Evening (17-20)","Late (21-23)")))))</f>
        <v/>
      </c>
    </row>
    <row r="3120" customFormat="false" ht="15" hidden="false" customHeight="false" outlineLevel="0" collapsed="false">
      <c r="L3120" s="37" t="str">
        <f aca="false">IF(C3120="","",IF(C3120&lt;=5,"Night (00-05)",IF(C3120&lt;=11,"Morning (06-11)",IF(C3120&lt;=16,"Afternoon (12-16)",IF(C3120&lt;=20,"Evening (17-20)","Late (21-23)")))))</f>
        <v/>
      </c>
    </row>
    <row r="3121" customFormat="false" ht="15" hidden="false" customHeight="false" outlineLevel="0" collapsed="false">
      <c r="L3121" s="37" t="str">
        <f aca="false">IF(C3121="","",IF(C3121&lt;=5,"Night (00-05)",IF(C3121&lt;=11,"Morning (06-11)",IF(C3121&lt;=16,"Afternoon (12-16)",IF(C3121&lt;=20,"Evening (17-20)","Late (21-23)")))))</f>
        <v/>
      </c>
    </row>
    <row r="3122" customFormat="false" ht="15" hidden="false" customHeight="false" outlineLevel="0" collapsed="false">
      <c r="L3122" s="37" t="str">
        <f aca="false">IF(C3122="","",IF(C3122&lt;=5,"Night (00-05)",IF(C3122&lt;=11,"Morning (06-11)",IF(C3122&lt;=16,"Afternoon (12-16)",IF(C3122&lt;=20,"Evening (17-20)","Late (21-23)")))))</f>
        <v/>
      </c>
    </row>
    <row r="3123" customFormat="false" ht="15" hidden="false" customHeight="false" outlineLevel="0" collapsed="false">
      <c r="L3123" s="37" t="str">
        <f aca="false">IF(C3123="","",IF(C3123&lt;=5,"Night (00-05)",IF(C3123&lt;=11,"Morning (06-11)",IF(C3123&lt;=16,"Afternoon (12-16)",IF(C3123&lt;=20,"Evening (17-20)","Late (21-23)")))))</f>
        <v/>
      </c>
    </row>
    <row r="3124" customFormat="false" ht="15" hidden="false" customHeight="false" outlineLevel="0" collapsed="false">
      <c r="L3124" s="37" t="str">
        <f aca="false">IF(C3124="","",IF(C3124&lt;=5,"Night (00-05)",IF(C3124&lt;=11,"Morning (06-11)",IF(C3124&lt;=16,"Afternoon (12-16)",IF(C3124&lt;=20,"Evening (17-20)","Late (21-23)")))))</f>
        <v/>
      </c>
    </row>
    <row r="3125" customFormat="false" ht="15" hidden="false" customHeight="false" outlineLevel="0" collapsed="false">
      <c r="L3125" s="37" t="str">
        <f aca="false">IF(C3125="","",IF(C3125&lt;=5,"Night (00-05)",IF(C3125&lt;=11,"Morning (06-11)",IF(C3125&lt;=16,"Afternoon (12-16)",IF(C3125&lt;=20,"Evening (17-20)","Late (21-23)")))))</f>
        <v/>
      </c>
    </row>
    <row r="3126" customFormat="false" ht="15" hidden="false" customHeight="false" outlineLevel="0" collapsed="false">
      <c r="L3126" s="37" t="str">
        <f aca="false">IF(C3126="","",IF(C3126&lt;=5,"Night (00-05)",IF(C3126&lt;=11,"Morning (06-11)",IF(C3126&lt;=16,"Afternoon (12-16)",IF(C3126&lt;=20,"Evening (17-20)","Late (21-23)")))))</f>
        <v/>
      </c>
    </row>
    <row r="3127" customFormat="false" ht="15" hidden="false" customHeight="false" outlineLevel="0" collapsed="false">
      <c r="L3127" s="37" t="str">
        <f aca="false">IF(C3127="","",IF(C3127&lt;=5,"Night (00-05)",IF(C3127&lt;=11,"Morning (06-11)",IF(C3127&lt;=16,"Afternoon (12-16)",IF(C3127&lt;=20,"Evening (17-20)","Late (21-23)")))))</f>
        <v/>
      </c>
    </row>
    <row r="3128" customFormat="false" ht="15" hidden="false" customHeight="false" outlineLevel="0" collapsed="false">
      <c r="L3128" s="37" t="str">
        <f aca="false">IF(C3128="","",IF(C3128&lt;=5,"Night (00-05)",IF(C3128&lt;=11,"Morning (06-11)",IF(C3128&lt;=16,"Afternoon (12-16)",IF(C3128&lt;=20,"Evening (17-20)","Late (21-23)")))))</f>
        <v/>
      </c>
    </row>
    <row r="3129" customFormat="false" ht="15" hidden="false" customHeight="false" outlineLevel="0" collapsed="false">
      <c r="L3129" s="37" t="str">
        <f aca="false">IF(C3129="","",IF(C3129&lt;=5,"Night (00-05)",IF(C3129&lt;=11,"Morning (06-11)",IF(C3129&lt;=16,"Afternoon (12-16)",IF(C3129&lt;=20,"Evening (17-20)","Late (21-23)")))))</f>
        <v/>
      </c>
    </row>
    <row r="3130" customFormat="false" ht="15" hidden="false" customHeight="false" outlineLevel="0" collapsed="false">
      <c r="L3130" s="37" t="str">
        <f aca="false">IF(C3130="","",IF(C3130&lt;=5,"Night (00-05)",IF(C3130&lt;=11,"Morning (06-11)",IF(C3130&lt;=16,"Afternoon (12-16)",IF(C3130&lt;=20,"Evening (17-20)","Late (21-23)")))))</f>
        <v/>
      </c>
    </row>
    <row r="3131" customFormat="false" ht="15" hidden="false" customHeight="false" outlineLevel="0" collapsed="false">
      <c r="L3131" s="37" t="str">
        <f aca="false">IF(C3131="","",IF(C3131&lt;=5,"Night (00-05)",IF(C3131&lt;=11,"Morning (06-11)",IF(C3131&lt;=16,"Afternoon (12-16)",IF(C3131&lt;=20,"Evening (17-20)","Late (21-23)")))))</f>
        <v/>
      </c>
    </row>
    <row r="3132" customFormat="false" ht="15" hidden="false" customHeight="false" outlineLevel="0" collapsed="false">
      <c r="L3132" s="37" t="str">
        <f aca="false">IF(C3132="","",IF(C3132&lt;=5,"Night (00-05)",IF(C3132&lt;=11,"Morning (06-11)",IF(C3132&lt;=16,"Afternoon (12-16)",IF(C3132&lt;=20,"Evening (17-20)","Late (21-23)")))))</f>
        <v/>
      </c>
    </row>
    <row r="3133" customFormat="false" ht="15" hidden="false" customHeight="false" outlineLevel="0" collapsed="false">
      <c r="L3133" s="37" t="str">
        <f aca="false">IF(C3133="","",IF(C3133&lt;=5,"Night (00-05)",IF(C3133&lt;=11,"Morning (06-11)",IF(C3133&lt;=16,"Afternoon (12-16)",IF(C3133&lt;=20,"Evening (17-20)","Late (21-23)")))))</f>
        <v/>
      </c>
    </row>
    <row r="3134" customFormat="false" ht="15" hidden="false" customHeight="false" outlineLevel="0" collapsed="false">
      <c r="L3134" s="37" t="str">
        <f aca="false">IF(C3134="","",IF(C3134&lt;=5,"Night (00-05)",IF(C3134&lt;=11,"Morning (06-11)",IF(C3134&lt;=16,"Afternoon (12-16)",IF(C3134&lt;=20,"Evening (17-20)","Late (21-23)")))))</f>
        <v/>
      </c>
    </row>
    <row r="3135" customFormat="false" ht="15" hidden="false" customHeight="false" outlineLevel="0" collapsed="false">
      <c r="L3135" s="37" t="str">
        <f aca="false">IF(C3135="","",IF(C3135&lt;=5,"Night (00-05)",IF(C3135&lt;=11,"Morning (06-11)",IF(C3135&lt;=16,"Afternoon (12-16)",IF(C3135&lt;=20,"Evening (17-20)","Late (21-23)")))))</f>
        <v/>
      </c>
    </row>
    <row r="3136" customFormat="false" ht="15" hidden="false" customHeight="false" outlineLevel="0" collapsed="false">
      <c r="L3136" s="37" t="str">
        <f aca="false">IF(C3136="","",IF(C3136&lt;=5,"Night (00-05)",IF(C3136&lt;=11,"Morning (06-11)",IF(C3136&lt;=16,"Afternoon (12-16)",IF(C3136&lt;=20,"Evening (17-20)","Late (21-23)")))))</f>
        <v/>
      </c>
    </row>
    <row r="3137" customFormat="false" ht="15" hidden="false" customHeight="false" outlineLevel="0" collapsed="false">
      <c r="L3137" s="37" t="str">
        <f aca="false">IF(C3137="","",IF(C3137&lt;=5,"Night (00-05)",IF(C3137&lt;=11,"Morning (06-11)",IF(C3137&lt;=16,"Afternoon (12-16)",IF(C3137&lt;=20,"Evening (17-20)","Late (21-23)")))))</f>
        <v/>
      </c>
    </row>
    <row r="3138" customFormat="false" ht="15" hidden="false" customHeight="false" outlineLevel="0" collapsed="false">
      <c r="L3138" s="37" t="str">
        <f aca="false">IF(C3138="","",IF(C3138&lt;=5,"Night (00-05)",IF(C3138&lt;=11,"Morning (06-11)",IF(C3138&lt;=16,"Afternoon (12-16)",IF(C3138&lt;=20,"Evening (17-20)","Late (21-23)")))))</f>
        <v/>
      </c>
    </row>
    <row r="3139" customFormat="false" ht="15" hidden="false" customHeight="false" outlineLevel="0" collapsed="false">
      <c r="L3139" s="37" t="str">
        <f aca="false">IF(C3139="","",IF(C3139&lt;=5,"Night (00-05)",IF(C3139&lt;=11,"Morning (06-11)",IF(C3139&lt;=16,"Afternoon (12-16)",IF(C3139&lt;=20,"Evening (17-20)","Late (21-23)")))))</f>
        <v/>
      </c>
    </row>
    <row r="3140" customFormat="false" ht="15" hidden="false" customHeight="false" outlineLevel="0" collapsed="false">
      <c r="L3140" s="37" t="str">
        <f aca="false">IF(C3140="","",IF(C3140&lt;=5,"Night (00-05)",IF(C3140&lt;=11,"Morning (06-11)",IF(C3140&lt;=16,"Afternoon (12-16)",IF(C3140&lt;=20,"Evening (17-20)","Late (21-23)")))))</f>
        <v/>
      </c>
    </row>
    <row r="3141" customFormat="false" ht="15" hidden="false" customHeight="false" outlineLevel="0" collapsed="false">
      <c r="L3141" s="37" t="str">
        <f aca="false">IF(C3141="","",IF(C3141&lt;=5,"Night (00-05)",IF(C3141&lt;=11,"Morning (06-11)",IF(C3141&lt;=16,"Afternoon (12-16)",IF(C3141&lt;=20,"Evening (17-20)","Late (21-23)")))))</f>
        <v/>
      </c>
    </row>
    <row r="3142" customFormat="false" ht="15" hidden="false" customHeight="false" outlineLevel="0" collapsed="false">
      <c r="L3142" s="37" t="str">
        <f aca="false">IF(C3142="","",IF(C3142&lt;=5,"Night (00-05)",IF(C3142&lt;=11,"Morning (06-11)",IF(C3142&lt;=16,"Afternoon (12-16)",IF(C3142&lt;=20,"Evening (17-20)","Late (21-23)")))))</f>
        <v/>
      </c>
    </row>
    <row r="3143" customFormat="false" ht="15" hidden="false" customHeight="false" outlineLevel="0" collapsed="false">
      <c r="L3143" s="37" t="str">
        <f aca="false">IF(C3143="","",IF(C3143&lt;=5,"Night (00-05)",IF(C3143&lt;=11,"Morning (06-11)",IF(C3143&lt;=16,"Afternoon (12-16)",IF(C3143&lt;=20,"Evening (17-20)","Late (21-23)")))))</f>
        <v/>
      </c>
    </row>
    <row r="3144" customFormat="false" ht="15" hidden="false" customHeight="false" outlineLevel="0" collapsed="false">
      <c r="L3144" s="37" t="str">
        <f aca="false">IF(C3144="","",IF(C3144&lt;=5,"Night (00-05)",IF(C3144&lt;=11,"Morning (06-11)",IF(C3144&lt;=16,"Afternoon (12-16)",IF(C3144&lt;=20,"Evening (17-20)","Late (21-23)")))))</f>
        <v/>
      </c>
    </row>
    <row r="3145" customFormat="false" ht="15" hidden="false" customHeight="false" outlineLevel="0" collapsed="false">
      <c r="L3145" s="37" t="str">
        <f aca="false">IF(C3145="","",IF(C3145&lt;=5,"Night (00-05)",IF(C3145&lt;=11,"Morning (06-11)",IF(C3145&lt;=16,"Afternoon (12-16)",IF(C3145&lt;=20,"Evening (17-20)","Late (21-23)")))))</f>
        <v/>
      </c>
    </row>
    <row r="3146" customFormat="false" ht="15" hidden="false" customHeight="false" outlineLevel="0" collapsed="false">
      <c r="L3146" s="37" t="str">
        <f aca="false">IF(C3146="","",IF(C3146&lt;=5,"Night (00-05)",IF(C3146&lt;=11,"Morning (06-11)",IF(C3146&lt;=16,"Afternoon (12-16)",IF(C3146&lt;=20,"Evening (17-20)","Late (21-23)")))))</f>
        <v/>
      </c>
    </row>
    <row r="3147" customFormat="false" ht="15" hidden="false" customHeight="false" outlineLevel="0" collapsed="false">
      <c r="L3147" s="37" t="str">
        <f aca="false">IF(C3147="","",IF(C3147&lt;=5,"Night (00-05)",IF(C3147&lt;=11,"Morning (06-11)",IF(C3147&lt;=16,"Afternoon (12-16)",IF(C3147&lt;=20,"Evening (17-20)","Late (21-23)")))))</f>
        <v/>
      </c>
    </row>
    <row r="3148" customFormat="false" ht="15" hidden="false" customHeight="false" outlineLevel="0" collapsed="false">
      <c r="L3148" s="37" t="str">
        <f aca="false">IF(C3148="","",IF(C3148&lt;=5,"Night (00-05)",IF(C3148&lt;=11,"Morning (06-11)",IF(C3148&lt;=16,"Afternoon (12-16)",IF(C3148&lt;=20,"Evening (17-20)","Late (21-23)")))))</f>
        <v/>
      </c>
    </row>
    <row r="3149" customFormat="false" ht="15" hidden="false" customHeight="false" outlineLevel="0" collapsed="false">
      <c r="L3149" s="37" t="str">
        <f aca="false">IF(C3149="","",IF(C3149&lt;=5,"Night (00-05)",IF(C3149&lt;=11,"Morning (06-11)",IF(C3149&lt;=16,"Afternoon (12-16)",IF(C3149&lt;=20,"Evening (17-20)","Late (21-23)")))))</f>
        <v/>
      </c>
    </row>
    <row r="3150" customFormat="false" ht="15" hidden="false" customHeight="false" outlineLevel="0" collapsed="false">
      <c r="L3150" s="37" t="str">
        <f aca="false">IF(C3150="","",IF(C3150&lt;=5,"Night (00-05)",IF(C3150&lt;=11,"Morning (06-11)",IF(C3150&lt;=16,"Afternoon (12-16)",IF(C3150&lt;=20,"Evening (17-20)","Late (21-23)")))))</f>
        <v/>
      </c>
    </row>
    <row r="3151" customFormat="false" ht="15" hidden="false" customHeight="false" outlineLevel="0" collapsed="false">
      <c r="L3151" s="37" t="str">
        <f aca="false">IF(C3151="","",IF(C3151&lt;=5,"Night (00-05)",IF(C3151&lt;=11,"Morning (06-11)",IF(C3151&lt;=16,"Afternoon (12-16)",IF(C3151&lt;=20,"Evening (17-20)","Late (21-23)")))))</f>
        <v/>
      </c>
    </row>
    <row r="3152" customFormat="false" ht="15" hidden="false" customHeight="false" outlineLevel="0" collapsed="false">
      <c r="L3152" s="37" t="str">
        <f aca="false">IF(C3152="","",IF(C3152&lt;=5,"Night (00-05)",IF(C3152&lt;=11,"Morning (06-11)",IF(C3152&lt;=16,"Afternoon (12-16)",IF(C3152&lt;=20,"Evening (17-20)","Late (21-23)")))))</f>
        <v/>
      </c>
    </row>
    <row r="3153" customFormat="false" ht="15" hidden="false" customHeight="false" outlineLevel="0" collapsed="false">
      <c r="L3153" s="37" t="str">
        <f aca="false">IF(C3153="","",IF(C3153&lt;=5,"Night (00-05)",IF(C3153&lt;=11,"Morning (06-11)",IF(C3153&lt;=16,"Afternoon (12-16)",IF(C3153&lt;=20,"Evening (17-20)","Late (21-23)")))))</f>
        <v/>
      </c>
    </row>
    <row r="3154" customFormat="false" ht="15" hidden="false" customHeight="false" outlineLevel="0" collapsed="false">
      <c r="L3154" s="37" t="str">
        <f aca="false">IF(C3154="","",IF(C3154&lt;=5,"Night (00-05)",IF(C3154&lt;=11,"Morning (06-11)",IF(C3154&lt;=16,"Afternoon (12-16)",IF(C3154&lt;=20,"Evening (17-20)","Late (21-23)")))))</f>
        <v/>
      </c>
    </row>
    <row r="3155" customFormat="false" ht="15" hidden="false" customHeight="false" outlineLevel="0" collapsed="false">
      <c r="L3155" s="37" t="str">
        <f aca="false">IF(C3155="","",IF(C3155&lt;=5,"Night (00-05)",IF(C3155&lt;=11,"Morning (06-11)",IF(C3155&lt;=16,"Afternoon (12-16)",IF(C3155&lt;=20,"Evening (17-20)","Late (21-23)")))))</f>
        <v/>
      </c>
    </row>
    <row r="3156" customFormat="false" ht="15" hidden="false" customHeight="false" outlineLevel="0" collapsed="false">
      <c r="L3156" s="37" t="str">
        <f aca="false">IF(C3156="","",IF(C3156&lt;=5,"Night (00-05)",IF(C3156&lt;=11,"Morning (06-11)",IF(C3156&lt;=16,"Afternoon (12-16)",IF(C3156&lt;=20,"Evening (17-20)","Late (21-23)")))))</f>
        <v/>
      </c>
    </row>
    <row r="3157" customFormat="false" ht="15" hidden="false" customHeight="false" outlineLevel="0" collapsed="false">
      <c r="L3157" s="37" t="str">
        <f aca="false">IF(C3157="","",IF(C3157&lt;=5,"Night (00-05)",IF(C3157&lt;=11,"Morning (06-11)",IF(C3157&lt;=16,"Afternoon (12-16)",IF(C3157&lt;=20,"Evening (17-20)","Late (21-23)")))))</f>
        <v/>
      </c>
    </row>
    <row r="3158" customFormat="false" ht="15" hidden="false" customHeight="false" outlineLevel="0" collapsed="false">
      <c r="L3158" s="37" t="str">
        <f aca="false">IF(C3158="","",IF(C3158&lt;=5,"Night (00-05)",IF(C3158&lt;=11,"Morning (06-11)",IF(C3158&lt;=16,"Afternoon (12-16)",IF(C3158&lt;=20,"Evening (17-20)","Late (21-23)")))))</f>
        <v/>
      </c>
    </row>
    <row r="3159" customFormat="false" ht="15" hidden="false" customHeight="false" outlineLevel="0" collapsed="false">
      <c r="L3159" s="37" t="str">
        <f aca="false">IF(C3159="","",IF(C3159&lt;=5,"Night (00-05)",IF(C3159&lt;=11,"Morning (06-11)",IF(C3159&lt;=16,"Afternoon (12-16)",IF(C3159&lt;=20,"Evening (17-20)","Late (21-23)")))))</f>
        <v/>
      </c>
    </row>
    <row r="3160" customFormat="false" ht="15" hidden="false" customHeight="false" outlineLevel="0" collapsed="false">
      <c r="L3160" s="37" t="str">
        <f aca="false">IF(C3160="","",IF(C3160&lt;=5,"Night (00-05)",IF(C3160&lt;=11,"Morning (06-11)",IF(C3160&lt;=16,"Afternoon (12-16)",IF(C3160&lt;=20,"Evening (17-20)","Late (21-23)")))))</f>
        <v/>
      </c>
    </row>
    <row r="3161" customFormat="false" ht="15" hidden="false" customHeight="false" outlineLevel="0" collapsed="false">
      <c r="L3161" s="37" t="str">
        <f aca="false">IF(C3161="","",IF(C3161&lt;=5,"Night (00-05)",IF(C3161&lt;=11,"Morning (06-11)",IF(C3161&lt;=16,"Afternoon (12-16)",IF(C3161&lt;=20,"Evening (17-20)","Late (21-23)")))))</f>
        <v/>
      </c>
    </row>
    <row r="3162" customFormat="false" ht="15" hidden="false" customHeight="false" outlineLevel="0" collapsed="false">
      <c r="L3162" s="37" t="str">
        <f aca="false">IF(C3162="","",IF(C3162&lt;=5,"Night (00-05)",IF(C3162&lt;=11,"Morning (06-11)",IF(C3162&lt;=16,"Afternoon (12-16)",IF(C3162&lt;=20,"Evening (17-20)","Late (21-23)")))))</f>
        <v/>
      </c>
    </row>
    <row r="3163" customFormat="false" ht="15" hidden="false" customHeight="false" outlineLevel="0" collapsed="false">
      <c r="L3163" s="37" t="str">
        <f aca="false">IF(C3163="","",IF(C3163&lt;=5,"Night (00-05)",IF(C3163&lt;=11,"Morning (06-11)",IF(C3163&lt;=16,"Afternoon (12-16)",IF(C3163&lt;=20,"Evening (17-20)","Late (21-23)")))))</f>
        <v/>
      </c>
    </row>
    <row r="3164" customFormat="false" ht="15" hidden="false" customHeight="false" outlineLevel="0" collapsed="false">
      <c r="L3164" s="37" t="str">
        <f aca="false">IF(C3164="","",IF(C3164&lt;=5,"Night (00-05)",IF(C3164&lt;=11,"Morning (06-11)",IF(C3164&lt;=16,"Afternoon (12-16)",IF(C3164&lt;=20,"Evening (17-20)","Late (21-23)")))))</f>
        <v/>
      </c>
    </row>
    <row r="3165" customFormat="false" ht="15" hidden="false" customHeight="false" outlineLevel="0" collapsed="false">
      <c r="L3165" s="37" t="str">
        <f aca="false">IF(C3165="","",IF(C3165&lt;=5,"Night (00-05)",IF(C3165&lt;=11,"Morning (06-11)",IF(C3165&lt;=16,"Afternoon (12-16)",IF(C3165&lt;=20,"Evening (17-20)","Late (21-23)")))))</f>
        <v/>
      </c>
    </row>
    <row r="3166" customFormat="false" ht="15" hidden="false" customHeight="false" outlineLevel="0" collapsed="false">
      <c r="L3166" s="37" t="str">
        <f aca="false">IF(C3166="","",IF(C3166&lt;=5,"Night (00-05)",IF(C3166&lt;=11,"Morning (06-11)",IF(C3166&lt;=16,"Afternoon (12-16)",IF(C3166&lt;=20,"Evening (17-20)","Late (21-23)")))))</f>
        <v/>
      </c>
    </row>
    <row r="3167" customFormat="false" ht="15" hidden="false" customHeight="false" outlineLevel="0" collapsed="false">
      <c r="L3167" s="37" t="str">
        <f aca="false">IF(C3167="","",IF(C3167&lt;=5,"Night (00-05)",IF(C3167&lt;=11,"Morning (06-11)",IF(C3167&lt;=16,"Afternoon (12-16)",IF(C3167&lt;=20,"Evening (17-20)","Late (21-23)")))))</f>
        <v/>
      </c>
    </row>
    <row r="3168" customFormat="false" ht="15" hidden="false" customHeight="false" outlineLevel="0" collapsed="false">
      <c r="L3168" s="37" t="str">
        <f aca="false">IF(C3168="","",IF(C3168&lt;=5,"Night (00-05)",IF(C3168&lt;=11,"Morning (06-11)",IF(C3168&lt;=16,"Afternoon (12-16)",IF(C3168&lt;=20,"Evening (17-20)","Late (21-23)")))))</f>
        <v/>
      </c>
    </row>
    <row r="3169" customFormat="false" ht="15" hidden="false" customHeight="false" outlineLevel="0" collapsed="false">
      <c r="L3169" s="37" t="str">
        <f aca="false">IF(C3169="","",IF(C3169&lt;=5,"Night (00-05)",IF(C3169&lt;=11,"Morning (06-11)",IF(C3169&lt;=16,"Afternoon (12-16)",IF(C3169&lt;=20,"Evening (17-20)","Late (21-23)")))))</f>
        <v/>
      </c>
    </row>
    <row r="3170" customFormat="false" ht="15" hidden="false" customHeight="false" outlineLevel="0" collapsed="false">
      <c r="L3170" s="37" t="str">
        <f aca="false">IF(C3170="","",IF(C3170&lt;=5,"Night (00-05)",IF(C3170&lt;=11,"Morning (06-11)",IF(C3170&lt;=16,"Afternoon (12-16)",IF(C3170&lt;=20,"Evening (17-20)","Late (21-23)")))))</f>
        <v/>
      </c>
    </row>
    <row r="3171" customFormat="false" ht="15" hidden="false" customHeight="false" outlineLevel="0" collapsed="false">
      <c r="L3171" s="37" t="str">
        <f aca="false">IF(C3171="","",IF(C3171&lt;=5,"Night (00-05)",IF(C3171&lt;=11,"Morning (06-11)",IF(C3171&lt;=16,"Afternoon (12-16)",IF(C3171&lt;=20,"Evening (17-20)","Late (21-23)")))))</f>
        <v/>
      </c>
    </row>
    <row r="3172" customFormat="false" ht="15" hidden="false" customHeight="false" outlineLevel="0" collapsed="false">
      <c r="L3172" s="37" t="str">
        <f aca="false">IF(C3172="","",IF(C3172&lt;=5,"Night (00-05)",IF(C3172&lt;=11,"Morning (06-11)",IF(C3172&lt;=16,"Afternoon (12-16)",IF(C3172&lt;=20,"Evening (17-20)","Late (21-23)")))))</f>
        <v/>
      </c>
    </row>
    <row r="3173" customFormat="false" ht="15" hidden="false" customHeight="false" outlineLevel="0" collapsed="false">
      <c r="L3173" s="37" t="str">
        <f aca="false">IF(C3173="","",IF(C3173&lt;=5,"Night (00-05)",IF(C3173&lt;=11,"Morning (06-11)",IF(C3173&lt;=16,"Afternoon (12-16)",IF(C3173&lt;=20,"Evening (17-20)","Late (21-23)")))))</f>
        <v/>
      </c>
    </row>
    <row r="3174" customFormat="false" ht="15" hidden="false" customHeight="false" outlineLevel="0" collapsed="false">
      <c r="L3174" s="37" t="str">
        <f aca="false">IF(C3174="","",IF(C3174&lt;=5,"Night (00-05)",IF(C3174&lt;=11,"Morning (06-11)",IF(C3174&lt;=16,"Afternoon (12-16)",IF(C3174&lt;=20,"Evening (17-20)","Late (21-23)")))))</f>
        <v/>
      </c>
    </row>
    <row r="3175" customFormat="false" ht="15" hidden="false" customHeight="false" outlineLevel="0" collapsed="false">
      <c r="L3175" s="37" t="str">
        <f aca="false">IF(C3175="","",IF(C3175&lt;=5,"Night (00-05)",IF(C3175&lt;=11,"Morning (06-11)",IF(C3175&lt;=16,"Afternoon (12-16)",IF(C3175&lt;=20,"Evening (17-20)","Late (21-23)")))))</f>
        <v/>
      </c>
    </row>
    <row r="3176" customFormat="false" ht="15" hidden="false" customHeight="false" outlineLevel="0" collapsed="false">
      <c r="L3176" s="37" t="str">
        <f aca="false">IF(C3176="","",IF(C3176&lt;=5,"Night (00-05)",IF(C3176&lt;=11,"Morning (06-11)",IF(C3176&lt;=16,"Afternoon (12-16)",IF(C3176&lt;=20,"Evening (17-20)","Late (21-23)")))))</f>
        <v/>
      </c>
    </row>
    <row r="3177" customFormat="false" ht="15" hidden="false" customHeight="false" outlineLevel="0" collapsed="false">
      <c r="L3177" s="37" t="str">
        <f aca="false">IF(C3177="","",IF(C3177&lt;=5,"Night (00-05)",IF(C3177&lt;=11,"Morning (06-11)",IF(C3177&lt;=16,"Afternoon (12-16)",IF(C3177&lt;=20,"Evening (17-20)","Late (21-23)")))))</f>
        <v/>
      </c>
    </row>
    <row r="3178" customFormat="false" ht="15" hidden="false" customHeight="false" outlineLevel="0" collapsed="false">
      <c r="L3178" s="37" t="str">
        <f aca="false">IF(C3178="","",IF(C3178&lt;=5,"Night (00-05)",IF(C3178&lt;=11,"Morning (06-11)",IF(C3178&lt;=16,"Afternoon (12-16)",IF(C3178&lt;=20,"Evening (17-20)","Late (21-23)")))))</f>
        <v/>
      </c>
    </row>
    <row r="3179" customFormat="false" ht="15" hidden="false" customHeight="false" outlineLevel="0" collapsed="false">
      <c r="L3179" s="37" t="str">
        <f aca="false">IF(C3179="","",IF(C3179&lt;=5,"Night (00-05)",IF(C3179&lt;=11,"Morning (06-11)",IF(C3179&lt;=16,"Afternoon (12-16)",IF(C3179&lt;=20,"Evening (17-20)","Late (21-23)")))))</f>
        <v/>
      </c>
    </row>
    <row r="3180" customFormat="false" ht="15" hidden="false" customHeight="false" outlineLevel="0" collapsed="false">
      <c r="L3180" s="37" t="str">
        <f aca="false">IF(C3180="","",IF(C3180&lt;=5,"Night (00-05)",IF(C3180&lt;=11,"Morning (06-11)",IF(C3180&lt;=16,"Afternoon (12-16)",IF(C3180&lt;=20,"Evening (17-20)","Late (21-23)")))))</f>
        <v/>
      </c>
    </row>
    <row r="3181" customFormat="false" ht="15" hidden="false" customHeight="false" outlineLevel="0" collapsed="false">
      <c r="L3181" s="37" t="str">
        <f aca="false">IF(C3181="","",IF(C3181&lt;=5,"Night (00-05)",IF(C3181&lt;=11,"Morning (06-11)",IF(C3181&lt;=16,"Afternoon (12-16)",IF(C3181&lt;=20,"Evening (17-20)","Late (21-23)")))))</f>
        <v/>
      </c>
    </row>
    <row r="3182" customFormat="false" ht="15" hidden="false" customHeight="false" outlineLevel="0" collapsed="false">
      <c r="L3182" s="37" t="str">
        <f aca="false">IF(C3182="","",IF(C3182&lt;=5,"Night (00-05)",IF(C3182&lt;=11,"Morning (06-11)",IF(C3182&lt;=16,"Afternoon (12-16)",IF(C3182&lt;=20,"Evening (17-20)","Late (21-23)")))))</f>
        <v/>
      </c>
    </row>
    <row r="3183" customFormat="false" ht="15" hidden="false" customHeight="false" outlineLevel="0" collapsed="false">
      <c r="L3183" s="37" t="str">
        <f aca="false">IF(C3183="","",IF(C3183&lt;=5,"Night (00-05)",IF(C3183&lt;=11,"Morning (06-11)",IF(C3183&lt;=16,"Afternoon (12-16)",IF(C3183&lt;=20,"Evening (17-20)","Late (21-23)")))))</f>
        <v/>
      </c>
    </row>
    <row r="3184" customFormat="false" ht="15" hidden="false" customHeight="false" outlineLevel="0" collapsed="false">
      <c r="L3184" s="37" t="str">
        <f aca="false">IF(C3184="","",IF(C3184&lt;=5,"Night (00-05)",IF(C3184&lt;=11,"Morning (06-11)",IF(C3184&lt;=16,"Afternoon (12-16)",IF(C3184&lt;=20,"Evening (17-20)","Late (21-23)")))))</f>
        <v/>
      </c>
    </row>
    <row r="3185" customFormat="false" ht="15" hidden="false" customHeight="false" outlineLevel="0" collapsed="false">
      <c r="L3185" s="37" t="str">
        <f aca="false">IF(C3185="","",IF(C3185&lt;=5,"Night (00-05)",IF(C3185&lt;=11,"Morning (06-11)",IF(C3185&lt;=16,"Afternoon (12-16)",IF(C3185&lt;=20,"Evening (17-20)","Late (21-23)")))))</f>
        <v/>
      </c>
    </row>
    <row r="3186" customFormat="false" ht="15" hidden="false" customHeight="false" outlineLevel="0" collapsed="false">
      <c r="L3186" s="37" t="str">
        <f aca="false">IF(C3186="","",IF(C3186&lt;=5,"Night (00-05)",IF(C3186&lt;=11,"Morning (06-11)",IF(C3186&lt;=16,"Afternoon (12-16)",IF(C3186&lt;=20,"Evening (17-20)","Late (21-23)")))))</f>
        <v/>
      </c>
    </row>
    <row r="3187" customFormat="false" ht="15" hidden="false" customHeight="false" outlineLevel="0" collapsed="false">
      <c r="L3187" s="37" t="str">
        <f aca="false">IF(C3187="","",IF(C3187&lt;=5,"Night (00-05)",IF(C3187&lt;=11,"Morning (06-11)",IF(C3187&lt;=16,"Afternoon (12-16)",IF(C3187&lt;=20,"Evening (17-20)","Late (21-23)")))))</f>
        <v/>
      </c>
    </row>
    <row r="3188" customFormat="false" ht="15" hidden="false" customHeight="false" outlineLevel="0" collapsed="false">
      <c r="L3188" s="37" t="str">
        <f aca="false">IF(C3188="","",IF(C3188&lt;=5,"Night (00-05)",IF(C3188&lt;=11,"Morning (06-11)",IF(C3188&lt;=16,"Afternoon (12-16)",IF(C3188&lt;=20,"Evening (17-20)","Late (21-23)")))))</f>
        <v/>
      </c>
    </row>
    <row r="3189" customFormat="false" ht="15" hidden="false" customHeight="false" outlineLevel="0" collapsed="false">
      <c r="L3189" s="37" t="str">
        <f aca="false">IF(C3189="","",IF(C3189&lt;=5,"Night (00-05)",IF(C3189&lt;=11,"Morning (06-11)",IF(C3189&lt;=16,"Afternoon (12-16)",IF(C3189&lt;=20,"Evening (17-20)","Late (21-23)")))))</f>
        <v/>
      </c>
    </row>
    <row r="3190" customFormat="false" ht="15" hidden="false" customHeight="false" outlineLevel="0" collapsed="false">
      <c r="L3190" s="37" t="str">
        <f aca="false">IF(C3190="","",IF(C3190&lt;=5,"Night (00-05)",IF(C3190&lt;=11,"Morning (06-11)",IF(C3190&lt;=16,"Afternoon (12-16)",IF(C3190&lt;=20,"Evening (17-20)","Late (21-23)")))))</f>
        <v/>
      </c>
    </row>
    <row r="3191" customFormat="false" ht="15" hidden="false" customHeight="false" outlineLevel="0" collapsed="false">
      <c r="L3191" s="37" t="str">
        <f aca="false">IF(C3191="","",IF(C3191&lt;=5,"Night (00-05)",IF(C3191&lt;=11,"Morning (06-11)",IF(C3191&lt;=16,"Afternoon (12-16)",IF(C3191&lt;=20,"Evening (17-20)","Late (21-23)")))))</f>
        <v/>
      </c>
    </row>
    <row r="3192" customFormat="false" ht="15" hidden="false" customHeight="false" outlineLevel="0" collapsed="false">
      <c r="L3192" s="37" t="str">
        <f aca="false">IF(C3192="","",IF(C3192&lt;=5,"Night (00-05)",IF(C3192&lt;=11,"Morning (06-11)",IF(C3192&lt;=16,"Afternoon (12-16)",IF(C3192&lt;=20,"Evening (17-20)","Late (21-23)")))))</f>
        <v/>
      </c>
    </row>
    <row r="3193" customFormat="false" ht="15" hidden="false" customHeight="false" outlineLevel="0" collapsed="false">
      <c r="L3193" s="37" t="str">
        <f aca="false">IF(C3193="","",IF(C3193&lt;=5,"Night (00-05)",IF(C3193&lt;=11,"Morning (06-11)",IF(C3193&lt;=16,"Afternoon (12-16)",IF(C3193&lt;=20,"Evening (17-20)","Late (21-23)")))))</f>
        <v/>
      </c>
    </row>
    <row r="3194" customFormat="false" ht="15" hidden="false" customHeight="false" outlineLevel="0" collapsed="false">
      <c r="L3194" s="37" t="str">
        <f aca="false">IF(C3194="","",IF(C3194&lt;=5,"Night (00-05)",IF(C3194&lt;=11,"Morning (06-11)",IF(C3194&lt;=16,"Afternoon (12-16)",IF(C3194&lt;=20,"Evening (17-20)","Late (21-23)")))))</f>
        <v/>
      </c>
    </row>
    <row r="3195" customFormat="false" ht="15" hidden="false" customHeight="false" outlineLevel="0" collapsed="false">
      <c r="L3195" s="37" t="str">
        <f aca="false">IF(C3195="","",IF(C3195&lt;=5,"Night (00-05)",IF(C3195&lt;=11,"Morning (06-11)",IF(C3195&lt;=16,"Afternoon (12-16)",IF(C3195&lt;=20,"Evening (17-20)","Late (21-23)")))))</f>
        <v/>
      </c>
    </row>
    <row r="3196" customFormat="false" ht="15" hidden="false" customHeight="false" outlineLevel="0" collapsed="false">
      <c r="L3196" s="37" t="str">
        <f aca="false">IF(C3196="","",IF(C3196&lt;=5,"Night (00-05)",IF(C3196&lt;=11,"Morning (06-11)",IF(C3196&lt;=16,"Afternoon (12-16)",IF(C3196&lt;=20,"Evening (17-20)","Late (21-23)")))))</f>
        <v/>
      </c>
    </row>
    <row r="3197" customFormat="false" ht="15" hidden="false" customHeight="false" outlineLevel="0" collapsed="false">
      <c r="L3197" s="37" t="str">
        <f aca="false">IF(C3197="","",IF(C3197&lt;=5,"Night (00-05)",IF(C3197&lt;=11,"Morning (06-11)",IF(C3197&lt;=16,"Afternoon (12-16)",IF(C3197&lt;=20,"Evening (17-20)","Late (21-23)")))))</f>
        <v/>
      </c>
    </row>
    <row r="3198" customFormat="false" ht="15" hidden="false" customHeight="false" outlineLevel="0" collapsed="false">
      <c r="L3198" s="37" t="str">
        <f aca="false">IF(C3198="","",IF(C3198&lt;=5,"Night (00-05)",IF(C3198&lt;=11,"Morning (06-11)",IF(C3198&lt;=16,"Afternoon (12-16)",IF(C3198&lt;=20,"Evening (17-20)","Late (21-23)")))))</f>
        <v/>
      </c>
    </row>
    <row r="3199" customFormat="false" ht="15" hidden="false" customHeight="false" outlineLevel="0" collapsed="false">
      <c r="L3199" s="37" t="str">
        <f aca="false">IF(C3199="","",IF(C3199&lt;=5,"Night (00-05)",IF(C3199&lt;=11,"Morning (06-11)",IF(C3199&lt;=16,"Afternoon (12-16)",IF(C3199&lt;=20,"Evening (17-20)","Late (21-23)")))))</f>
        <v/>
      </c>
    </row>
    <row r="3200" customFormat="false" ht="15" hidden="false" customHeight="false" outlineLevel="0" collapsed="false">
      <c r="L3200" s="37" t="str">
        <f aca="false">IF(C3200="","",IF(C3200&lt;=5,"Night (00-05)",IF(C3200&lt;=11,"Morning (06-11)",IF(C3200&lt;=16,"Afternoon (12-16)",IF(C3200&lt;=20,"Evening (17-20)","Late (21-23)")))))</f>
        <v/>
      </c>
    </row>
    <row r="3201" customFormat="false" ht="15" hidden="false" customHeight="false" outlineLevel="0" collapsed="false">
      <c r="L3201" s="37" t="str">
        <f aca="false">IF(C3201="","",IF(C3201&lt;=5,"Night (00-05)",IF(C3201&lt;=11,"Morning (06-11)",IF(C3201&lt;=16,"Afternoon (12-16)",IF(C3201&lt;=20,"Evening (17-20)","Late (21-23)")))))</f>
        <v/>
      </c>
    </row>
    <row r="3202" customFormat="false" ht="15" hidden="false" customHeight="false" outlineLevel="0" collapsed="false">
      <c r="L3202" s="37" t="str">
        <f aca="false">IF(C3202="","",IF(C3202&lt;=5,"Night (00-05)",IF(C3202&lt;=11,"Morning (06-11)",IF(C3202&lt;=16,"Afternoon (12-16)",IF(C3202&lt;=20,"Evening (17-20)","Late (21-23)")))))</f>
        <v/>
      </c>
    </row>
    <row r="3203" customFormat="false" ht="15" hidden="false" customHeight="false" outlineLevel="0" collapsed="false">
      <c r="L3203" s="37" t="str">
        <f aca="false">IF(C3203="","",IF(C3203&lt;=5,"Night (00-05)",IF(C3203&lt;=11,"Morning (06-11)",IF(C3203&lt;=16,"Afternoon (12-16)",IF(C3203&lt;=20,"Evening (17-20)","Late (21-23)")))))</f>
        <v/>
      </c>
    </row>
    <row r="3204" customFormat="false" ht="15" hidden="false" customHeight="false" outlineLevel="0" collapsed="false">
      <c r="L3204" s="37" t="str">
        <f aca="false">IF(C3204="","",IF(C3204&lt;=5,"Night (00-05)",IF(C3204&lt;=11,"Morning (06-11)",IF(C3204&lt;=16,"Afternoon (12-16)",IF(C3204&lt;=20,"Evening (17-20)","Late (21-23)")))))</f>
        <v/>
      </c>
    </row>
    <row r="3205" customFormat="false" ht="15" hidden="false" customHeight="false" outlineLevel="0" collapsed="false">
      <c r="L3205" s="37" t="str">
        <f aca="false">IF(C3205="","",IF(C3205&lt;=5,"Night (00-05)",IF(C3205&lt;=11,"Morning (06-11)",IF(C3205&lt;=16,"Afternoon (12-16)",IF(C3205&lt;=20,"Evening (17-20)","Late (21-23)")))))</f>
        <v/>
      </c>
    </row>
    <row r="3206" customFormat="false" ht="15" hidden="false" customHeight="false" outlineLevel="0" collapsed="false">
      <c r="L3206" s="37" t="str">
        <f aca="false">IF(C3206="","",IF(C3206&lt;=5,"Night (00-05)",IF(C3206&lt;=11,"Morning (06-11)",IF(C3206&lt;=16,"Afternoon (12-16)",IF(C3206&lt;=20,"Evening (17-20)","Late (21-23)")))))</f>
        <v/>
      </c>
    </row>
    <row r="3207" customFormat="false" ht="15" hidden="false" customHeight="false" outlineLevel="0" collapsed="false">
      <c r="L3207" s="37" t="str">
        <f aca="false">IF(C3207="","",IF(C3207&lt;=5,"Night (00-05)",IF(C3207&lt;=11,"Morning (06-11)",IF(C3207&lt;=16,"Afternoon (12-16)",IF(C3207&lt;=20,"Evening (17-20)","Late (21-23)")))))</f>
        <v/>
      </c>
    </row>
    <row r="3208" customFormat="false" ht="15" hidden="false" customHeight="false" outlineLevel="0" collapsed="false">
      <c r="L3208" s="37" t="str">
        <f aca="false">IF(C3208="","",IF(C3208&lt;=5,"Night (00-05)",IF(C3208&lt;=11,"Morning (06-11)",IF(C3208&lt;=16,"Afternoon (12-16)",IF(C3208&lt;=20,"Evening (17-20)","Late (21-23)")))))</f>
        <v/>
      </c>
    </row>
    <row r="3209" customFormat="false" ht="15" hidden="false" customHeight="false" outlineLevel="0" collapsed="false">
      <c r="L3209" s="37" t="str">
        <f aca="false">IF(C3209="","",IF(C3209&lt;=5,"Night (00-05)",IF(C3209&lt;=11,"Morning (06-11)",IF(C3209&lt;=16,"Afternoon (12-16)",IF(C3209&lt;=20,"Evening (17-20)","Late (21-23)")))))</f>
        <v/>
      </c>
    </row>
    <row r="3210" customFormat="false" ht="15" hidden="false" customHeight="false" outlineLevel="0" collapsed="false">
      <c r="L3210" s="37" t="str">
        <f aca="false">IF(C3210="","",IF(C3210&lt;=5,"Night (00-05)",IF(C3210&lt;=11,"Morning (06-11)",IF(C3210&lt;=16,"Afternoon (12-16)",IF(C3210&lt;=20,"Evening (17-20)","Late (21-23)")))))</f>
        <v/>
      </c>
    </row>
    <row r="3211" customFormat="false" ht="15" hidden="false" customHeight="false" outlineLevel="0" collapsed="false">
      <c r="L3211" s="37" t="str">
        <f aca="false">IF(C3211="","",IF(C3211&lt;=5,"Night (00-05)",IF(C3211&lt;=11,"Morning (06-11)",IF(C3211&lt;=16,"Afternoon (12-16)",IF(C3211&lt;=20,"Evening (17-20)","Late (21-23)")))))</f>
        <v/>
      </c>
    </row>
    <row r="3212" customFormat="false" ht="15" hidden="false" customHeight="false" outlineLevel="0" collapsed="false">
      <c r="L3212" s="37" t="str">
        <f aca="false">IF(C3212="","",IF(C3212&lt;=5,"Night (00-05)",IF(C3212&lt;=11,"Morning (06-11)",IF(C3212&lt;=16,"Afternoon (12-16)",IF(C3212&lt;=20,"Evening (17-20)","Late (21-23)")))))</f>
        <v/>
      </c>
    </row>
    <row r="3213" customFormat="false" ht="15" hidden="false" customHeight="false" outlineLevel="0" collapsed="false">
      <c r="L3213" s="37" t="str">
        <f aca="false">IF(C3213="","",IF(C3213&lt;=5,"Night (00-05)",IF(C3213&lt;=11,"Morning (06-11)",IF(C3213&lt;=16,"Afternoon (12-16)",IF(C3213&lt;=20,"Evening (17-20)","Late (21-23)")))))</f>
        <v/>
      </c>
    </row>
    <row r="3214" customFormat="false" ht="15" hidden="false" customHeight="false" outlineLevel="0" collapsed="false">
      <c r="L3214" s="37" t="str">
        <f aca="false">IF(C3214="","",IF(C3214&lt;=5,"Night (00-05)",IF(C3214&lt;=11,"Morning (06-11)",IF(C3214&lt;=16,"Afternoon (12-16)",IF(C3214&lt;=20,"Evening (17-20)","Late (21-23)")))))</f>
        <v/>
      </c>
    </row>
    <row r="3215" customFormat="false" ht="15" hidden="false" customHeight="false" outlineLevel="0" collapsed="false">
      <c r="L3215" s="37" t="str">
        <f aca="false">IF(C3215="","",IF(C3215&lt;=5,"Night (00-05)",IF(C3215&lt;=11,"Morning (06-11)",IF(C3215&lt;=16,"Afternoon (12-16)",IF(C3215&lt;=20,"Evening (17-20)","Late (21-23)")))))</f>
        <v/>
      </c>
    </row>
    <row r="3216" customFormat="false" ht="15" hidden="false" customHeight="false" outlineLevel="0" collapsed="false">
      <c r="L3216" s="37" t="str">
        <f aca="false">IF(C3216="","",IF(C3216&lt;=5,"Night (00-05)",IF(C3216&lt;=11,"Morning (06-11)",IF(C3216&lt;=16,"Afternoon (12-16)",IF(C3216&lt;=20,"Evening (17-20)","Late (21-23)")))))</f>
        <v/>
      </c>
    </row>
    <row r="3217" customFormat="false" ht="15" hidden="false" customHeight="false" outlineLevel="0" collapsed="false">
      <c r="L3217" s="37" t="str">
        <f aca="false">IF(C3217="","",IF(C3217&lt;=5,"Night (00-05)",IF(C3217&lt;=11,"Morning (06-11)",IF(C3217&lt;=16,"Afternoon (12-16)",IF(C3217&lt;=20,"Evening (17-20)","Late (21-23)")))))</f>
        <v/>
      </c>
    </row>
    <row r="3218" customFormat="false" ht="15" hidden="false" customHeight="false" outlineLevel="0" collapsed="false">
      <c r="L3218" s="37" t="str">
        <f aca="false">IF(C3218="","",IF(C3218&lt;=5,"Night (00-05)",IF(C3218&lt;=11,"Morning (06-11)",IF(C3218&lt;=16,"Afternoon (12-16)",IF(C3218&lt;=20,"Evening (17-20)","Late (21-23)")))))</f>
        <v/>
      </c>
    </row>
    <row r="3219" customFormat="false" ht="15" hidden="false" customHeight="false" outlineLevel="0" collapsed="false">
      <c r="L3219" s="37" t="str">
        <f aca="false">IF(C3219="","",IF(C3219&lt;=5,"Night (00-05)",IF(C3219&lt;=11,"Morning (06-11)",IF(C3219&lt;=16,"Afternoon (12-16)",IF(C3219&lt;=20,"Evening (17-20)","Late (21-23)")))))</f>
        <v/>
      </c>
    </row>
    <row r="3220" customFormat="false" ht="15" hidden="false" customHeight="false" outlineLevel="0" collapsed="false">
      <c r="L3220" s="37" t="str">
        <f aca="false">IF(C3220="","",IF(C3220&lt;=5,"Night (00-05)",IF(C3220&lt;=11,"Morning (06-11)",IF(C3220&lt;=16,"Afternoon (12-16)",IF(C3220&lt;=20,"Evening (17-20)","Late (21-23)")))))</f>
        <v/>
      </c>
    </row>
    <row r="3221" customFormat="false" ht="15" hidden="false" customHeight="false" outlineLevel="0" collapsed="false">
      <c r="L3221" s="37" t="str">
        <f aca="false">IF(C3221="","",IF(C3221&lt;=5,"Night (00-05)",IF(C3221&lt;=11,"Morning (06-11)",IF(C3221&lt;=16,"Afternoon (12-16)",IF(C3221&lt;=20,"Evening (17-20)","Late (21-23)")))))</f>
        <v/>
      </c>
    </row>
    <row r="3222" customFormat="false" ht="15" hidden="false" customHeight="false" outlineLevel="0" collapsed="false">
      <c r="L3222" s="37" t="str">
        <f aca="false">IF(C3222="","",IF(C3222&lt;=5,"Night (00-05)",IF(C3222&lt;=11,"Morning (06-11)",IF(C3222&lt;=16,"Afternoon (12-16)",IF(C3222&lt;=20,"Evening (17-20)","Late (21-23)")))))</f>
        <v/>
      </c>
    </row>
    <row r="3223" customFormat="false" ht="15" hidden="false" customHeight="false" outlineLevel="0" collapsed="false">
      <c r="L3223" s="37" t="str">
        <f aca="false">IF(C3223="","",IF(C3223&lt;=5,"Night (00-05)",IF(C3223&lt;=11,"Morning (06-11)",IF(C3223&lt;=16,"Afternoon (12-16)",IF(C3223&lt;=20,"Evening (17-20)","Late (21-23)")))))</f>
        <v/>
      </c>
    </row>
    <row r="3224" customFormat="false" ht="15" hidden="false" customHeight="false" outlineLevel="0" collapsed="false">
      <c r="L3224" s="37" t="str">
        <f aca="false">IF(C3224="","",IF(C3224&lt;=5,"Night (00-05)",IF(C3224&lt;=11,"Morning (06-11)",IF(C3224&lt;=16,"Afternoon (12-16)",IF(C3224&lt;=20,"Evening (17-20)","Late (21-23)")))))</f>
        <v/>
      </c>
    </row>
    <row r="3225" customFormat="false" ht="15" hidden="false" customHeight="false" outlineLevel="0" collapsed="false">
      <c r="L3225" s="37" t="str">
        <f aca="false">IF(C3225="","",IF(C3225&lt;=5,"Night (00-05)",IF(C3225&lt;=11,"Morning (06-11)",IF(C3225&lt;=16,"Afternoon (12-16)",IF(C3225&lt;=20,"Evening (17-20)","Late (21-23)")))))</f>
        <v/>
      </c>
    </row>
    <row r="3226" customFormat="false" ht="15" hidden="false" customHeight="false" outlineLevel="0" collapsed="false">
      <c r="L3226" s="37" t="str">
        <f aca="false">IF(C3226="","",IF(C3226&lt;=5,"Night (00-05)",IF(C3226&lt;=11,"Morning (06-11)",IF(C3226&lt;=16,"Afternoon (12-16)",IF(C3226&lt;=20,"Evening (17-20)","Late (21-23)")))))</f>
        <v/>
      </c>
    </row>
    <row r="3227" customFormat="false" ht="15" hidden="false" customHeight="false" outlineLevel="0" collapsed="false">
      <c r="L3227" s="37" t="str">
        <f aca="false">IF(C3227="","",IF(C3227&lt;=5,"Night (00-05)",IF(C3227&lt;=11,"Morning (06-11)",IF(C3227&lt;=16,"Afternoon (12-16)",IF(C3227&lt;=20,"Evening (17-20)","Late (21-23)")))))</f>
        <v/>
      </c>
    </row>
    <row r="3228" customFormat="false" ht="15" hidden="false" customHeight="false" outlineLevel="0" collapsed="false">
      <c r="L3228" s="37" t="str">
        <f aca="false">IF(C3228="","",IF(C3228&lt;=5,"Night (00-05)",IF(C3228&lt;=11,"Morning (06-11)",IF(C3228&lt;=16,"Afternoon (12-16)",IF(C3228&lt;=20,"Evening (17-20)","Late (21-23)")))))</f>
        <v/>
      </c>
    </row>
    <row r="3229" customFormat="false" ht="15" hidden="false" customHeight="false" outlineLevel="0" collapsed="false">
      <c r="L3229" s="37" t="str">
        <f aca="false">IF(C3229="","",IF(C3229&lt;=5,"Night (00-05)",IF(C3229&lt;=11,"Morning (06-11)",IF(C3229&lt;=16,"Afternoon (12-16)",IF(C3229&lt;=20,"Evening (17-20)","Late (21-23)")))))</f>
        <v/>
      </c>
    </row>
    <row r="3230" customFormat="false" ht="15" hidden="false" customHeight="false" outlineLevel="0" collapsed="false">
      <c r="L3230" s="37" t="str">
        <f aca="false">IF(C3230="","",IF(C3230&lt;=5,"Night (00-05)",IF(C3230&lt;=11,"Morning (06-11)",IF(C3230&lt;=16,"Afternoon (12-16)",IF(C3230&lt;=20,"Evening (17-20)","Late (21-23)")))))</f>
        <v/>
      </c>
    </row>
    <row r="3231" customFormat="false" ht="15" hidden="false" customHeight="false" outlineLevel="0" collapsed="false">
      <c r="L3231" s="37" t="str">
        <f aca="false">IF(C3231="","",IF(C3231&lt;=5,"Night (00-05)",IF(C3231&lt;=11,"Morning (06-11)",IF(C3231&lt;=16,"Afternoon (12-16)",IF(C3231&lt;=20,"Evening (17-20)","Late (21-23)")))))</f>
        <v/>
      </c>
    </row>
    <row r="3232" customFormat="false" ht="15" hidden="false" customHeight="false" outlineLevel="0" collapsed="false">
      <c r="L3232" s="37" t="str">
        <f aca="false">IF(C3232="","",IF(C3232&lt;=5,"Night (00-05)",IF(C3232&lt;=11,"Morning (06-11)",IF(C3232&lt;=16,"Afternoon (12-16)",IF(C3232&lt;=20,"Evening (17-20)","Late (21-23)")))))</f>
        <v/>
      </c>
    </row>
    <row r="3233" customFormat="false" ht="15" hidden="false" customHeight="false" outlineLevel="0" collapsed="false">
      <c r="L3233" s="37" t="str">
        <f aca="false">IF(C3233="","",IF(C3233&lt;=5,"Night (00-05)",IF(C3233&lt;=11,"Morning (06-11)",IF(C3233&lt;=16,"Afternoon (12-16)",IF(C3233&lt;=20,"Evening (17-20)","Late (21-23)")))))</f>
        <v/>
      </c>
    </row>
    <row r="3234" customFormat="false" ht="15" hidden="false" customHeight="false" outlineLevel="0" collapsed="false">
      <c r="L3234" s="37" t="str">
        <f aca="false">IF(C3234="","",IF(C3234&lt;=5,"Night (00-05)",IF(C3234&lt;=11,"Morning (06-11)",IF(C3234&lt;=16,"Afternoon (12-16)",IF(C3234&lt;=20,"Evening (17-20)","Late (21-23)")))))</f>
        <v/>
      </c>
    </row>
    <row r="3235" customFormat="false" ht="15" hidden="false" customHeight="false" outlineLevel="0" collapsed="false">
      <c r="L3235" s="37" t="str">
        <f aca="false">IF(C3235="","",IF(C3235&lt;=5,"Night (00-05)",IF(C3235&lt;=11,"Morning (06-11)",IF(C3235&lt;=16,"Afternoon (12-16)",IF(C3235&lt;=20,"Evening (17-20)","Late (21-23)")))))</f>
        <v/>
      </c>
    </row>
    <row r="3236" customFormat="false" ht="15" hidden="false" customHeight="false" outlineLevel="0" collapsed="false">
      <c r="L3236" s="37" t="str">
        <f aca="false">IF(C3236="","",IF(C3236&lt;=5,"Night (00-05)",IF(C3236&lt;=11,"Morning (06-11)",IF(C3236&lt;=16,"Afternoon (12-16)",IF(C3236&lt;=20,"Evening (17-20)","Late (21-23)")))))</f>
        <v/>
      </c>
    </row>
    <row r="3237" customFormat="false" ht="15" hidden="false" customHeight="false" outlineLevel="0" collapsed="false">
      <c r="L3237" s="37" t="str">
        <f aca="false">IF(C3237="","",IF(C3237&lt;=5,"Night (00-05)",IF(C3237&lt;=11,"Morning (06-11)",IF(C3237&lt;=16,"Afternoon (12-16)",IF(C3237&lt;=20,"Evening (17-20)","Late (21-23)")))))</f>
        <v/>
      </c>
    </row>
    <row r="3238" customFormat="false" ht="15" hidden="false" customHeight="false" outlineLevel="0" collapsed="false">
      <c r="L3238" s="37" t="str">
        <f aca="false">IF(C3238="","",IF(C3238&lt;=5,"Night (00-05)",IF(C3238&lt;=11,"Morning (06-11)",IF(C3238&lt;=16,"Afternoon (12-16)",IF(C3238&lt;=20,"Evening (17-20)","Late (21-23)")))))</f>
        <v/>
      </c>
    </row>
    <row r="3239" customFormat="false" ht="15" hidden="false" customHeight="false" outlineLevel="0" collapsed="false">
      <c r="L3239" s="37" t="str">
        <f aca="false">IF(C3239="","",IF(C3239&lt;=5,"Night (00-05)",IF(C3239&lt;=11,"Morning (06-11)",IF(C3239&lt;=16,"Afternoon (12-16)",IF(C3239&lt;=20,"Evening (17-20)","Late (21-23)")))))</f>
        <v/>
      </c>
    </row>
    <row r="3240" customFormat="false" ht="15" hidden="false" customHeight="false" outlineLevel="0" collapsed="false">
      <c r="L3240" s="37" t="str">
        <f aca="false">IF(C3240="","",IF(C3240&lt;=5,"Night (00-05)",IF(C3240&lt;=11,"Morning (06-11)",IF(C3240&lt;=16,"Afternoon (12-16)",IF(C3240&lt;=20,"Evening (17-20)","Late (21-23)")))))</f>
        <v/>
      </c>
    </row>
    <row r="3241" customFormat="false" ht="15" hidden="false" customHeight="false" outlineLevel="0" collapsed="false">
      <c r="L3241" s="37" t="str">
        <f aca="false">IF(C3241="","",IF(C3241&lt;=5,"Night (00-05)",IF(C3241&lt;=11,"Morning (06-11)",IF(C3241&lt;=16,"Afternoon (12-16)",IF(C3241&lt;=20,"Evening (17-20)","Late (21-23)")))))</f>
        <v/>
      </c>
    </row>
    <row r="3242" customFormat="false" ht="15" hidden="false" customHeight="false" outlineLevel="0" collapsed="false">
      <c r="L3242" s="37" t="str">
        <f aca="false">IF(C3242="","",IF(C3242&lt;=5,"Night (00-05)",IF(C3242&lt;=11,"Morning (06-11)",IF(C3242&lt;=16,"Afternoon (12-16)",IF(C3242&lt;=20,"Evening (17-20)","Late (21-23)")))))</f>
        <v/>
      </c>
    </row>
    <row r="3243" customFormat="false" ht="15" hidden="false" customHeight="false" outlineLevel="0" collapsed="false">
      <c r="L3243" s="37" t="str">
        <f aca="false">IF(C3243="","",IF(C3243&lt;=5,"Night (00-05)",IF(C3243&lt;=11,"Morning (06-11)",IF(C3243&lt;=16,"Afternoon (12-16)",IF(C3243&lt;=20,"Evening (17-20)","Late (21-23)")))))</f>
        <v/>
      </c>
    </row>
    <row r="3244" customFormat="false" ht="15" hidden="false" customHeight="false" outlineLevel="0" collapsed="false">
      <c r="L3244" s="37" t="str">
        <f aca="false">IF(C3244="","",IF(C3244&lt;=5,"Night (00-05)",IF(C3244&lt;=11,"Morning (06-11)",IF(C3244&lt;=16,"Afternoon (12-16)",IF(C3244&lt;=20,"Evening (17-20)","Late (21-23)")))))</f>
        <v/>
      </c>
    </row>
    <row r="3245" customFormat="false" ht="15" hidden="false" customHeight="false" outlineLevel="0" collapsed="false">
      <c r="L3245" s="37" t="str">
        <f aca="false">IF(C3245="","",IF(C3245&lt;=5,"Night (00-05)",IF(C3245&lt;=11,"Morning (06-11)",IF(C3245&lt;=16,"Afternoon (12-16)",IF(C3245&lt;=20,"Evening (17-20)","Late (21-23)")))))</f>
        <v/>
      </c>
    </row>
    <row r="3246" customFormat="false" ht="15" hidden="false" customHeight="false" outlineLevel="0" collapsed="false">
      <c r="L3246" s="37" t="str">
        <f aca="false">IF(C3246="","",IF(C3246&lt;=5,"Night (00-05)",IF(C3246&lt;=11,"Morning (06-11)",IF(C3246&lt;=16,"Afternoon (12-16)",IF(C3246&lt;=20,"Evening (17-20)","Late (21-23)")))))</f>
        <v/>
      </c>
    </row>
    <row r="3247" customFormat="false" ht="15" hidden="false" customHeight="false" outlineLevel="0" collapsed="false">
      <c r="L3247" s="37" t="str">
        <f aca="false">IF(C3247="","",IF(C3247&lt;=5,"Night (00-05)",IF(C3247&lt;=11,"Morning (06-11)",IF(C3247&lt;=16,"Afternoon (12-16)",IF(C3247&lt;=20,"Evening (17-20)","Late (21-23)")))))</f>
        <v/>
      </c>
    </row>
    <row r="3248" customFormat="false" ht="15" hidden="false" customHeight="false" outlineLevel="0" collapsed="false">
      <c r="L3248" s="37" t="str">
        <f aca="false">IF(C3248="","",IF(C3248&lt;=5,"Night (00-05)",IF(C3248&lt;=11,"Morning (06-11)",IF(C3248&lt;=16,"Afternoon (12-16)",IF(C3248&lt;=20,"Evening (17-20)","Late (21-23)")))))</f>
        <v/>
      </c>
    </row>
    <row r="3249" customFormat="false" ht="15" hidden="false" customHeight="false" outlineLevel="0" collapsed="false">
      <c r="L3249" s="37" t="str">
        <f aca="false">IF(C3249="","",IF(C3249&lt;=5,"Night (00-05)",IF(C3249&lt;=11,"Morning (06-11)",IF(C3249&lt;=16,"Afternoon (12-16)",IF(C3249&lt;=20,"Evening (17-20)","Late (21-23)")))))</f>
        <v/>
      </c>
    </row>
    <row r="3250" customFormat="false" ht="15" hidden="false" customHeight="false" outlineLevel="0" collapsed="false">
      <c r="L3250" s="37" t="str">
        <f aca="false">IF(C3250="","",IF(C3250&lt;=5,"Night (00-05)",IF(C3250&lt;=11,"Morning (06-11)",IF(C3250&lt;=16,"Afternoon (12-16)",IF(C3250&lt;=20,"Evening (17-20)","Late (21-23)")))))</f>
        <v/>
      </c>
    </row>
    <row r="3251" customFormat="false" ht="15" hidden="false" customHeight="false" outlineLevel="0" collapsed="false">
      <c r="L3251" s="37" t="str">
        <f aca="false">IF(C3251="","",IF(C3251&lt;=5,"Night (00-05)",IF(C3251&lt;=11,"Morning (06-11)",IF(C3251&lt;=16,"Afternoon (12-16)",IF(C3251&lt;=20,"Evening (17-20)","Late (21-23)")))))</f>
        <v/>
      </c>
    </row>
    <row r="3252" customFormat="false" ht="15" hidden="false" customHeight="false" outlineLevel="0" collapsed="false">
      <c r="L3252" s="37" t="str">
        <f aca="false">IF(C3252="","",IF(C3252&lt;=5,"Night (00-05)",IF(C3252&lt;=11,"Morning (06-11)",IF(C3252&lt;=16,"Afternoon (12-16)",IF(C3252&lt;=20,"Evening (17-20)","Late (21-23)")))))</f>
        <v/>
      </c>
    </row>
    <row r="3253" customFormat="false" ht="15" hidden="false" customHeight="false" outlineLevel="0" collapsed="false">
      <c r="L3253" s="37" t="str">
        <f aca="false">IF(C3253="","",IF(C3253&lt;=5,"Night (00-05)",IF(C3253&lt;=11,"Morning (06-11)",IF(C3253&lt;=16,"Afternoon (12-16)",IF(C3253&lt;=20,"Evening (17-20)","Late (21-23)")))))</f>
        <v/>
      </c>
    </row>
    <row r="3254" customFormat="false" ht="15" hidden="false" customHeight="false" outlineLevel="0" collapsed="false">
      <c r="L3254" s="37" t="str">
        <f aca="false">IF(C3254="","",IF(C3254&lt;=5,"Night (00-05)",IF(C3254&lt;=11,"Morning (06-11)",IF(C3254&lt;=16,"Afternoon (12-16)",IF(C3254&lt;=20,"Evening (17-20)","Late (21-23)")))))</f>
        <v/>
      </c>
    </row>
    <row r="3255" customFormat="false" ht="15" hidden="false" customHeight="false" outlineLevel="0" collapsed="false">
      <c r="L3255" s="37" t="str">
        <f aca="false">IF(C3255="","",IF(C3255&lt;=5,"Night (00-05)",IF(C3255&lt;=11,"Morning (06-11)",IF(C3255&lt;=16,"Afternoon (12-16)",IF(C3255&lt;=20,"Evening (17-20)","Late (21-23)")))))</f>
        <v/>
      </c>
    </row>
    <row r="3256" customFormat="false" ht="15" hidden="false" customHeight="false" outlineLevel="0" collapsed="false">
      <c r="L3256" s="37" t="str">
        <f aca="false">IF(C3256="","",IF(C3256&lt;=5,"Night (00-05)",IF(C3256&lt;=11,"Morning (06-11)",IF(C3256&lt;=16,"Afternoon (12-16)",IF(C3256&lt;=20,"Evening (17-20)","Late (21-23)")))))</f>
        <v/>
      </c>
    </row>
    <row r="3257" customFormat="false" ht="15" hidden="false" customHeight="false" outlineLevel="0" collapsed="false">
      <c r="L3257" s="37" t="str">
        <f aca="false">IF(C3257="","",IF(C3257&lt;=5,"Night (00-05)",IF(C3257&lt;=11,"Morning (06-11)",IF(C3257&lt;=16,"Afternoon (12-16)",IF(C3257&lt;=20,"Evening (17-20)","Late (21-23)")))))</f>
        <v/>
      </c>
    </row>
    <row r="3258" customFormat="false" ht="15" hidden="false" customHeight="false" outlineLevel="0" collapsed="false">
      <c r="L3258" s="37" t="str">
        <f aca="false">IF(C3258="","",IF(C3258&lt;=5,"Night (00-05)",IF(C3258&lt;=11,"Morning (06-11)",IF(C3258&lt;=16,"Afternoon (12-16)",IF(C3258&lt;=20,"Evening (17-20)","Late (21-23)")))))</f>
        <v/>
      </c>
    </row>
    <row r="3259" customFormat="false" ht="15" hidden="false" customHeight="false" outlineLevel="0" collapsed="false">
      <c r="L3259" s="37" t="str">
        <f aca="false">IF(C3259="","",IF(C3259&lt;=5,"Night (00-05)",IF(C3259&lt;=11,"Morning (06-11)",IF(C3259&lt;=16,"Afternoon (12-16)",IF(C3259&lt;=20,"Evening (17-20)","Late (21-23)")))))</f>
        <v/>
      </c>
    </row>
    <row r="3260" customFormat="false" ht="15" hidden="false" customHeight="false" outlineLevel="0" collapsed="false">
      <c r="L3260" s="37" t="str">
        <f aca="false">IF(C3260="","",IF(C3260&lt;=5,"Night (00-05)",IF(C3260&lt;=11,"Morning (06-11)",IF(C3260&lt;=16,"Afternoon (12-16)",IF(C3260&lt;=20,"Evening (17-20)","Late (21-23)")))))</f>
        <v/>
      </c>
    </row>
    <row r="3261" customFormat="false" ht="15" hidden="false" customHeight="false" outlineLevel="0" collapsed="false">
      <c r="L3261" s="37" t="str">
        <f aca="false">IF(C3261="","",IF(C3261&lt;=5,"Night (00-05)",IF(C3261&lt;=11,"Morning (06-11)",IF(C3261&lt;=16,"Afternoon (12-16)",IF(C3261&lt;=20,"Evening (17-20)","Late (21-23)")))))</f>
        <v/>
      </c>
    </row>
    <row r="3262" customFormat="false" ht="15" hidden="false" customHeight="false" outlineLevel="0" collapsed="false">
      <c r="L3262" s="37" t="str">
        <f aca="false">IF(C3262="","",IF(C3262&lt;=5,"Night (00-05)",IF(C3262&lt;=11,"Morning (06-11)",IF(C3262&lt;=16,"Afternoon (12-16)",IF(C3262&lt;=20,"Evening (17-20)","Late (21-23)")))))</f>
        <v/>
      </c>
    </row>
    <row r="3263" customFormat="false" ht="15" hidden="false" customHeight="false" outlineLevel="0" collapsed="false">
      <c r="L3263" s="37" t="str">
        <f aca="false">IF(C3263="","",IF(C3263&lt;=5,"Night (00-05)",IF(C3263&lt;=11,"Morning (06-11)",IF(C3263&lt;=16,"Afternoon (12-16)",IF(C3263&lt;=20,"Evening (17-20)","Late (21-23)")))))</f>
        <v/>
      </c>
    </row>
    <row r="3264" customFormat="false" ht="15" hidden="false" customHeight="false" outlineLevel="0" collapsed="false">
      <c r="L3264" s="37" t="str">
        <f aca="false">IF(C3264="","",IF(C3264&lt;=5,"Night (00-05)",IF(C3264&lt;=11,"Morning (06-11)",IF(C3264&lt;=16,"Afternoon (12-16)",IF(C3264&lt;=20,"Evening (17-20)","Late (21-23)")))))</f>
        <v/>
      </c>
    </row>
    <row r="3265" customFormat="false" ht="15" hidden="false" customHeight="false" outlineLevel="0" collapsed="false">
      <c r="L3265" s="37" t="str">
        <f aca="false">IF(C3265="","",IF(C3265&lt;=5,"Night (00-05)",IF(C3265&lt;=11,"Morning (06-11)",IF(C3265&lt;=16,"Afternoon (12-16)",IF(C3265&lt;=20,"Evening (17-20)","Late (21-23)")))))</f>
        <v/>
      </c>
    </row>
    <row r="3266" customFormat="false" ht="15" hidden="false" customHeight="false" outlineLevel="0" collapsed="false">
      <c r="L3266" s="37" t="str">
        <f aca="false">IF(C3266="","",IF(C3266&lt;=5,"Night (00-05)",IF(C3266&lt;=11,"Morning (06-11)",IF(C3266&lt;=16,"Afternoon (12-16)",IF(C3266&lt;=20,"Evening (17-20)","Late (21-23)")))))</f>
        <v/>
      </c>
    </row>
    <row r="3267" customFormat="false" ht="15" hidden="false" customHeight="false" outlineLevel="0" collapsed="false">
      <c r="L3267" s="37" t="str">
        <f aca="false">IF(C3267="","",IF(C3267&lt;=5,"Night (00-05)",IF(C3267&lt;=11,"Morning (06-11)",IF(C3267&lt;=16,"Afternoon (12-16)",IF(C3267&lt;=20,"Evening (17-20)","Late (21-23)")))))</f>
        <v/>
      </c>
    </row>
    <row r="3268" customFormat="false" ht="15" hidden="false" customHeight="false" outlineLevel="0" collapsed="false">
      <c r="L3268" s="37" t="str">
        <f aca="false">IF(C3268="","",IF(C3268&lt;=5,"Night (00-05)",IF(C3268&lt;=11,"Morning (06-11)",IF(C3268&lt;=16,"Afternoon (12-16)",IF(C3268&lt;=20,"Evening (17-20)","Late (21-23)")))))</f>
        <v/>
      </c>
    </row>
    <row r="3269" customFormat="false" ht="15" hidden="false" customHeight="false" outlineLevel="0" collapsed="false">
      <c r="L3269" s="37" t="str">
        <f aca="false">IF(C3269="","",IF(C3269&lt;=5,"Night (00-05)",IF(C3269&lt;=11,"Morning (06-11)",IF(C3269&lt;=16,"Afternoon (12-16)",IF(C3269&lt;=20,"Evening (17-20)","Late (21-23)")))))</f>
        <v/>
      </c>
    </row>
    <row r="3270" customFormat="false" ht="15" hidden="false" customHeight="false" outlineLevel="0" collapsed="false">
      <c r="L3270" s="37" t="str">
        <f aca="false">IF(C3270="","",IF(C3270&lt;=5,"Night (00-05)",IF(C3270&lt;=11,"Morning (06-11)",IF(C3270&lt;=16,"Afternoon (12-16)",IF(C3270&lt;=20,"Evening (17-20)","Late (21-23)")))))</f>
        <v/>
      </c>
    </row>
    <row r="3271" customFormat="false" ht="15" hidden="false" customHeight="false" outlineLevel="0" collapsed="false">
      <c r="L3271" s="37" t="str">
        <f aca="false">IF(C3271="","",IF(C3271&lt;=5,"Night (00-05)",IF(C3271&lt;=11,"Morning (06-11)",IF(C3271&lt;=16,"Afternoon (12-16)",IF(C3271&lt;=20,"Evening (17-20)","Late (21-23)")))))</f>
        <v/>
      </c>
    </row>
    <row r="3272" customFormat="false" ht="15" hidden="false" customHeight="false" outlineLevel="0" collapsed="false">
      <c r="L3272" s="37" t="str">
        <f aca="false">IF(C3272="","",IF(C3272&lt;=5,"Night (00-05)",IF(C3272&lt;=11,"Morning (06-11)",IF(C3272&lt;=16,"Afternoon (12-16)",IF(C3272&lt;=20,"Evening (17-20)","Late (21-23)")))))</f>
        <v/>
      </c>
    </row>
    <row r="3273" customFormat="false" ht="15" hidden="false" customHeight="false" outlineLevel="0" collapsed="false">
      <c r="L3273" s="37" t="str">
        <f aca="false">IF(C3273="","",IF(C3273&lt;=5,"Night (00-05)",IF(C3273&lt;=11,"Morning (06-11)",IF(C3273&lt;=16,"Afternoon (12-16)",IF(C3273&lt;=20,"Evening (17-20)","Late (21-23)")))))</f>
        <v/>
      </c>
    </row>
    <row r="3274" customFormat="false" ht="15" hidden="false" customHeight="false" outlineLevel="0" collapsed="false">
      <c r="L3274" s="37" t="str">
        <f aca="false">IF(C3274="","",IF(C3274&lt;=5,"Night (00-05)",IF(C3274&lt;=11,"Morning (06-11)",IF(C3274&lt;=16,"Afternoon (12-16)",IF(C3274&lt;=20,"Evening (17-20)","Late (21-23)")))))</f>
        <v/>
      </c>
    </row>
    <row r="3275" customFormat="false" ht="15" hidden="false" customHeight="false" outlineLevel="0" collapsed="false">
      <c r="L3275" s="37" t="str">
        <f aca="false">IF(C3275="","",IF(C3275&lt;=5,"Night (00-05)",IF(C3275&lt;=11,"Morning (06-11)",IF(C3275&lt;=16,"Afternoon (12-16)",IF(C3275&lt;=20,"Evening (17-20)","Late (21-23)")))))</f>
        <v/>
      </c>
    </row>
    <row r="3276" customFormat="false" ht="15" hidden="false" customHeight="false" outlineLevel="0" collapsed="false">
      <c r="L3276" s="37" t="str">
        <f aca="false">IF(C3276="","",IF(C3276&lt;=5,"Night (00-05)",IF(C3276&lt;=11,"Morning (06-11)",IF(C3276&lt;=16,"Afternoon (12-16)",IF(C3276&lt;=20,"Evening (17-20)","Late (21-23)")))))</f>
        <v/>
      </c>
    </row>
    <row r="3277" customFormat="false" ht="15" hidden="false" customHeight="false" outlineLevel="0" collapsed="false">
      <c r="L3277" s="37" t="str">
        <f aca="false">IF(C3277="","",IF(C3277&lt;=5,"Night (00-05)",IF(C3277&lt;=11,"Morning (06-11)",IF(C3277&lt;=16,"Afternoon (12-16)",IF(C3277&lt;=20,"Evening (17-20)","Late (21-23)")))))</f>
        <v/>
      </c>
    </row>
    <row r="3278" customFormat="false" ht="15" hidden="false" customHeight="false" outlineLevel="0" collapsed="false">
      <c r="L3278" s="37" t="str">
        <f aca="false">IF(C3278="","",IF(C3278&lt;=5,"Night (00-05)",IF(C3278&lt;=11,"Morning (06-11)",IF(C3278&lt;=16,"Afternoon (12-16)",IF(C3278&lt;=20,"Evening (17-20)","Late (21-23)")))))</f>
        <v/>
      </c>
    </row>
    <row r="3279" customFormat="false" ht="15" hidden="false" customHeight="false" outlineLevel="0" collapsed="false">
      <c r="L3279" s="37" t="str">
        <f aca="false">IF(C3279="","",IF(C3279&lt;=5,"Night (00-05)",IF(C3279&lt;=11,"Morning (06-11)",IF(C3279&lt;=16,"Afternoon (12-16)",IF(C3279&lt;=20,"Evening (17-20)","Late (21-23)")))))</f>
        <v/>
      </c>
    </row>
    <row r="3280" customFormat="false" ht="15" hidden="false" customHeight="false" outlineLevel="0" collapsed="false">
      <c r="L3280" s="37" t="str">
        <f aca="false">IF(C3280="","",IF(C3280&lt;=5,"Night (00-05)",IF(C3280&lt;=11,"Morning (06-11)",IF(C3280&lt;=16,"Afternoon (12-16)",IF(C3280&lt;=20,"Evening (17-20)","Late (21-23)")))))</f>
        <v/>
      </c>
    </row>
    <row r="3281" customFormat="false" ht="15" hidden="false" customHeight="false" outlineLevel="0" collapsed="false">
      <c r="L3281" s="37" t="str">
        <f aca="false">IF(C3281="","",IF(C3281&lt;=5,"Night (00-05)",IF(C3281&lt;=11,"Morning (06-11)",IF(C3281&lt;=16,"Afternoon (12-16)",IF(C3281&lt;=20,"Evening (17-20)","Late (21-23)")))))</f>
        <v/>
      </c>
    </row>
    <row r="3282" customFormat="false" ht="15" hidden="false" customHeight="false" outlineLevel="0" collapsed="false">
      <c r="L3282" s="37" t="str">
        <f aca="false">IF(C3282="","",IF(C3282&lt;=5,"Night (00-05)",IF(C3282&lt;=11,"Morning (06-11)",IF(C3282&lt;=16,"Afternoon (12-16)",IF(C3282&lt;=20,"Evening (17-20)","Late (21-23)")))))</f>
        <v/>
      </c>
    </row>
    <row r="3283" customFormat="false" ht="15" hidden="false" customHeight="false" outlineLevel="0" collapsed="false">
      <c r="L3283" s="37" t="str">
        <f aca="false">IF(C3283="","",IF(C3283&lt;=5,"Night (00-05)",IF(C3283&lt;=11,"Morning (06-11)",IF(C3283&lt;=16,"Afternoon (12-16)",IF(C3283&lt;=20,"Evening (17-20)","Late (21-23)")))))</f>
        <v/>
      </c>
    </row>
    <row r="3284" customFormat="false" ht="15" hidden="false" customHeight="false" outlineLevel="0" collapsed="false">
      <c r="L3284" s="37" t="str">
        <f aca="false">IF(C3284="","",IF(C3284&lt;=5,"Night (00-05)",IF(C3284&lt;=11,"Morning (06-11)",IF(C3284&lt;=16,"Afternoon (12-16)",IF(C3284&lt;=20,"Evening (17-20)","Late (21-23)")))))</f>
        <v/>
      </c>
    </row>
    <row r="3285" customFormat="false" ht="15" hidden="false" customHeight="false" outlineLevel="0" collapsed="false">
      <c r="L3285" s="37" t="str">
        <f aca="false">IF(C3285="","",IF(C3285&lt;=5,"Night (00-05)",IF(C3285&lt;=11,"Morning (06-11)",IF(C3285&lt;=16,"Afternoon (12-16)",IF(C3285&lt;=20,"Evening (17-20)","Late (21-23)")))))</f>
        <v/>
      </c>
    </row>
    <row r="3286" customFormat="false" ht="15" hidden="false" customHeight="false" outlineLevel="0" collapsed="false">
      <c r="L3286" s="37" t="str">
        <f aca="false">IF(C3286="","",IF(C3286&lt;=5,"Night (00-05)",IF(C3286&lt;=11,"Morning (06-11)",IF(C3286&lt;=16,"Afternoon (12-16)",IF(C3286&lt;=20,"Evening (17-20)","Late (21-23)")))))</f>
        <v/>
      </c>
    </row>
    <row r="3287" customFormat="false" ht="15" hidden="false" customHeight="false" outlineLevel="0" collapsed="false">
      <c r="L3287" s="37" t="str">
        <f aca="false">IF(C3287="","",IF(C3287&lt;=5,"Night (00-05)",IF(C3287&lt;=11,"Morning (06-11)",IF(C3287&lt;=16,"Afternoon (12-16)",IF(C3287&lt;=20,"Evening (17-20)","Late (21-23)")))))</f>
        <v/>
      </c>
    </row>
    <row r="3288" customFormat="false" ht="15" hidden="false" customHeight="false" outlineLevel="0" collapsed="false">
      <c r="L3288" s="37" t="str">
        <f aca="false">IF(C3288="","",IF(C3288&lt;=5,"Night (00-05)",IF(C3288&lt;=11,"Morning (06-11)",IF(C3288&lt;=16,"Afternoon (12-16)",IF(C3288&lt;=20,"Evening (17-20)","Late (21-23)")))))</f>
        <v/>
      </c>
    </row>
    <row r="3289" customFormat="false" ht="15" hidden="false" customHeight="false" outlineLevel="0" collapsed="false">
      <c r="L3289" s="37" t="str">
        <f aca="false">IF(C3289="","",IF(C3289&lt;=5,"Night (00-05)",IF(C3289&lt;=11,"Morning (06-11)",IF(C3289&lt;=16,"Afternoon (12-16)",IF(C3289&lt;=20,"Evening (17-20)","Late (21-23)")))))</f>
        <v/>
      </c>
    </row>
    <row r="3290" customFormat="false" ht="15" hidden="false" customHeight="false" outlineLevel="0" collapsed="false">
      <c r="L3290" s="37" t="str">
        <f aca="false">IF(C3290="","",IF(C3290&lt;=5,"Night (00-05)",IF(C3290&lt;=11,"Morning (06-11)",IF(C3290&lt;=16,"Afternoon (12-16)",IF(C3290&lt;=20,"Evening (17-20)","Late (21-23)")))))</f>
        <v/>
      </c>
    </row>
    <row r="3291" customFormat="false" ht="15" hidden="false" customHeight="false" outlineLevel="0" collapsed="false">
      <c r="L3291" s="37" t="str">
        <f aca="false">IF(C3291="","",IF(C3291&lt;=5,"Night (00-05)",IF(C3291&lt;=11,"Morning (06-11)",IF(C3291&lt;=16,"Afternoon (12-16)",IF(C3291&lt;=20,"Evening (17-20)","Late (21-23)")))))</f>
        <v/>
      </c>
    </row>
    <row r="3292" customFormat="false" ht="15" hidden="false" customHeight="false" outlineLevel="0" collapsed="false">
      <c r="L3292" s="37" t="str">
        <f aca="false">IF(C3292="","",IF(C3292&lt;=5,"Night (00-05)",IF(C3292&lt;=11,"Morning (06-11)",IF(C3292&lt;=16,"Afternoon (12-16)",IF(C3292&lt;=20,"Evening (17-20)","Late (21-23)")))))</f>
        <v/>
      </c>
    </row>
    <row r="3293" customFormat="false" ht="15" hidden="false" customHeight="false" outlineLevel="0" collapsed="false">
      <c r="L3293" s="37" t="str">
        <f aca="false">IF(C3293="","",IF(C3293&lt;=5,"Night (00-05)",IF(C3293&lt;=11,"Morning (06-11)",IF(C3293&lt;=16,"Afternoon (12-16)",IF(C3293&lt;=20,"Evening (17-20)","Late (21-23)")))))</f>
        <v/>
      </c>
    </row>
    <row r="3294" customFormat="false" ht="15" hidden="false" customHeight="false" outlineLevel="0" collapsed="false">
      <c r="L3294" s="37" t="str">
        <f aca="false">IF(C3294="","",IF(C3294&lt;=5,"Night (00-05)",IF(C3294&lt;=11,"Morning (06-11)",IF(C3294&lt;=16,"Afternoon (12-16)",IF(C3294&lt;=20,"Evening (17-20)","Late (21-23)")))))</f>
        <v/>
      </c>
    </row>
    <row r="3295" customFormat="false" ht="15" hidden="false" customHeight="false" outlineLevel="0" collapsed="false">
      <c r="L3295" s="37" t="str">
        <f aca="false">IF(C3295="","",IF(C3295&lt;=5,"Night (00-05)",IF(C3295&lt;=11,"Morning (06-11)",IF(C3295&lt;=16,"Afternoon (12-16)",IF(C3295&lt;=20,"Evening (17-20)","Late (21-23)")))))</f>
        <v/>
      </c>
    </row>
    <row r="3296" customFormat="false" ht="15" hidden="false" customHeight="false" outlineLevel="0" collapsed="false">
      <c r="L3296" s="37" t="str">
        <f aca="false">IF(C3296="","",IF(C3296&lt;=5,"Night (00-05)",IF(C3296&lt;=11,"Morning (06-11)",IF(C3296&lt;=16,"Afternoon (12-16)",IF(C3296&lt;=20,"Evening (17-20)","Late (21-23)")))))</f>
        <v/>
      </c>
    </row>
    <row r="3297" customFormat="false" ht="15" hidden="false" customHeight="false" outlineLevel="0" collapsed="false">
      <c r="L3297" s="37" t="str">
        <f aca="false">IF(C3297="","",IF(C3297&lt;=5,"Night (00-05)",IF(C3297&lt;=11,"Morning (06-11)",IF(C3297&lt;=16,"Afternoon (12-16)",IF(C3297&lt;=20,"Evening (17-20)","Late (21-23)")))))</f>
        <v/>
      </c>
    </row>
    <row r="3298" customFormat="false" ht="15" hidden="false" customHeight="false" outlineLevel="0" collapsed="false">
      <c r="L3298" s="37" t="str">
        <f aca="false">IF(C3298="","",IF(C3298&lt;=5,"Night (00-05)",IF(C3298&lt;=11,"Morning (06-11)",IF(C3298&lt;=16,"Afternoon (12-16)",IF(C3298&lt;=20,"Evening (17-20)","Late (21-23)")))))</f>
        <v/>
      </c>
    </row>
    <row r="3299" customFormat="false" ht="15" hidden="false" customHeight="false" outlineLevel="0" collapsed="false">
      <c r="L3299" s="37" t="str">
        <f aca="false">IF(C3299="","",IF(C3299&lt;=5,"Night (00-05)",IF(C3299&lt;=11,"Morning (06-11)",IF(C3299&lt;=16,"Afternoon (12-16)",IF(C3299&lt;=20,"Evening (17-20)","Late (21-23)")))))</f>
        <v/>
      </c>
    </row>
    <row r="3300" customFormat="false" ht="15" hidden="false" customHeight="false" outlineLevel="0" collapsed="false">
      <c r="L3300" s="37" t="str">
        <f aca="false">IF(C3300="","",IF(C3300&lt;=5,"Night (00-05)",IF(C3300&lt;=11,"Morning (06-11)",IF(C3300&lt;=16,"Afternoon (12-16)",IF(C3300&lt;=20,"Evening (17-20)","Late (21-23)")))))</f>
        <v/>
      </c>
    </row>
    <row r="3301" customFormat="false" ht="15" hidden="false" customHeight="false" outlineLevel="0" collapsed="false">
      <c r="L3301" s="37" t="str">
        <f aca="false">IF(C3301="","",IF(C3301&lt;=5,"Night (00-05)",IF(C3301&lt;=11,"Morning (06-11)",IF(C3301&lt;=16,"Afternoon (12-16)",IF(C3301&lt;=20,"Evening (17-20)","Late (21-23)")))))</f>
        <v/>
      </c>
    </row>
    <row r="3302" customFormat="false" ht="15" hidden="false" customHeight="false" outlineLevel="0" collapsed="false">
      <c r="L3302" s="37" t="str">
        <f aca="false">IF(C3302="","",IF(C3302&lt;=5,"Night (00-05)",IF(C3302&lt;=11,"Morning (06-11)",IF(C3302&lt;=16,"Afternoon (12-16)",IF(C3302&lt;=20,"Evening (17-20)","Late (21-23)")))))</f>
        <v/>
      </c>
    </row>
    <row r="3303" customFormat="false" ht="15" hidden="false" customHeight="false" outlineLevel="0" collapsed="false">
      <c r="L3303" s="37" t="str">
        <f aca="false">IF(C3303="","",IF(C3303&lt;=5,"Night (00-05)",IF(C3303&lt;=11,"Morning (06-11)",IF(C3303&lt;=16,"Afternoon (12-16)",IF(C3303&lt;=20,"Evening (17-20)","Late (21-23)")))))</f>
        <v/>
      </c>
    </row>
    <row r="3304" customFormat="false" ht="15" hidden="false" customHeight="false" outlineLevel="0" collapsed="false">
      <c r="L3304" s="37" t="str">
        <f aca="false">IF(C3304="","",IF(C3304&lt;=5,"Night (00-05)",IF(C3304&lt;=11,"Morning (06-11)",IF(C3304&lt;=16,"Afternoon (12-16)",IF(C3304&lt;=20,"Evening (17-20)","Late (21-23)")))))</f>
        <v/>
      </c>
    </row>
    <row r="3305" customFormat="false" ht="15" hidden="false" customHeight="false" outlineLevel="0" collapsed="false">
      <c r="L3305" s="37" t="str">
        <f aca="false">IF(C3305="","",IF(C3305&lt;=5,"Night (00-05)",IF(C3305&lt;=11,"Morning (06-11)",IF(C3305&lt;=16,"Afternoon (12-16)",IF(C3305&lt;=20,"Evening (17-20)","Late (21-23)")))))</f>
        <v/>
      </c>
    </row>
    <row r="3306" customFormat="false" ht="15" hidden="false" customHeight="false" outlineLevel="0" collapsed="false">
      <c r="L3306" s="37" t="str">
        <f aca="false">IF(C3306="","",IF(C3306&lt;=5,"Night (00-05)",IF(C3306&lt;=11,"Morning (06-11)",IF(C3306&lt;=16,"Afternoon (12-16)",IF(C3306&lt;=20,"Evening (17-20)","Late (21-23)")))))</f>
        <v/>
      </c>
    </row>
    <row r="3307" customFormat="false" ht="15" hidden="false" customHeight="false" outlineLevel="0" collapsed="false">
      <c r="L3307" s="37" t="str">
        <f aca="false">IF(C3307="","",IF(C3307&lt;=5,"Night (00-05)",IF(C3307&lt;=11,"Morning (06-11)",IF(C3307&lt;=16,"Afternoon (12-16)",IF(C3307&lt;=20,"Evening (17-20)","Late (21-23)")))))</f>
        <v/>
      </c>
    </row>
    <row r="3308" customFormat="false" ht="15" hidden="false" customHeight="false" outlineLevel="0" collapsed="false">
      <c r="L3308" s="37" t="str">
        <f aca="false">IF(C3308="","",IF(C3308&lt;=5,"Night (00-05)",IF(C3308&lt;=11,"Morning (06-11)",IF(C3308&lt;=16,"Afternoon (12-16)",IF(C3308&lt;=20,"Evening (17-20)","Late (21-23)")))))</f>
        <v/>
      </c>
    </row>
    <row r="3309" customFormat="false" ht="15" hidden="false" customHeight="false" outlineLevel="0" collapsed="false">
      <c r="L3309" s="37" t="str">
        <f aca="false">IF(C3309="","",IF(C3309&lt;=5,"Night (00-05)",IF(C3309&lt;=11,"Morning (06-11)",IF(C3309&lt;=16,"Afternoon (12-16)",IF(C3309&lt;=20,"Evening (17-20)","Late (21-23)")))))</f>
        <v/>
      </c>
    </row>
    <row r="3310" customFormat="false" ht="15" hidden="false" customHeight="false" outlineLevel="0" collapsed="false">
      <c r="L3310" s="37" t="str">
        <f aca="false">IF(C3310="","",IF(C3310&lt;=5,"Night (00-05)",IF(C3310&lt;=11,"Morning (06-11)",IF(C3310&lt;=16,"Afternoon (12-16)",IF(C3310&lt;=20,"Evening (17-20)","Late (21-23)")))))</f>
        <v/>
      </c>
    </row>
    <row r="3311" customFormat="false" ht="15" hidden="false" customHeight="false" outlineLevel="0" collapsed="false">
      <c r="L3311" s="37" t="str">
        <f aca="false">IF(C3311="","",IF(C3311&lt;=5,"Night (00-05)",IF(C3311&lt;=11,"Morning (06-11)",IF(C3311&lt;=16,"Afternoon (12-16)",IF(C3311&lt;=20,"Evening (17-20)","Late (21-23)")))))</f>
        <v/>
      </c>
    </row>
    <row r="3312" customFormat="false" ht="15" hidden="false" customHeight="false" outlineLevel="0" collapsed="false">
      <c r="L3312" s="37" t="str">
        <f aca="false">IF(C3312="","",IF(C3312&lt;=5,"Night (00-05)",IF(C3312&lt;=11,"Morning (06-11)",IF(C3312&lt;=16,"Afternoon (12-16)",IF(C3312&lt;=20,"Evening (17-20)","Late (21-23)")))))</f>
        <v/>
      </c>
    </row>
    <row r="3313" customFormat="false" ht="15" hidden="false" customHeight="false" outlineLevel="0" collapsed="false">
      <c r="L3313" s="37" t="str">
        <f aca="false">IF(C3313="","",IF(C3313&lt;=5,"Night (00-05)",IF(C3313&lt;=11,"Morning (06-11)",IF(C3313&lt;=16,"Afternoon (12-16)",IF(C3313&lt;=20,"Evening (17-20)","Late (21-23)")))))</f>
        <v/>
      </c>
    </row>
    <row r="3314" customFormat="false" ht="15" hidden="false" customHeight="false" outlineLevel="0" collapsed="false">
      <c r="L3314" s="37" t="str">
        <f aca="false">IF(C3314="","",IF(C3314&lt;=5,"Night (00-05)",IF(C3314&lt;=11,"Morning (06-11)",IF(C3314&lt;=16,"Afternoon (12-16)",IF(C3314&lt;=20,"Evening (17-20)","Late (21-23)")))))</f>
        <v/>
      </c>
    </row>
    <row r="3315" customFormat="false" ht="15" hidden="false" customHeight="false" outlineLevel="0" collapsed="false">
      <c r="L3315" s="37" t="str">
        <f aca="false">IF(C3315="","",IF(C3315&lt;=5,"Night (00-05)",IF(C3315&lt;=11,"Morning (06-11)",IF(C3315&lt;=16,"Afternoon (12-16)",IF(C3315&lt;=20,"Evening (17-20)","Late (21-23)")))))</f>
        <v/>
      </c>
    </row>
    <row r="3316" customFormat="false" ht="15" hidden="false" customHeight="false" outlineLevel="0" collapsed="false">
      <c r="L3316" s="37" t="str">
        <f aca="false">IF(C3316="","",IF(C3316&lt;=5,"Night (00-05)",IF(C3316&lt;=11,"Morning (06-11)",IF(C3316&lt;=16,"Afternoon (12-16)",IF(C3316&lt;=20,"Evening (17-20)","Late (21-23)")))))</f>
        <v/>
      </c>
    </row>
    <row r="3317" customFormat="false" ht="15" hidden="false" customHeight="false" outlineLevel="0" collapsed="false">
      <c r="L3317" s="37" t="str">
        <f aca="false">IF(C3317="","",IF(C3317&lt;=5,"Night (00-05)",IF(C3317&lt;=11,"Morning (06-11)",IF(C3317&lt;=16,"Afternoon (12-16)",IF(C3317&lt;=20,"Evening (17-20)","Late (21-23)")))))</f>
        <v/>
      </c>
    </row>
    <row r="3318" customFormat="false" ht="15" hidden="false" customHeight="false" outlineLevel="0" collapsed="false">
      <c r="L3318" s="37" t="str">
        <f aca="false">IF(C3318="","",IF(C3318&lt;=5,"Night (00-05)",IF(C3318&lt;=11,"Morning (06-11)",IF(C3318&lt;=16,"Afternoon (12-16)",IF(C3318&lt;=20,"Evening (17-20)","Late (21-23)")))))</f>
        <v/>
      </c>
    </row>
    <row r="3319" customFormat="false" ht="15" hidden="false" customHeight="false" outlineLevel="0" collapsed="false">
      <c r="L3319" s="37" t="str">
        <f aca="false">IF(C3319="","",IF(C3319&lt;=5,"Night (00-05)",IF(C3319&lt;=11,"Morning (06-11)",IF(C3319&lt;=16,"Afternoon (12-16)",IF(C3319&lt;=20,"Evening (17-20)","Late (21-23)")))))</f>
        <v/>
      </c>
    </row>
    <row r="3320" customFormat="false" ht="15" hidden="false" customHeight="false" outlineLevel="0" collapsed="false">
      <c r="L3320" s="37" t="str">
        <f aca="false">IF(C3320="","",IF(C3320&lt;=5,"Night (00-05)",IF(C3320&lt;=11,"Morning (06-11)",IF(C3320&lt;=16,"Afternoon (12-16)",IF(C3320&lt;=20,"Evening (17-20)","Late (21-23)")))))</f>
        <v/>
      </c>
    </row>
    <row r="3321" customFormat="false" ht="15" hidden="false" customHeight="false" outlineLevel="0" collapsed="false">
      <c r="L3321" s="37" t="str">
        <f aca="false">IF(C3321="","",IF(C3321&lt;=5,"Night (00-05)",IF(C3321&lt;=11,"Morning (06-11)",IF(C3321&lt;=16,"Afternoon (12-16)",IF(C3321&lt;=20,"Evening (17-20)","Late (21-23)")))))</f>
        <v/>
      </c>
    </row>
    <row r="3322" customFormat="false" ht="15" hidden="false" customHeight="false" outlineLevel="0" collapsed="false">
      <c r="L3322" s="37" t="str">
        <f aca="false">IF(C3322="","",IF(C3322&lt;=5,"Night (00-05)",IF(C3322&lt;=11,"Morning (06-11)",IF(C3322&lt;=16,"Afternoon (12-16)",IF(C3322&lt;=20,"Evening (17-20)","Late (21-23)")))))</f>
        <v/>
      </c>
    </row>
    <row r="3323" customFormat="false" ht="15" hidden="false" customHeight="false" outlineLevel="0" collapsed="false">
      <c r="L3323" s="37" t="str">
        <f aca="false">IF(C3323="","",IF(C3323&lt;=5,"Night (00-05)",IF(C3323&lt;=11,"Morning (06-11)",IF(C3323&lt;=16,"Afternoon (12-16)",IF(C3323&lt;=20,"Evening (17-20)","Late (21-23)")))))</f>
        <v/>
      </c>
    </row>
    <row r="3324" customFormat="false" ht="15" hidden="false" customHeight="false" outlineLevel="0" collapsed="false">
      <c r="L3324" s="37" t="str">
        <f aca="false">IF(C3324="","",IF(C3324&lt;=5,"Night (00-05)",IF(C3324&lt;=11,"Morning (06-11)",IF(C3324&lt;=16,"Afternoon (12-16)",IF(C3324&lt;=20,"Evening (17-20)","Late (21-23)")))))</f>
        <v/>
      </c>
    </row>
    <row r="3325" customFormat="false" ht="15" hidden="false" customHeight="false" outlineLevel="0" collapsed="false">
      <c r="L3325" s="37" t="str">
        <f aca="false">IF(C3325="","",IF(C3325&lt;=5,"Night (00-05)",IF(C3325&lt;=11,"Morning (06-11)",IF(C3325&lt;=16,"Afternoon (12-16)",IF(C3325&lt;=20,"Evening (17-20)","Late (21-23)")))))</f>
        <v/>
      </c>
    </row>
    <row r="3326" customFormat="false" ht="15" hidden="false" customHeight="false" outlineLevel="0" collapsed="false">
      <c r="L3326" s="37" t="str">
        <f aca="false">IF(C3326="","",IF(C3326&lt;=5,"Night (00-05)",IF(C3326&lt;=11,"Morning (06-11)",IF(C3326&lt;=16,"Afternoon (12-16)",IF(C3326&lt;=20,"Evening (17-20)","Late (21-23)")))))</f>
        <v/>
      </c>
    </row>
    <row r="3327" customFormat="false" ht="15" hidden="false" customHeight="false" outlineLevel="0" collapsed="false">
      <c r="L3327" s="37" t="str">
        <f aca="false">IF(C3327="","",IF(C3327&lt;=5,"Night (00-05)",IF(C3327&lt;=11,"Morning (06-11)",IF(C3327&lt;=16,"Afternoon (12-16)",IF(C3327&lt;=20,"Evening (17-20)","Late (21-23)")))))</f>
        <v/>
      </c>
    </row>
    <row r="3328" customFormat="false" ht="15" hidden="false" customHeight="false" outlineLevel="0" collapsed="false">
      <c r="L3328" s="37" t="str">
        <f aca="false">IF(C3328="","",IF(C3328&lt;=5,"Night (00-05)",IF(C3328&lt;=11,"Morning (06-11)",IF(C3328&lt;=16,"Afternoon (12-16)",IF(C3328&lt;=20,"Evening (17-20)","Late (21-23)")))))</f>
        <v/>
      </c>
    </row>
    <row r="3329" customFormat="false" ht="15" hidden="false" customHeight="false" outlineLevel="0" collapsed="false">
      <c r="L3329" s="37" t="str">
        <f aca="false">IF(C3329="","",IF(C3329&lt;=5,"Night (00-05)",IF(C3329&lt;=11,"Morning (06-11)",IF(C3329&lt;=16,"Afternoon (12-16)",IF(C3329&lt;=20,"Evening (17-20)","Late (21-23)")))))</f>
        <v/>
      </c>
    </row>
    <row r="3330" customFormat="false" ht="15" hidden="false" customHeight="false" outlineLevel="0" collapsed="false">
      <c r="L3330" s="37" t="str">
        <f aca="false">IF(C3330="","",IF(C3330&lt;=5,"Night (00-05)",IF(C3330&lt;=11,"Morning (06-11)",IF(C3330&lt;=16,"Afternoon (12-16)",IF(C3330&lt;=20,"Evening (17-20)","Late (21-23)")))))</f>
        <v/>
      </c>
    </row>
    <row r="3331" customFormat="false" ht="15" hidden="false" customHeight="false" outlineLevel="0" collapsed="false">
      <c r="L3331" s="37" t="str">
        <f aca="false">IF(C3331="","",IF(C3331&lt;=5,"Night (00-05)",IF(C3331&lt;=11,"Morning (06-11)",IF(C3331&lt;=16,"Afternoon (12-16)",IF(C3331&lt;=20,"Evening (17-20)","Late (21-23)")))))</f>
        <v/>
      </c>
    </row>
    <row r="3332" customFormat="false" ht="15" hidden="false" customHeight="false" outlineLevel="0" collapsed="false">
      <c r="L3332" s="37" t="str">
        <f aca="false">IF(C3332="","",IF(C3332&lt;=5,"Night (00-05)",IF(C3332&lt;=11,"Morning (06-11)",IF(C3332&lt;=16,"Afternoon (12-16)",IF(C3332&lt;=20,"Evening (17-20)","Late (21-23)")))))</f>
        <v/>
      </c>
    </row>
    <row r="3333" customFormat="false" ht="15" hidden="false" customHeight="false" outlineLevel="0" collapsed="false">
      <c r="L3333" s="37" t="str">
        <f aca="false">IF(C3333="","",IF(C3333&lt;=5,"Night (00-05)",IF(C3333&lt;=11,"Morning (06-11)",IF(C3333&lt;=16,"Afternoon (12-16)",IF(C3333&lt;=20,"Evening (17-20)","Late (21-23)")))))</f>
        <v/>
      </c>
    </row>
    <row r="3334" customFormat="false" ht="15" hidden="false" customHeight="false" outlineLevel="0" collapsed="false">
      <c r="L3334" s="37" t="str">
        <f aca="false">IF(C3334="","",IF(C3334&lt;=5,"Night (00-05)",IF(C3334&lt;=11,"Morning (06-11)",IF(C3334&lt;=16,"Afternoon (12-16)",IF(C3334&lt;=20,"Evening (17-20)","Late (21-23)")))))</f>
        <v/>
      </c>
    </row>
    <row r="3335" customFormat="false" ht="15" hidden="false" customHeight="false" outlineLevel="0" collapsed="false">
      <c r="L3335" s="37" t="str">
        <f aca="false">IF(C3335="","",IF(C3335&lt;=5,"Night (00-05)",IF(C3335&lt;=11,"Morning (06-11)",IF(C3335&lt;=16,"Afternoon (12-16)",IF(C3335&lt;=20,"Evening (17-20)","Late (21-23)")))))</f>
        <v/>
      </c>
    </row>
    <row r="3336" customFormat="false" ht="15" hidden="false" customHeight="false" outlineLevel="0" collapsed="false">
      <c r="L3336" s="37" t="str">
        <f aca="false">IF(C3336="","",IF(C3336&lt;=5,"Night (00-05)",IF(C3336&lt;=11,"Morning (06-11)",IF(C3336&lt;=16,"Afternoon (12-16)",IF(C3336&lt;=20,"Evening (17-20)","Late (21-23)")))))</f>
        <v/>
      </c>
    </row>
    <row r="3337" customFormat="false" ht="15" hidden="false" customHeight="false" outlineLevel="0" collapsed="false">
      <c r="L3337" s="37" t="str">
        <f aca="false">IF(C3337="","",IF(C3337&lt;=5,"Night (00-05)",IF(C3337&lt;=11,"Morning (06-11)",IF(C3337&lt;=16,"Afternoon (12-16)",IF(C3337&lt;=20,"Evening (17-20)","Late (21-23)")))))</f>
        <v/>
      </c>
    </row>
    <row r="3338" customFormat="false" ht="15" hidden="false" customHeight="false" outlineLevel="0" collapsed="false">
      <c r="L3338" s="37" t="str">
        <f aca="false">IF(C3338="","",IF(C3338&lt;=5,"Night (00-05)",IF(C3338&lt;=11,"Morning (06-11)",IF(C3338&lt;=16,"Afternoon (12-16)",IF(C3338&lt;=20,"Evening (17-20)","Late (21-23)")))))</f>
        <v/>
      </c>
    </row>
    <row r="3339" customFormat="false" ht="15" hidden="false" customHeight="false" outlineLevel="0" collapsed="false">
      <c r="L3339" s="37" t="str">
        <f aca="false">IF(C3339="","",IF(C3339&lt;=5,"Night (00-05)",IF(C3339&lt;=11,"Morning (06-11)",IF(C3339&lt;=16,"Afternoon (12-16)",IF(C3339&lt;=20,"Evening (17-20)","Late (21-23)")))))</f>
        <v/>
      </c>
    </row>
    <row r="3340" customFormat="false" ht="15" hidden="false" customHeight="false" outlineLevel="0" collapsed="false">
      <c r="L3340" s="37" t="str">
        <f aca="false">IF(C3340="","",IF(C3340&lt;=5,"Night (00-05)",IF(C3340&lt;=11,"Morning (06-11)",IF(C3340&lt;=16,"Afternoon (12-16)",IF(C3340&lt;=20,"Evening (17-20)","Late (21-23)")))))</f>
        <v/>
      </c>
    </row>
    <row r="3341" customFormat="false" ht="15" hidden="false" customHeight="false" outlineLevel="0" collapsed="false">
      <c r="L3341" s="37" t="str">
        <f aca="false">IF(C3341="","",IF(C3341&lt;=5,"Night (00-05)",IF(C3341&lt;=11,"Morning (06-11)",IF(C3341&lt;=16,"Afternoon (12-16)",IF(C3341&lt;=20,"Evening (17-20)","Late (21-23)")))))</f>
        <v/>
      </c>
    </row>
    <row r="3342" customFormat="false" ht="15" hidden="false" customHeight="false" outlineLevel="0" collapsed="false">
      <c r="L3342" s="37" t="str">
        <f aca="false">IF(C3342="","",IF(C3342&lt;=5,"Night (00-05)",IF(C3342&lt;=11,"Morning (06-11)",IF(C3342&lt;=16,"Afternoon (12-16)",IF(C3342&lt;=20,"Evening (17-20)","Late (21-23)")))))</f>
        <v/>
      </c>
    </row>
    <row r="3343" customFormat="false" ht="15" hidden="false" customHeight="false" outlineLevel="0" collapsed="false">
      <c r="L3343" s="37" t="str">
        <f aca="false">IF(C3343="","",IF(C3343&lt;=5,"Night (00-05)",IF(C3343&lt;=11,"Morning (06-11)",IF(C3343&lt;=16,"Afternoon (12-16)",IF(C3343&lt;=20,"Evening (17-20)","Late (21-23)")))))</f>
        <v/>
      </c>
    </row>
    <row r="3344" customFormat="false" ht="15" hidden="false" customHeight="false" outlineLevel="0" collapsed="false">
      <c r="L3344" s="37" t="str">
        <f aca="false">IF(C3344="","",IF(C3344&lt;=5,"Night (00-05)",IF(C3344&lt;=11,"Morning (06-11)",IF(C3344&lt;=16,"Afternoon (12-16)",IF(C3344&lt;=20,"Evening (17-20)","Late (21-23)")))))</f>
        <v/>
      </c>
    </row>
    <row r="3345" customFormat="false" ht="15" hidden="false" customHeight="false" outlineLevel="0" collapsed="false">
      <c r="L3345" s="37" t="str">
        <f aca="false">IF(C3345="","",IF(C3345&lt;=5,"Night (00-05)",IF(C3345&lt;=11,"Morning (06-11)",IF(C3345&lt;=16,"Afternoon (12-16)",IF(C3345&lt;=20,"Evening (17-20)","Late (21-23)")))))</f>
        <v/>
      </c>
    </row>
    <row r="3346" customFormat="false" ht="15" hidden="false" customHeight="false" outlineLevel="0" collapsed="false">
      <c r="L3346" s="37" t="str">
        <f aca="false">IF(C3346="","",IF(C3346&lt;=5,"Night (00-05)",IF(C3346&lt;=11,"Morning (06-11)",IF(C3346&lt;=16,"Afternoon (12-16)",IF(C3346&lt;=20,"Evening (17-20)","Late (21-23)")))))</f>
        <v/>
      </c>
    </row>
    <row r="3347" customFormat="false" ht="15" hidden="false" customHeight="false" outlineLevel="0" collapsed="false">
      <c r="L3347" s="37" t="str">
        <f aca="false">IF(C3347="","",IF(C3347&lt;=5,"Night (00-05)",IF(C3347&lt;=11,"Morning (06-11)",IF(C3347&lt;=16,"Afternoon (12-16)",IF(C3347&lt;=20,"Evening (17-20)","Late (21-23)")))))</f>
        <v/>
      </c>
    </row>
    <row r="3348" customFormat="false" ht="15" hidden="false" customHeight="false" outlineLevel="0" collapsed="false">
      <c r="L3348" s="37" t="str">
        <f aca="false">IF(C3348="","",IF(C3348&lt;=5,"Night (00-05)",IF(C3348&lt;=11,"Morning (06-11)",IF(C3348&lt;=16,"Afternoon (12-16)",IF(C3348&lt;=20,"Evening (17-20)","Late (21-23)")))))</f>
        <v/>
      </c>
    </row>
    <row r="3349" customFormat="false" ht="15" hidden="false" customHeight="false" outlineLevel="0" collapsed="false">
      <c r="L3349" s="37" t="str">
        <f aca="false">IF(C3349="","",IF(C3349&lt;=5,"Night (00-05)",IF(C3349&lt;=11,"Morning (06-11)",IF(C3349&lt;=16,"Afternoon (12-16)",IF(C3349&lt;=20,"Evening (17-20)","Late (21-23)")))))</f>
        <v/>
      </c>
    </row>
    <row r="3350" customFormat="false" ht="15" hidden="false" customHeight="false" outlineLevel="0" collapsed="false">
      <c r="L3350" s="37" t="str">
        <f aca="false">IF(C3350="","",IF(C3350&lt;=5,"Night (00-05)",IF(C3350&lt;=11,"Morning (06-11)",IF(C3350&lt;=16,"Afternoon (12-16)",IF(C3350&lt;=20,"Evening (17-20)","Late (21-23)")))))</f>
        <v/>
      </c>
    </row>
    <row r="3351" customFormat="false" ht="15" hidden="false" customHeight="false" outlineLevel="0" collapsed="false">
      <c r="L3351" s="37" t="str">
        <f aca="false">IF(C3351="","",IF(C3351&lt;=5,"Night (00-05)",IF(C3351&lt;=11,"Morning (06-11)",IF(C3351&lt;=16,"Afternoon (12-16)",IF(C3351&lt;=20,"Evening (17-20)","Late (21-23)")))))</f>
        <v/>
      </c>
    </row>
    <row r="3352" customFormat="false" ht="15" hidden="false" customHeight="false" outlineLevel="0" collapsed="false">
      <c r="L3352" s="37" t="str">
        <f aca="false">IF(C3352="","",IF(C3352&lt;=5,"Night (00-05)",IF(C3352&lt;=11,"Morning (06-11)",IF(C3352&lt;=16,"Afternoon (12-16)",IF(C3352&lt;=20,"Evening (17-20)","Late (21-23)")))))</f>
        <v/>
      </c>
    </row>
    <row r="3353" customFormat="false" ht="15" hidden="false" customHeight="false" outlineLevel="0" collapsed="false">
      <c r="L3353" s="37" t="str">
        <f aca="false">IF(C3353="","",IF(C3353&lt;=5,"Night (00-05)",IF(C3353&lt;=11,"Morning (06-11)",IF(C3353&lt;=16,"Afternoon (12-16)",IF(C3353&lt;=20,"Evening (17-20)","Late (21-23)")))))</f>
        <v/>
      </c>
    </row>
    <row r="3354" customFormat="false" ht="15" hidden="false" customHeight="false" outlineLevel="0" collapsed="false">
      <c r="L3354" s="37" t="str">
        <f aca="false">IF(C3354="","",IF(C3354&lt;=5,"Night (00-05)",IF(C3354&lt;=11,"Morning (06-11)",IF(C3354&lt;=16,"Afternoon (12-16)",IF(C3354&lt;=20,"Evening (17-20)","Late (21-23)")))))</f>
        <v/>
      </c>
    </row>
    <row r="3355" customFormat="false" ht="15" hidden="false" customHeight="false" outlineLevel="0" collapsed="false">
      <c r="L3355" s="37" t="str">
        <f aca="false">IF(C3355="","",IF(C3355&lt;=5,"Night (00-05)",IF(C3355&lt;=11,"Morning (06-11)",IF(C3355&lt;=16,"Afternoon (12-16)",IF(C3355&lt;=20,"Evening (17-20)","Late (21-23)")))))</f>
        <v/>
      </c>
    </row>
    <row r="3356" customFormat="false" ht="15" hidden="false" customHeight="false" outlineLevel="0" collapsed="false">
      <c r="L3356" s="37" t="str">
        <f aca="false">IF(C3356="","",IF(C3356&lt;=5,"Night (00-05)",IF(C3356&lt;=11,"Morning (06-11)",IF(C3356&lt;=16,"Afternoon (12-16)",IF(C3356&lt;=20,"Evening (17-20)","Late (21-23)")))))</f>
        <v/>
      </c>
    </row>
    <row r="3357" customFormat="false" ht="15" hidden="false" customHeight="false" outlineLevel="0" collapsed="false">
      <c r="L3357" s="37" t="str">
        <f aca="false">IF(C3357="","",IF(C3357&lt;=5,"Night (00-05)",IF(C3357&lt;=11,"Morning (06-11)",IF(C3357&lt;=16,"Afternoon (12-16)",IF(C3357&lt;=20,"Evening (17-20)","Late (21-23)")))))</f>
        <v/>
      </c>
    </row>
    <row r="3358" customFormat="false" ht="15" hidden="false" customHeight="false" outlineLevel="0" collapsed="false">
      <c r="L3358" s="37" t="str">
        <f aca="false">IF(C3358="","",IF(C3358&lt;=5,"Night (00-05)",IF(C3358&lt;=11,"Morning (06-11)",IF(C3358&lt;=16,"Afternoon (12-16)",IF(C3358&lt;=20,"Evening (17-20)","Late (21-23)")))))</f>
        <v/>
      </c>
    </row>
    <row r="3359" customFormat="false" ht="15" hidden="false" customHeight="false" outlineLevel="0" collapsed="false">
      <c r="L3359" s="37" t="str">
        <f aca="false">IF(C3359="","",IF(C3359&lt;=5,"Night (00-05)",IF(C3359&lt;=11,"Morning (06-11)",IF(C3359&lt;=16,"Afternoon (12-16)",IF(C3359&lt;=20,"Evening (17-20)","Late (21-23)")))))</f>
        <v/>
      </c>
    </row>
    <row r="3360" customFormat="false" ht="15" hidden="false" customHeight="false" outlineLevel="0" collapsed="false">
      <c r="L3360" s="37" t="str">
        <f aca="false">IF(C3360="","",IF(C3360&lt;=5,"Night (00-05)",IF(C3360&lt;=11,"Morning (06-11)",IF(C3360&lt;=16,"Afternoon (12-16)",IF(C3360&lt;=20,"Evening (17-20)","Late (21-23)")))))</f>
        <v/>
      </c>
    </row>
    <row r="3361" customFormat="false" ht="15" hidden="false" customHeight="false" outlineLevel="0" collapsed="false">
      <c r="L3361" s="37" t="str">
        <f aca="false">IF(C3361="","",IF(C3361&lt;=5,"Night (00-05)",IF(C3361&lt;=11,"Morning (06-11)",IF(C3361&lt;=16,"Afternoon (12-16)",IF(C3361&lt;=20,"Evening (17-20)","Late (21-23)")))))</f>
        <v/>
      </c>
    </row>
    <row r="3362" customFormat="false" ht="15" hidden="false" customHeight="false" outlineLevel="0" collapsed="false">
      <c r="L3362" s="37" t="str">
        <f aca="false">IF(C3362="","",IF(C3362&lt;=5,"Night (00-05)",IF(C3362&lt;=11,"Morning (06-11)",IF(C3362&lt;=16,"Afternoon (12-16)",IF(C3362&lt;=20,"Evening (17-20)","Late (21-23)")))))</f>
        <v/>
      </c>
    </row>
    <row r="3363" customFormat="false" ht="15" hidden="false" customHeight="false" outlineLevel="0" collapsed="false">
      <c r="L3363" s="37" t="str">
        <f aca="false">IF(C3363="","",IF(C3363&lt;=5,"Night (00-05)",IF(C3363&lt;=11,"Morning (06-11)",IF(C3363&lt;=16,"Afternoon (12-16)",IF(C3363&lt;=20,"Evening (17-20)","Late (21-23)")))))</f>
        <v/>
      </c>
    </row>
    <row r="3364" customFormat="false" ht="15" hidden="false" customHeight="false" outlineLevel="0" collapsed="false">
      <c r="L3364" s="37" t="str">
        <f aca="false">IF(C3364="","",IF(C3364&lt;=5,"Night (00-05)",IF(C3364&lt;=11,"Morning (06-11)",IF(C3364&lt;=16,"Afternoon (12-16)",IF(C3364&lt;=20,"Evening (17-20)","Late (21-23)")))))</f>
        <v/>
      </c>
    </row>
    <row r="3365" customFormat="false" ht="15" hidden="false" customHeight="false" outlineLevel="0" collapsed="false">
      <c r="L3365" s="37" t="str">
        <f aca="false">IF(C3365="","",IF(C3365&lt;=5,"Night (00-05)",IF(C3365&lt;=11,"Morning (06-11)",IF(C3365&lt;=16,"Afternoon (12-16)",IF(C3365&lt;=20,"Evening (17-20)","Late (21-23)")))))</f>
        <v/>
      </c>
    </row>
    <row r="3366" customFormat="false" ht="15" hidden="false" customHeight="false" outlineLevel="0" collapsed="false">
      <c r="L3366" s="37" t="str">
        <f aca="false">IF(C3366="","",IF(C3366&lt;=5,"Night (00-05)",IF(C3366&lt;=11,"Morning (06-11)",IF(C3366&lt;=16,"Afternoon (12-16)",IF(C3366&lt;=20,"Evening (17-20)","Late (21-23)")))))</f>
        <v/>
      </c>
    </row>
    <row r="3367" customFormat="false" ht="15" hidden="false" customHeight="false" outlineLevel="0" collapsed="false">
      <c r="L3367" s="37" t="str">
        <f aca="false">IF(C3367="","",IF(C3367&lt;=5,"Night (00-05)",IF(C3367&lt;=11,"Morning (06-11)",IF(C3367&lt;=16,"Afternoon (12-16)",IF(C3367&lt;=20,"Evening (17-20)","Late (21-23)")))))</f>
        <v/>
      </c>
    </row>
    <row r="3368" customFormat="false" ht="15" hidden="false" customHeight="false" outlineLevel="0" collapsed="false">
      <c r="L3368" s="37" t="str">
        <f aca="false">IF(C3368="","",IF(C3368&lt;=5,"Night (00-05)",IF(C3368&lt;=11,"Morning (06-11)",IF(C3368&lt;=16,"Afternoon (12-16)",IF(C3368&lt;=20,"Evening (17-20)","Late (21-23)")))))</f>
        <v/>
      </c>
    </row>
    <row r="3369" customFormat="false" ht="15" hidden="false" customHeight="false" outlineLevel="0" collapsed="false">
      <c r="L3369" s="37" t="str">
        <f aca="false">IF(C3369="","",IF(C3369&lt;=5,"Night (00-05)",IF(C3369&lt;=11,"Morning (06-11)",IF(C3369&lt;=16,"Afternoon (12-16)",IF(C3369&lt;=20,"Evening (17-20)","Late (21-23)")))))</f>
        <v/>
      </c>
    </row>
    <row r="3370" customFormat="false" ht="15" hidden="false" customHeight="false" outlineLevel="0" collapsed="false">
      <c r="L3370" s="37" t="str">
        <f aca="false">IF(C3370="","",IF(C3370&lt;=5,"Night (00-05)",IF(C3370&lt;=11,"Morning (06-11)",IF(C3370&lt;=16,"Afternoon (12-16)",IF(C3370&lt;=20,"Evening (17-20)","Late (21-23)")))))</f>
        <v/>
      </c>
    </row>
    <row r="3371" customFormat="false" ht="15" hidden="false" customHeight="false" outlineLevel="0" collapsed="false">
      <c r="L3371" s="37" t="str">
        <f aca="false">IF(C3371="","",IF(C3371&lt;=5,"Night (00-05)",IF(C3371&lt;=11,"Morning (06-11)",IF(C3371&lt;=16,"Afternoon (12-16)",IF(C3371&lt;=20,"Evening (17-20)","Late (21-23)")))))</f>
        <v/>
      </c>
    </row>
    <row r="3372" customFormat="false" ht="15" hidden="false" customHeight="false" outlineLevel="0" collapsed="false">
      <c r="L3372" s="37" t="str">
        <f aca="false">IF(C3372="","",IF(C3372&lt;=5,"Night (00-05)",IF(C3372&lt;=11,"Morning (06-11)",IF(C3372&lt;=16,"Afternoon (12-16)",IF(C3372&lt;=20,"Evening (17-20)","Late (21-23)")))))</f>
        <v/>
      </c>
    </row>
    <row r="3373" customFormat="false" ht="15" hidden="false" customHeight="false" outlineLevel="0" collapsed="false">
      <c r="L3373" s="37" t="str">
        <f aca="false">IF(C3373="","",IF(C3373&lt;=5,"Night (00-05)",IF(C3373&lt;=11,"Morning (06-11)",IF(C3373&lt;=16,"Afternoon (12-16)",IF(C3373&lt;=20,"Evening (17-20)","Late (21-23)")))))</f>
        <v/>
      </c>
    </row>
    <row r="3374" customFormat="false" ht="15" hidden="false" customHeight="false" outlineLevel="0" collapsed="false">
      <c r="L3374" s="37" t="str">
        <f aca="false">IF(C3374="","",IF(C3374&lt;=5,"Night (00-05)",IF(C3374&lt;=11,"Morning (06-11)",IF(C3374&lt;=16,"Afternoon (12-16)",IF(C3374&lt;=20,"Evening (17-20)","Late (21-23)")))))</f>
        <v/>
      </c>
    </row>
    <row r="3375" customFormat="false" ht="15" hidden="false" customHeight="false" outlineLevel="0" collapsed="false">
      <c r="L3375" s="37" t="str">
        <f aca="false">IF(C3375="","",IF(C3375&lt;=5,"Night (00-05)",IF(C3375&lt;=11,"Morning (06-11)",IF(C3375&lt;=16,"Afternoon (12-16)",IF(C3375&lt;=20,"Evening (17-20)","Late (21-23)")))))</f>
        <v/>
      </c>
    </row>
    <row r="3376" customFormat="false" ht="15" hidden="false" customHeight="false" outlineLevel="0" collapsed="false">
      <c r="L3376" s="37" t="str">
        <f aca="false">IF(C3376="","",IF(C3376&lt;=5,"Night (00-05)",IF(C3376&lt;=11,"Morning (06-11)",IF(C3376&lt;=16,"Afternoon (12-16)",IF(C3376&lt;=20,"Evening (17-20)","Late (21-23)")))))</f>
        <v/>
      </c>
    </row>
    <row r="3377" customFormat="false" ht="15" hidden="false" customHeight="false" outlineLevel="0" collapsed="false">
      <c r="L3377" s="37" t="str">
        <f aca="false">IF(C3377="","",IF(C3377&lt;=5,"Night (00-05)",IF(C3377&lt;=11,"Morning (06-11)",IF(C3377&lt;=16,"Afternoon (12-16)",IF(C3377&lt;=20,"Evening (17-20)","Late (21-23)")))))</f>
        <v/>
      </c>
    </row>
    <row r="3378" customFormat="false" ht="15" hidden="false" customHeight="false" outlineLevel="0" collapsed="false">
      <c r="L3378" s="37" t="str">
        <f aca="false">IF(C3378="","",IF(C3378&lt;=5,"Night (00-05)",IF(C3378&lt;=11,"Morning (06-11)",IF(C3378&lt;=16,"Afternoon (12-16)",IF(C3378&lt;=20,"Evening (17-20)","Late (21-23)")))))</f>
        <v/>
      </c>
    </row>
    <row r="3379" customFormat="false" ht="15" hidden="false" customHeight="false" outlineLevel="0" collapsed="false">
      <c r="L3379" s="37" t="str">
        <f aca="false">IF(C3379="","",IF(C3379&lt;=5,"Night (00-05)",IF(C3379&lt;=11,"Morning (06-11)",IF(C3379&lt;=16,"Afternoon (12-16)",IF(C3379&lt;=20,"Evening (17-20)","Late (21-23)")))))</f>
        <v/>
      </c>
    </row>
    <row r="3380" customFormat="false" ht="15" hidden="false" customHeight="false" outlineLevel="0" collapsed="false">
      <c r="L3380" s="37" t="str">
        <f aca="false">IF(C3380="","",IF(C3380&lt;=5,"Night (00-05)",IF(C3380&lt;=11,"Morning (06-11)",IF(C3380&lt;=16,"Afternoon (12-16)",IF(C3380&lt;=20,"Evening (17-20)","Late (21-23)")))))</f>
        <v/>
      </c>
    </row>
    <row r="3381" customFormat="false" ht="15" hidden="false" customHeight="false" outlineLevel="0" collapsed="false">
      <c r="L3381" s="37" t="str">
        <f aca="false">IF(C3381="","",IF(C3381&lt;=5,"Night (00-05)",IF(C3381&lt;=11,"Morning (06-11)",IF(C3381&lt;=16,"Afternoon (12-16)",IF(C3381&lt;=20,"Evening (17-20)","Late (21-23)")))))</f>
        <v/>
      </c>
    </row>
    <row r="3382" customFormat="false" ht="15" hidden="false" customHeight="false" outlineLevel="0" collapsed="false">
      <c r="L3382" s="37" t="str">
        <f aca="false">IF(C3382="","",IF(C3382&lt;=5,"Night (00-05)",IF(C3382&lt;=11,"Morning (06-11)",IF(C3382&lt;=16,"Afternoon (12-16)",IF(C3382&lt;=20,"Evening (17-20)","Late (21-23)")))))</f>
        <v/>
      </c>
    </row>
    <row r="3383" customFormat="false" ht="15" hidden="false" customHeight="false" outlineLevel="0" collapsed="false">
      <c r="L3383" s="37" t="str">
        <f aca="false">IF(C3383="","",IF(C3383&lt;=5,"Night (00-05)",IF(C3383&lt;=11,"Morning (06-11)",IF(C3383&lt;=16,"Afternoon (12-16)",IF(C3383&lt;=20,"Evening (17-20)","Late (21-23)")))))</f>
        <v/>
      </c>
    </row>
    <row r="3384" customFormat="false" ht="15" hidden="false" customHeight="false" outlineLevel="0" collapsed="false">
      <c r="L3384" s="37" t="str">
        <f aca="false">IF(C3384="","",IF(C3384&lt;=5,"Night (00-05)",IF(C3384&lt;=11,"Morning (06-11)",IF(C3384&lt;=16,"Afternoon (12-16)",IF(C3384&lt;=20,"Evening (17-20)","Late (21-23)")))))</f>
        <v/>
      </c>
    </row>
    <row r="3385" customFormat="false" ht="15" hidden="false" customHeight="false" outlineLevel="0" collapsed="false">
      <c r="L3385" s="37" t="str">
        <f aca="false">IF(C3385="","",IF(C3385&lt;=5,"Night (00-05)",IF(C3385&lt;=11,"Morning (06-11)",IF(C3385&lt;=16,"Afternoon (12-16)",IF(C3385&lt;=20,"Evening (17-20)","Late (21-23)")))))</f>
        <v/>
      </c>
    </row>
    <row r="3386" customFormat="false" ht="15" hidden="false" customHeight="false" outlineLevel="0" collapsed="false">
      <c r="L3386" s="37" t="str">
        <f aca="false">IF(C3386="","",IF(C3386&lt;=5,"Night (00-05)",IF(C3386&lt;=11,"Morning (06-11)",IF(C3386&lt;=16,"Afternoon (12-16)",IF(C3386&lt;=20,"Evening (17-20)","Late (21-23)")))))</f>
        <v/>
      </c>
    </row>
    <row r="3387" customFormat="false" ht="15" hidden="false" customHeight="false" outlineLevel="0" collapsed="false">
      <c r="L3387" s="37" t="str">
        <f aca="false">IF(C3387="","",IF(C3387&lt;=5,"Night (00-05)",IF(C3387&lt;=11,"Morning (06-11)",IF(C3387&lt;=16,"Afternoon (12-16)",IF(C3387&lt;=20,"Evening (17-20)","Late (21-23)")))))</f>
        <v/>
      </c>
    </row>
    <row r="3388" customFormat="false" ht="15" hidden="false" customHeight="false" outlineLevel="0" collapsed="false">
      <c r="L3388" s="37" t="str">
        <f aca="false">IF(C3388="","",IF(C3388&lt;=5,"Night (00-05)",IF(C3388&lt;=11,"Morning (06-11)",IF(C3388&lt;=16,"Afternoon (12-16)",IF(C3388&lt;=20,"Evening (17-20)","Late (21-23)")))))</f>
        <v/>
      </c>
    </row>
    <row r="3389" customFormat="false" ht="15" hidden="false" customHeight="false" outlineLevel="0" collapsed="false">
      <c r="L3389" s="37" t="str">
        <f aca="false">IF(C3389="","",IF(C3389&lt;=5,"Night (00-05)",IF(C3389&lt;=11,"Morning (06-11)",IF(C3389&lt;=16,"Afternoon (12-16)",IF(C3389&lt;=20,"Evening (17-20)","Late (21-23)")))))</f>
        <v/>
      </c>
    </row>
    <row r="3390" customFormat="false" ht="15" hidden="false" customHeight="false" outlineLevel="0" collapsed="false">
      <c r="L3390" s="37" t="str">
        <f aca="false">IF(C3390="","",IF(C3390&lt;=5,"Night (00-05)",IF(C3390&lt;=11,"Morning (06-11)",IF(C3390&lt;=16,"Afternoon (12-16)",IF(C3390&lt;=20,"Evening (17-20)","Late (21-23)")))))</f>
        <v/>
      </c>
    </row>
    <row r="3391" customFormat="false" ht="15" hidden="false" customHeight="false" outlineLevel="0" collapsed="false">
      <c r="L3391" s="37" t="str">
        <f aca="false">IF(C3391="","",IF(C3391&lt;=5,"Night (00-05)",IF(C3391&lt;=11,"Morning (06-11)",IF(C3391&lt;=16,"Afternoon (12-16)",IF(C3391&lt;=20,"Evening (17-20)","Late (21-23)")))))</f>
        <v/>
      </c>
    </row>
    <row r="3392" customFormat="false" ht="15" hidden="false" customHeight="false" outlineLevel="0" collapsed="false">
      <c r="L3392" s="37" t="str">
        <f aca="false">IF(C3392="","",IF(C3392&lt;=5,"Night (00-05)",IF(C3392&lt;=11,"Morning (06-11)",IF(C3392&lt;=16,"Afternoon (12-16)",IF(C3392&lt;=20,"Evening (17-20)","Late (21-23)")))))</f>
        <v/>
      </c>
    </row>
    <row r="3393" customFormat="false" ht="15" hidden="false" customHeight="false" outlineLevel="0" collapsed="false">
      <c r="L3393" s="37" t="str">
        <f aca="false">IF(C3393="","",IF(C3393&lt;=5,"Night (00-05)",IF(C3393&lt;=11,"Morning (06-11)",IF(C3393&lt;=16,"Afternoon (12-16)",IF(C3393&lt;=20,"Evening (17-20)","Late (21-23)")))))</f>
        <v/>
      </c>
    </row>
    <row r="3394" customFormat="false" ht="15" hidden="false" customHeight="false" outlineLevel="0" collapsed="false">
      <c r="L3394" s="37" t="str">
        <f aca="false">IF(C3394="","",IF(C3394&lt;=5,"Night (00-05)",IF(C3394&lt;=11,"Morning (06-11)",IF(C3394&lt;=16,"Afternoon (12-16)",IF(C3394&lt;=20,"Evening (17-20)","Late (21-23)")))))</f>
        <v/>
      </c>
    </row>
    <row r="3395" customFormat="false" ht="15" hidden="false" customHeight="false" outlineLevel="0" collapsed="false">
      <c r="L3395" s="37" t="str">
        <f aca="false">IF(C3395="","",IF(C3395&lt;=5,"Night (00-05)",IF(C3395&lt;=11,"Morning (06-11)",IF(C3395&lt;=16,"Afternoon (12-16)",IF(C3395&lt;=20,"Evening (17-20)","Late (21-23)")))))</f>
        <v/>
      </c>
    </row>
    <row r="3396" customFormat="false" ht="15" hidden="false" customHeight="false" outlineLevel="0" collapsed="false">
      <c r="L3396" s="37" t="str">
        <f aca="false">IF(C3396="","",IF(C3396&lt;=5,"Night (00-05)",IF(C3396&lt;=11,"Morning (06-11)",IF(C3396&lt;=16,"Afternoon (12-16)",IF(C3396&lt;=20,"Evening (17-20)","Late (21-23)")))))</f>
        <v/>
      </c>
    </row>
    <row r="3397" customFormat="false" ht="15" hidden="false" customHeight="false" outlineLevel="0" collapsed="false">
      <c r="L3397" s="37" t="str">
        <f aca="false">IF(C3397="","",IF(C3397&lt;=5,"Night (00-05)",IF(C3397&lt;=11,"Morning (06-11)",IF(C3397&lt;=16,"Afternoon (12-16)",IF(C3397&lt;=20,"Evening (17-20)","Late (21-23)")))))</f>
        <v/>
      </c>
    </row>
    <row r="3398" customFormat="false" ht="15" hidden="false" customHeight="false" outlineLevel="0" collapsed="false">
      <c r="L3398" s="37" t="str">
        <f aca="false">IF(C3398="","",IF(C3398&lt;=5,"Night (00-05)",IF(C3398&lt;=11,"Morning (06-11)",IF(C3398&lt;=16,"Afternoon (12-16)",IF(C3398&lt;=20,"Evening (17-20)","Late (21-23)")))))</f>
        <v/>
      </c>
    </row>
    <row r="3399" customFormat="false" ht="15" hidden="false" customHeight="false" outlineLevel="0" collapsed="false">
      <c r="L3399" s="37" t="str">
        <f aca="false">IF(C3399="","",IF(C3399&lt;=5,"Night (00-05)",IF(C3399&lt;=11,"Morning (06-11)",IF(C3399&lt;=16,"Afternoon (12-16)",IF(C3399&lt;=20,"Evening (17-20)","Late (21-23)")))))</f>
        <v/>
      </c>
    </row>
    <row r="3400" customFormat="false" ht="15" hidden="false" customHeight="false" outlineLevel="0" collapsed="false">
      <c r="L3400" s="37" t="str">
        <f aca="false">IF(C3400="","",IF(C3400&lt;=5,"Night (00-05)",IF(C3400&lt;=11,"Morning (06-11)",IF(C3400&lt;=16,"Afternoon (12-16)",IF(C3400&lt;=20,"Evening (17-20)","Late (21-23)")))))</f>
        <v/>
      </c>
    </row>
    <row r="3401" customFormat="false" ht="15" hidden="false" customHeight="false" outlineLevel="0" collapsed="false">
      <c r="L3401" s="37" t="str">
        <f aca="false">IF(C3401="","",IF(C3401&lt;=5,"Night (00-05)",IF(C3401&lt;=11,"Morning (06-11)",IF(C3401&lt;=16,"Afternoon (12-16)",IF(C3401&lt;=20,"Evening (17-20)","Late (21-23)")))))</f>
        <v/>
      </c>
    </row>
    <row r="3402" customFormat="false" ht="15" hidden="false" customHeight="false" outlineLevel="0" collapsed="false">
      <c r="L3402" s="37" t="str">
        <f aca="false">IF(C3402="","",IF(C3402&lt;=5,"Night (00-05)",IF(C3402&lt;=11,"Morning (06-11)",IF(C3402&lt;=16,"Afternoon (12-16)",IF(C3402&lt;=20,"Evening (17-20)","Late (21-23)")))))</f>
        <v/>
      </c>
    </row>
    <row r="3403" customFormat="false" ht="15" hidden="false" customHeight="false" outlineLevel="0" collapsed="false">
      <c r="L3403" s="37" t="str">
        <f aca="false">IF(C3403="","",IF(C3403&lt;=5,"Night (00-05)",IF(C3403&lt;=11,"Morning (06-11)",IF(C3403&lt;=16,"Afternoon (12-16)",IF(C3403&lt;=20,"Evening (17-20)","Late (21-23)")))))</f>
        <v/>
      </c>
    </row>
    <row r="3404" customFormat="false" ht="15" hidden="false" customHeight="false" outlineLevel="0" collapsed="false">
      <c r="L3404" s="37" t="str">
        <f aca="false">IF(C3404="","",IF(C3404&lt;=5,"Night (00-05)",IF(C3404&lt;=11,"Morning (06-11)",IF(C3404&lt;=16,"Afternoon (12-16)",IF(C3404&lt;=20,"Evening (17-20)","Late (21-23)")))))</f>
        <v/>
      </c>
    </row>
    <row r="3405" customFormat="false" ht="15" hidden="false" customHeight="false" outlineLevel="0" collapsed="false">
      <c r="L3405" s="37" t="str">
        <f aca="false">IF(C3405="","",IF(C3405&lt;=5,"Night (00-05)",IF(C3405&lt;=11,"Morning (06-11)",IF(C3405&lt;=16,"Afternoon (12-16)",IF(C3405&lt;=20,"Evening (17-20)","Late (21-23)")))))</f>
        <v/>
      </c>
    </row>
    <row r="3406" customFormat="false" ht="15" hidden="false" customHeight="false" outlineLevel="0" collapsed="false">
      <c r="L3406" s="37" t="str">
        <f aca="false">IF(C3406="","",IF(C3406&lt;=5,"Night (00-05)",IF(C3406&lt;=11,"Morning (06-11)",IF(C3406&lt;=16,"Afternoon (12-16)",IF(C3406&lt;=20,"Evening (17-20)","Late (21-23)")))))</f>
        <v/>
      </c>
    </row>
    <row r="3407" customFormat="false" ht="15" hidden="false" customHeight="false" outlineLevel="0" collapsed="false">
      <c r="L3407" s="37" t="str">
        <f aca="false">IF(C3407="","",IF(C3407&lt;=5,"Night (00-05)",IF(C3407&lt;=11,"Morning (06-11)",IF(C3407&lt;=16,"Afternoon (12-16)",IF(C3407&lt;=20,"Evening (17-20)","Late (21-23)")))))</f>
        <v/>
      </c>
    </row>
    <row r="3408" customFormat="false" ht="15" hidden="false" customHeight="false" outlineLevel="0" collapsed="false">
      <c r="L3408" s="37" t="str">
        <f aca="false">IF(C3408="","",IF(C3408&lt;=5,"Night (00-05)",IF(C3408&lt;=11,"Morning (06-11)",IF(C3408&lt;=16,"Afternoon (12-16)",IF(C3408&lt;=20,"Evening (17-20)","Late (21-23)")))))</f>
        <v/>
      </c>
    </row>
    <row r="3409" customFormat="false" ht="15" hidden="false" customHeight="false" outlineLevel="0" collapsed="false">
      <c r="L3409" s="37" t="str">
        <f aca="false">IF(C3409="","",IF(C3409&lt;=5,"Night (00-05)",IF(C3409&lt;=11,"Morning (06-11)",IF(C3409&lt;=16,"Afternoon (12-16)",IF(C3409&lt;=20,"Evening (17-20)","Late (21-23)")))))</f>
        <v/>
      </c>
    </row>
    <row r="3410" customFormat="false" ht="15" hidden="false" customHeight="false" outlineLevel="0" collapsed="false">
      <c r="L3410" s="37" t="str">
        <f aca="false">IF(C3410="","",IF(C3410&lt;=5,"Night (00-05)",IF(C3410&lt;=11,"Morning (06-11)",IF(C3410&lt;=16,"Afternoon (12-16)",IF(C3410&lt;=20,"Evening (17-20)","Late (21-23)")))))</f>
        <v/>
      </c>
    </row>
    <row r="3411" customFormat="false" ht="15" hidden="false" customHeight="false" outlineLevel="0" collapsed="false">
      <c r="L3411" s="37" t="str">
        <f aca="false">IF(C3411="","",IF(C3411&lt;=5,"Night (00-05)",IF(C3411&lt;=11,"Morning (06-11)",IF(C3411&lt;=16,"Afternoon (12-16)",IF(C3411&lt;=20,"Evening (17-20)","Late (21-23)")))))</f>
        <v/>
      </c>
    </row>
    <row r="3412" customFormat="false" ht="15" hidden="false" customHeight="false" outlineLevel="0" collapsed="false">
      <c r="L3412" s="37" t="str">
        <f aca="false">IF(C3412="","",IF(C3412&lt;=5,"Night (00-05)",IF(C3412&lt;=11,"Morning (06-11)",IF(C3412&lt;=16,"Afternoon (12-16)",IF(C3412&lt;=20,"Evening (17-20)","Late (21-23)")))))</f>
        <v/>
      </c>
    </row>
    <row r="3413" customFormat="false" ht="15" hidden="false" customHeight="false" outlineLevel="0" collapsed="false">
      <c r="L3413" s="37" t="str">
        <f aca="false">IF(C3413="","",IF(C3413&lt;=5,"Night (00-05)",IF(C3413&lt;=11,"Morning (06-11)",IF(C3413&lt;=16,"Afternoon (12-16)",IF(C3413&lt;=20,"Evening (17-20)","Late (21-23)")))))</f>
        <v/>
      </c>
    </row>
    <row r="3414" customFormat="false" ht="15" hidden="false" customHeight="false" outlineLevel="0" collapsed="false">
      <c r="L3414" s="37" t="str">
        <f aca="false">IF(C3414="","",IF(C3414&lt;=5,"Night (00-05)",IF(C3414&lt;=11,"Morning (06-11)",IF(C3414&lt;=16,"Afternoon (12-16)",IF(C3414&lt;=20,"Evening (17-20)","Late (21-23)")))))</f>
        <v/>
      </c>
    </row>
    <row r="3415" customFormat="false" ht="15" hidden="false" customHeight="false" outlineLevel="0" collapsed="false">
      <c r="L3415" s="37" t="str">
        <f aca="false">IF(C3415="","",IF(C3415&lt;=5,"Night (00-05)",IF(C3415&lt;=11,"Morning (06-11)",IF(C3415&lt;=16,"Afternoon (12-16)",IF(C3415&lt;=20,"Evening (17-20)","Late (21-23)")))))</f>
        <v/>
      </c>
    </row>
    <row r="3416" customFormat="false" ht="15" hidden="false" customHeight="false" outlineLevel="0" collapsed="false">
      <c r="L3416" s="37" t="str">
        <f aca="false">IF(C3416="","",IF(C3416&lt;=5,"Night (00-05)",IF(C3416&lt;=11,"Morning (06-11)",IF(C3416&lt;=16,"Afternoon (12-16)",IF(C3416&lt;=20,"Evening (17-20)","Late (21-23)")))))</f>
        <v/>
      </c>
    </row>
    <row r="3417" customFormat="false" ht="15" hidden="false" customHeight="false" outlineLevel="0" collapsed="false">
      <c r="L3417" s="37" t="str">
        <f aca="false">IF(C3417="","",IF(C3417&lt;=5,"Night (00-05)",IF(C3417&lt;=11,"Morning (06-11)",IF(C3417&lt;=16,"Afternoon (12-16)",IF(C3417&lt;=20,"Evening (17-20)","Late (21-23)")))))</f>
        <v/>
      </c>
    </row>
    <row r="3418" customFormat="false" ht="15" hidden="false" customHeight="false" outlineLevel="0" collapsed="false">
      <c r="L3418" s="37" t="str">
        <f aca="false">IF(C3418="","",IF(C3418&lt;=5,"Night (00-05)",IF(C3418&lt;=11,"Morning (06-11)",IF(C3418&lt;=16,"Afternoon (12-16)",IF(C3418&lt;=20,"Evening (17-20)","Late (21-23)")))))</f>
        <v/>
      </c>
    </row>
    <row r="3419" customFormat="false" ht="15" hidden="false" customHeight="false" outlineLevel="0" collapsed="false">
      <c r="L3419" s="37" t="str">
        <f aca="false">IF(C3419="","",IF(C3419&lt;=5,"Night (00-05)",IF(C3419&lt;=11,"Morning (06-11)",IF(C3419&lt;=16,"Afternoon (12-16)",IF(C3419&lt;=20,"Evening (17-20)","Late (21-23)")))))</f>
        <v/>
      </c>
    </row>
    <row r="3420" customFormat="false" ht="15" hidden="false" customHeight="false" outlineLevel="0" collapsed="false">
      <c r="L3420" s="37" t="str">
        <f aca="false">IF(C3420="","",IF(C3420&lt;=5,"Night (00-05)",IF(C3420&lt;=11,"Morning (06-11)",IF(C3420&lt;=16,"Afternoon (12-16)",IF(C3420&lt;=20,"Evening (17-20)","Late (21-23)")))))</f>
        <v/>
      </c>
    </row>
    <row r="3421" customFormat="false" ht="15" hidden="false" customHeight="false" outlineLevel="0" collapsed="false">
      <c r="L3421" s="37" t="str">
        <f aca="false">IF(C3421="","",IF(C3421&lt;=5,"Night (00-05)",IF(C3421&lt;=11,"Morning (06-11)",IF(C3421&lt;=16,"Afternoon (12-16)",IF(C3421&lt;=20,"Evening (17-20)","Late (21-23)")))))</f>
        <v/>
      </c>
    </row>
    <row r="3422" customFormat="false" ht="15" hidden="false" customHeight="false" outlineLevel="0" collapsed="false">
      <c r="L3422" s="37" t="str">
        <f aca="false">IF(C3422="","",IF(C3422&lt;=5,"Night (00-05)",IF(C3422&lt;=11,"Morning (06-11)",IF(C3422&lt;=16,"Afternoon (12-16)",IF(C3422&lt;=20,"Evening (17-20)","Late (21-23)")))))</f>
        <v/>
      </c>
    </row>
    <row r="3423" customFormat="false" ht="15" hidden="false" customHeight="false" outlineLevel="0" collapsed="false">
      <c r="L3423" s="37" t="str">
        <f aca="false">IF(C3423="","",IF(C3423&lt;=5,"Night (00-05)",IF(C3423&lt;=11,"Morning (06-11)",IF(C3423&lt;=16,"Afternoon (12-16)",IF(C3423&lt;=20,"Evening (17-20)","Late (21-23)")))))</f>
        <v/>
      </c>
    </row>
    <row r="3424" customFormat="false" ht="15" hidden="false" customHeight="false" outlineLevel="0" collapsed="false">
      <c r="L3424" s="37" t="str">
        <f aca="false">IF(C3424="","",IF(C3424&lt;=5,"Night (00-05)",IF(C3424&lt;=11,"Morning (06-11)",IF(C3424&lt;=16,"Afternoon (12-16)",IF(C3424&lt;=20,"Evening (17-20)","Late (21-23)")))))</f>
        <v/>
      </c>
    </row>
    <row r="3425" customFormat="false" ht="15" hidden="false" customHeight="false" outlineLevel="0" collapsed="false">
      <c r="L3425" s="37" t="str">
        <f aca="false">IF(C3425="","",IF(C3425&lt;=5,"Night (00-05)",IF(C3425&lt;=11,"Morning (06-11)",IF(C3425&lt;=16,"Afternoon (12-16)",IF(C3425&lt;=20,"Evening (17-20)","Late (21-23)")))))</f>
        <v/>
      </c>
    </row>
    <row r="3426" customFormat="false" ht="15" hidden="false" customHeight="false" outlineLevel="0" collapsed="false">
      <c r="L3426" s="37" t="str">
        <f aca="false">IF(C3426="","",IF(C3426&lt;=5,"Night (00-05)",IF(C3426&lt;=11,"Morning (06-11)",IF(C3426&lt;=16,"Afternoon (12-16)",IF(C3426&lt;=20,"Evening (17-20)","Late (21-23)")))))</f>
        <v/>
      </c>
    </row>
    <row r="3427" customFormat="false" ht="15" hidden="false" customHeight="false" outlineLevel="0" collapsed="false">
      <c r="L3427" s="37" t="str">
        <f aca="false">IF(C3427="","",IF(C3427&lt;=5,"Night (00-05)",IF(C3427&lt;=11,"Morning (06-11)",IF(C3427&lt;=16,"Afternoon (12-16)",IF(C3427&lt;=20,"Evening (17-20)","Late (21-23)")))))</f>
        <v/>
      </c>
    </row>
    <row r="3428" customFormat="false" ht="15" hidden="false" customHeight="false" outlineLevel="0" collapsed="false">
      <c r="L3428" s="37" t="str">
        <f aca="false">IF(C3428="","",IF(C3428&lt;=5,"Night (00-05)",IF(C3428&lt;=11,"Morning (06-11)",IF(C3428&lt;=16,"Afternoon (12-16)",IF(C3428&lt;=20,"Evening (17-20)","Late (21-23)")))))</f>
        <v/>
      </c>
    </row>
    <row r="3429" customFormat="false" ht="15" hidden="false" customHeight="false" outlineLevel="0" collapsed="false">
      <c r="L3429" s="37" t="str">
        <f aca="false">IF(C3429="","",IF(C3429&lt;=5,"Night (00-05)",IF(C3429&lt;=11,"Morning (06-11)",IF(C3429&lt;=16,"Afternoon (12-16)",IF(C3429&lt;=20,"Evening (17-20)","Late (21-23)")))))</f>
        <v/>
      </c>
    </row>
    <row r="3430" customFormat="false" ht="15" hidden="false" customHeight="false" outlineLevel="0" collapsed="false">
      <c r="L3430" s="37" t="str">
        <f aca="false">IF(C3430="","",IF(C3430&lt;=5,"Night (00-05)",IF(C3430&lt;=11,"Morning (06-11)",IF(C3430&lt;=16,"Afternoon (12-16)",IF(C3430&lt;=20,"Evening (17-20)","Late (21-23)")))))</f>
        <v/>
      </c>
    </row>
    <row r="3431" customFormat="false" ht="15" hidden="false" customHeight="false" outlineLevel="0" collapsed="false">
      <c r="L3431" s="37" t="str">
        <f aca="false">IF(C3431="","",IF(C3431&lt;=5,"Night (00-05)",IF(C3431&lt;=11,"Morning (06-11)",IF(C3431&lt;=16,"Afternoon (12-16)",IF(C3431&lt;=20,"Evening (17-20)","Late (21-23)")))))</f>
        <v/>
      </c>
    </row>
    <row r="3432" customFormat="false" ht="15" hidden="false" customHeight="false" outlineLevel="0" collapsed="false">
      <c r="L3432" s="37" t="str">
        <f aca="false">IF(C3432="","",IF(C3432&lt;=5,"Night (00-05)",IF(C3432&lt;=11,"Morning (06-11)",IF(C3432&lt;=16,"Afternoon (12-16)",IF(C3432&lt;=20,"Evening (17-20)","Late (21-23)")))))</f>
        <v/>
      </c>
    </row>
    <row r="3433" customFormat="false" ht="15" hidden="false" customHeight="false" outlineLevel="0" collapsed="false">
      <c r="L3433" s="37" t="str">
        <f aca="false">IF(C3433="","",IF(C3433&lt;=5,"Night (00-05)",IF(C3433&lt;=11,"Morning (06-11)",IF(C3433&lt;=16,"Afternoon (12-16)",IF(C3433&lt;=20,"Evening (17-20)","Late (21-23)")))))</f>
        <v/>
      </c>
    </row>
    <row r="3434" customFormat="false" ht="15" hidden="false" customHeight="false" outlineLevel="0" collapsed="false">
      <c r="L3434" s="37" t="str">
        <f aca="false">IF(C3434="","",IF(C3434&lt;=5,"Night (00-05)",IF(C3434&lt;=11,"Morning (06-11)",IF(C3434&lt;=16,"Afternoon (12-16)",IF(C3434&lt;=20,"Evening (17-20)","Late (21-23)")))))</f>
        <v/>
      </c>
    </row>
    <row r="3435" customFormat="false" ht="15" hidden="false" customHeight="false" outlineLevel="0" collapsed="false">
      <c r="L3435" s="37" t="str">
        <f aca="false">IF(C3435="","",IF(C3435&lt;=5,"Night (00-05)",IF(C3435&lt;=11,"Morning (06-11)",IF(C3435&lt;=16,"Afternoon (12-16)",IF(C3435&lt;=20,"Evening (17-20)","Late (21-23)")))))</f>
        <v/>
      </c>
    </row>
    <row r="3436" customFormat="false" ht="15" hidden="false" customHeight="false" outlineLevel="0" collapsed="false">
      <c r="L3436" s="37" t="str">
        <f aca="false">IF(C3436="","",IF(C3436&lt;=5,"Night (00-05)",IF(C3436&lt;=11,"Morning (06-11)",IF(C3436&lt;=16,"Afternoon (12-16)",IF(C3436&lt;=20,"Evening (17-20)","Late (21-23)")))))</f>
        <v/>
      </c>
    </row>
    <row r="3437" customFormat="false" ht="15" hidden="false" customHeight="false" outlineLevel="0" collapsed="false">
      <c r="L3437" s="37" t="str">
        <f aca="false">IF(C3437="","",IF(C3437&lt;=5,"Night (00-05)",IF(C3437&lt;=11,"Morning (06-11)",IF(C3437&lt;=16,"Afternoon (12-16)",IF(C3437&lt;=20,"Evening (17-20)","Late (21-23)")))))</f>
        <v/>
      </c>
    </row>
    <row r="3438" customFormat="false" ht="15" hidden="false" customHeight="false" outlineLevel="0" collapsed="false">
      <c r="L3438" s="37" t="str">
        <f aca="false">IF(C3438="","",IF(C3438&lt;=5,"Night (00-05)",IF(C3438&lt;=11,"Morning (06-11)",IF(C3438&lt;=16,"Afternoon (12-16)",IF(C3438&lt;=20,"Evening (17-20)","Late (21-23)")))))</f>
        <v/>
      </c>
    </row>
    <row r="3439" customFormat="false" ht="15" hidden="false" customHeight="false" outlineLevel="0" collapsed="false">
      <c r="L3439" s="37" t="str">
        <f aca="false">IF(C3439="","",IF(C3439&lt;=5,"Night (00-05)",IF(C3439&lt;=11,"Morning (06-11)",IF(C3439&lt;=16,"Afternoon (12-16)",IF(C3439&lt;=20,"Evening (17-20)","Late (21-23)")))))</f>
        <v/>
      </c>
    </row>
    <row r="3440" customFormat="false" ht="15" hidden="false" customHeight="false" outlineLevel="0" collapsed="false">
      <c r="L3440" s="37" t="str">
        <f aca="false">IF(C3440="","",IF(C3440&lt;=5,"Night (00-05)",IF(C3440&lt;=11,"Morning (06-11)",IF(C3440&lt;=16,"Afternoon (12-16)",IF(C3440&lt;=20,"Evening (17-20)","Late (21-23)")))))</f>
        <v/>
      </c>
    </row>
    <row r="3441" customFormat="false" ht="15" hidden="false" customHeight="false" outlineLevel="0" collapsed="false">
      <c r="L3441" s="37" t="str">
        <f aca="false">IF(C3441="","",IF(C3441&lt;=5,"Night (00-05)",IF(C3441&lt;=11,"Morning (06-11)",IF(C3441&lt;=16,"Afternoon (12-16)",IF(C3441&lt;=20,"Evening (17-20)","Late (21-23)")))))</f>
        <v/>
      </c>
    </row>
    <row r="3442" customFormat="false" ht="15" hidden="false" customHeight="false" outlineLevel="0" collapsed="false">
      <c r="L3442" s="37" t="str">
        <f aca="false">IF(C3442="","",IF(C3442&lt;=5,"Night (00-05)",IF(C3442&lt;=11,"Morning (06-11)",IF(C3442&lt;=16,"Afternoon (12-16)",IF(C3442&lt;=20,"Evening (17-20)","Late (21-23)")))))</f>
        <v/>
      </c>
    </row>
    <row r="3443" customFormat="false" ht="15" hidden="false" customHeight="false" outlineLevel="0" collapsed="false">
      <c r="L3443" s="37" t="str">
        <f aca="false">IF(C3443="","",IF(C3443&lt;=5,"Night (00-05)",IF(C3443&lt;=11,"Morning (06-11)",IF(C3443&lt;=16,"Afternoon (12-16)",IF(C3443&lt;=20,"Evening (17-20)","Late (21-23)")))))</f>
        <v/>
      </c>
    </row>
    <row r="3444" customFormat="false" ht="15" hidden="false" customHeight="false" outlineLevel="0" collapsed="false">
      <c r="L3444" s="37" t="str">
        <f aca="false">IF(C3444="","",IF(C3444&lt;=5,"Night (00-05)",IF(C3444&lt;=11,"Morning (06-11)",IF(C3444&lt;=16,"Afternoon (12-16)",IF(C3444&lt;=20,"Evening (17-20)","Late (21-23)")))))</f>
        <v/>
      </c>
    </row>
    <row r="3445" customFormat="false" ht="15" hidden="false" customHeight="false" outlineLevel="0" collapsed="false">
      <c r="L3445" s="37" t="str">
        <f aca="false">IF(C3445="","",IF(C3445&lt;=5,"Night (00-05)",IF(C3445&lt;=11,"Morning (06-11)",IF(C3445&lt;=16,"Afternoon (12-16)",IF(C3445&lt;=20,"Evening (17-20)","Late (21-23)")))))</f>
        <v/>
      </c>
    </row>
    <row r="3446" customFormat="false" ht="15" hidden="false" customHeight="false" outlineLevel="0" collapsed="false">
      <c r="L3446" s="37" t="str">
        <f aca="false">IF(C3446="","",IF(C3446&lt;=5,"Night (00-05)",IF(C3446&lt;=11,"Morning (06-11)",IF(C3446&lt;=16,"Afternoon (12-16)",IF(C3446&lt;=20,"Evening (17-20)","Late (21-23)")))))</f>
        <v/>
      </c>
    </row>
    <row r="3447" customFormat="false" ht="15" hidden="false" customHeight="false" outlineLevel="0" collapsed="false">
      <c r="L3447" s="37" t="str">
        <f aca="false">IF(C3447="","",IF(C3447&lt;=5,"Night (00-05)",IF(C3447&lt;=11,"Morning (06-11)",IF(C3447&lt;=16,"Afternoon (12-16)",IF(C3447&lt;=20,"Evening (17-20)","Late (21-23)")))))</f>
        <v/>
      </c>
    </row>
    <row r="3448" customFormat="false" ht="15" hidden="false" customHeight="false" outlineLevel="0" collapsed="false">
      <c r="L3448" s="37" t="str">
        <f aca="false">IF(C3448="","",IF(C3448&lt;=5,"Night (00-05)",IF(C3448&lt;=11,"Morning (06-11)",IF(C3448&lt;=16,"Afternoon (12-16)",IF(C3448&lt;=20,"Evening (17-20)","Late (21-23)")))))</f>
        <v/>
      </c>
    </row>
    <row r="3449" customFormat="false" ht="15" hidden="false" customHeight="false" outlineLevel="0" collapsed="false">
      <c r="L3449" s="37" t="str">
        <f aca="false">IF(C3449="","",IF(C3449&lt;=5,"Night (00-05)",IF(C3449&lt;=11,"Morning (06-11)",IF(C3449&lt;=16,"Afternoon (12-16)",IF(C3449&lt;=20,"Evening (17-20)","Late (21-23)")))))</f>
        <v/>
      </c>
    </row>
    <row r="3450" customFormat="false" ht="15" hidden="false" customHeight="false" outlineLevel="0" collapsed="false">
      <c r="L3450" s="37" t="str">
        <f aca="false">IF(C3450="","",IF(C3450&lt;=5,"Night (00-05)",IF(C3450&lt;=11,"Morning (06-11)",IF(C3450&lt;=16,"Afternoon (12-16)",IF(C3450&lt;=20,"Evening (17-20)","Late (21-23)")))))</f>
        <v/>
      </c>
    </row>
    <row r="3451" customFormat="false" ht="15" hidden="false" customHeight="false" outlineLevel="0" collapsed="false">
      <c r="L3451" s="37" t="str">
        <f aca="false">IF(C3451="","",IF(C3451&lt;=5,"Night (00-05)",IF(C3451&lt;=11,"Morning (06-11)",IF(C3451&lt;=16,"Afternoon (12-16)",IF(C3451&lt;=20,"Evening (17-20)","Late (21-23)")))))</f>
        <v/>
      </c>
    </row>
    <row r="3452" customFormat="false" ht="15" hidden="false" customHeight="false" outlineLevel="0" collapsed="false">
      <c r="L3452" s="37" t="str">
        <f aca="false">IF(C3452="","",IF(C3452&lt;=5,"Night (00-05)",IF(C3452&lt;=11,"Morning (06-11)",IF(C3452&lt;=16,"Afternoon (12-16)",IF(C3452&lt;=20,"Evening (17-20)","Late (21-23)")))))</f>
        <v/>
      </c>
    </row>
    <row r="3453" customFormat="false" ht="15" hidden="false" customHeight="false" outlineLevel="0" collapsed="false">
      <c r="L3453" s="37" t="str">
        <f aca="false">IF(C3453="","",IF(C3453&lt;=5,"Night (00-05)",IF(C3453&lt;=11,"Morning (06-11)",IF(C3453&lt;=16,"Afternoon (12-16)",IF(C3453&lt;=20,"Evening (17-20)","Late (21-23)")))))</f>
        <v/>
      </c>
    </row>
    <row r="3454" customFormat="false" ht="15" hidden="false" customHeight="false" outlineLevel="0" collapsed="false">
      <c r="L3454" s="37" t="str">
        <f aca="false">IF(C3454="","",IF(C3454&lt;=5,"Night (00-05)",IF(C3454&lt;=11,"Morning (06-11)",IF(C3454&lt;=16,"Afternoon (12-16)",IF(C3454&lt;=20,"Evening (17-20)","Late (21-23)")))))</f>
        <v/>
      </c>
    </row>
    <row r="3455" customFormat="false" ht="15" hidden="false" customHeight="false" outlineLevel="0" collapsed="false">
      <c r="L3455" s="37" t="str">
        <f aca="false">IF(C3455="","",IF(C3455&lt;=5,"Night (00-05)",IF(C3455&lt;=11,"Morning (06-11)",IF(C3455&lt;=16,"Afternoon (12-16)",IF(C3455&lt;=20,"Evening (17-20)","Late (21-23)")))))</f>
        <v/>
      </c>
    </row>
    <row r="3456" customFormat="false" ht="15" hidden="false" customHeight="false" outlineLevel="0" collapsed="false">
      <c r="L3456" s="37" t="str">
        <f aca="false">IF(C3456="","",IF(C3456&lt;=5,"Night (00-05)",IF(C3456&lt;=11,"Morning (06-11)",IF(C3456&lt;=16,"Afternoon (12-16)",IF(C3456&lt;=20,"Evening (17-20)","Late (21-23)")))))</f>
        <v/>
      </c>
    </row>
    <row r="3457" customFormat="false" ht="15" hidden="false" customHeight="false" outlineLevel="0" collapsed="false">
      <c r="L3457" s="37" t="str">
        <f aca="false">IF(C3457="","",IF(C3457&lt;=5,"Night (00-05)",IF(C3457&lt;=11,"Morning (06-11)",IF(C3457&lt;=16,"Afternoon (12-16)",IF(C3457&lt;=20,"Evening (17-20)","Late (21-23)")))))</f>
        <v/>
      </c>
    </row>
    <row r="3458" customFormat="false" ht="15" hidden="false" customHeight="false" outlineLevel="0" collapsed="false">
      <c r="L3458" s="37" t="str">
        <f aca="false">IF(C3458="","",IF(C3458&lt;=5,"Night (00-05)",IF(C3458&lt;=11,"Morning (06-11)",IF(C3458&lt;=16,"Afternoon (12-16)",IF(C3458&lt;=20,"Evening (17-20)","Late (21-23)")))))</f>
        <v/>
      </c>
    </row>
    <row r="3459" customFormat="false" ht="15" hidden="false" customHeight="false" outlineLevel="0" collapsed="false">
      <c r="L3459" s="37" t="str">
        <f aca="false">IF(C3459="","",IF(C3459&lt;=5,"Night (00-05)",IF(C3459&lt;=11,"Morning (06-11)",IF(C3459&lt;=16,"Afternoon (12-16)",IF(C3459&lt;=20,"Evening (17-20)","Late (21-23)")))))</f>
        <v/>
      </c>
    </row>
    <row r="3460" customFormat="false" ht="15" hidden="false" customHeight="false" outlineLevel="0" collapsed="false">
      <c r="L3460" s="37" t="str">
        <f aca="false">IF(C3460="","",IF(C3460&lt;=5,"Night (00-05)",IF(C3460&lt;=11,"Morning (06-11)",IF(C3460&lt;=16,"Afternoon (12-16)",IF(C3460&lt;=20,"Evening (17-20)","Late (21-23)")))))</f>
        <v/>
      </c>
    </row>
    <row r="3461" customFormat="false" ht="15" hidden="false" customHeight="false" outlineLevel="0" collapsed="false">
      <c r="L3461" s="37" t="str">
        <f aca="false">IF(C3461="","",IF(C3461&lt;=5,"Night (00-05)",IF(C3461&lt;=11,"Morning (06-11)",IF(C3461&lt;=16,"Afternoon (12-16)",IF(C3461&lt;=20,"Evening (17-20)","Late (21-23)")))))</f>
        <v/>
      </c>
    </row>
    <row r="3462" customFormat="false" ht="15" hidden="false" customHeight="false" outlineLevel="0" collapsed="false">
      <c r="L3462" s="37" t="str">
        <f aca="false">IF(C3462="","",IF(C3462&lt;=5,"Night (00-05)",IF(C3462&lt;=11,"Morning (06-11)",IF(C3462&lt;=16,"Afternoon (12-16)",IF(C3462&lt;=20,"Evening (17-20)","Late (21-23)")))))</f>
        <v/>
      </c>
    </row>
    <row r="3463" customFormat="false" ht="15" hidden="false" customHeight="false" outlineLevel="0" collapsed="false">
      <c r="L3463" s="37" t="str">
        <f aca="false">IF(C3463="","",IF(C3463&lt;=5,"Night (00-05)",IF(C3463&lt;=11,"Morning (06-11)",IF(C3463&lt;=16,"Afternoon (12-16)",IF(C3463&lt;=20,"Evening (17-20)","Late (21-23)")))))</f>
        <v/>
      </c>
    </row>
    <row r="3464" customFormat="false" ht="15" hidden="false" customHeight="false" outlineLevel="0" collapsed="false">
      <c r="L3464" s="37" t="str">
        <f aca="false">IF(C3464="","",IF(C3464&lt;=5,"Night (00-05)",IF(C3464&lt;=11,"Morning (06-11)",IF(C3464&lt;=16,"Afternoon (12-16)",IF(C3464&lt;=20,"Evening (17-20)","Late (21-23)")))))</f>
        <v/>
      </c>
    </row>
    <row r="3465" customFormat="false" ht="15" hidden="false" customHeight="false" outlineLevel="0" collapsed="false">
      <c r="L3465" s="37" t="str">
        <f aca="false">IF(C3465="","",IF(C3465&lt;=5,"Night (00-05)",IF(C3465&lt;=11,"Morning (06-11)",IF(C3465&lt;=16,"Afternoon (12-16)",IF(C3465&lt;=20,"Evening (17-20)","Late (21-23)")))))</f>
        <v/>
      </c>
    </row>
    <row r="3466" customFormat="false" ht="15" hidden="false" customHeight="false" outlineLevel="0" collapsed="false">
      <c r="L3466" s="37" t="str">
        <f aca="false">IF(C3466="","",IF(C3466&lt;=5,"Night (00-05)",IF(C3466&lt;=11,"Morning (06-11)",IF(C3466&lt;=16,"Afternoon (12-16)",IF(C3466&lt;=20,"Evening (17-20)","Late (21-23)")))))</f>
        <v/>
      </c>
    </row>
    <row r="3467" customFormat="false" ht="15" hidden="false" customHeight="false" outlineLevel="0" collapsed="false">
      <c r="L3467" s="37" t="str">
        <f aca="false">IF(C3467="","",IF(C3467&lt;=5,"Night (00-05)",IF(C3467&lt;=11,"Morning (06-11)",IF(C3467&lt;=16,"Afternoon (12-16)",IF(C3467&lt;=20,"Evening (17-20)","Late (21-23)")))))</f>
        <v/>
      </c>
    </row>
    <row r="3468" customFormat="false" ht="15" hidden="false" customHeight="false" outlineLevel="0" collapsed="false">
      <c r="L3468" s="37" t="str">
        <f aca="false">IF(C3468="","",IF(C3468&lt;=5,"Night (00-05)",IF(C3468&lt;=11,"Morning (06-11)",IF(C3468&lt;=16,"Afternoon (12-16)",IF(C3468&lt;=20,"Evening (17-20)","Late (21-23)")))))</f>
        <v/>
      </c>
    </row>
    <row r="3469" customFormat="false" ht="15" hidden="false" customHeight="false" outlineLevel="0" collapsed="false">
      <c r="L3469" s="37" t="str">
        <f aca="false">IF(C3469="","",IF(C3469&lt;=5,"Night (00-05)",IF(C3469&lt;=11,"Morning (06-11)",IF(C3469&lt;=16,"Afternoon (12-16)",IF(C3469&lt;=20,"Evening (17-20)","Late (21-23)")))))</f>
        <v/>
      </c>
    </row>
    <row r="3470" customFormat="false" ht="15" hidden="false" customHeight="false" outlineLevel="0" collapsed="false">
      <c r="L3470" s="37" t="str">
        <f aca="false">IF(C3470="","",IF(C3470&lt;=5,"Night (00-05)",IF(C3470&lt;=11,"Morning (06-11)",IF(C3470&lt;=16,"Afternoon (12-16)",IF(C3470&lt;=20,"Evening (17-20)","Late (21-23)")))))</f>
        <v/>
      </c>
    </row>
    <row r="3471" customFormat="false" ht="15" hidden="false" customHeight="false" outlineLevel="0" collapsed="false">
      <c r="L3471" s="37" t="str">
        <f aca="false">IF(C3471="","",IF(C3471&lt;=5,"Night (00-05)",IF(C3471&lt;=11,"Morning (06-11)",IF(C3471&lt;=16,"Afternoon (12-16)",IF(C3471&lt;=20,"Evening (17-20)","Late (21-23)")))))</f>
        <v/>
      </c>
    </row>
    <row r="3472" customFormat="false" ht="15" hidden="false" customHeight="false" outlineLevel="0" collapsed="false">
      <c r="L3472" s="37" t="str">
        <f aca="false">IF(C3472="","",IF(C3472&lt;=5,"Night (00-05)",IF(C3472&lt;=11,"Morning (06-11)",IF(C3472&lt;=16,"Afternoon (12-16)",IF(C3472&lt;=20,"Evening (17-20)","Late (21-23)")))))</f>
        <v/>
      </c>
    </row>
    <row r="3473" customFormat="false" ht="15" hidden="false" customHeight="false" outlineLevel="0" collapsed="false">
      <c r="L3473" s="37" t="str">
        <f aca="false">IF(C3473="","",IF(C3473&lt;=5,"Night (00-05)",IF(C3473&lt;=11,"Morning (06-11)",IF(C3473&lt;=16,"Afternoon (12-16)",IF(C3473&lt;=20,"Evening (17-20)","Late (21-23)")))))</f>
        <v/>
      </c>
    </row>
    <row r="3474" customFormat="false" ht="15" hidden="false" customHeight="false" outlineLevel="0" collapsed="false">
      <c r="L3474" s="37" t="str">
        <f aca="false">IF(C3474="","",IF(C3474&lt;=5,"Night (00-05)",IF(C3474&lt;=11,"Morning (06-11)",IF(C3474&lt;=16,"Afternoon (12-16)",IF(C3474&lt;=20,"Evening (17-20)","Late (21-23)")))))</f>
        <v/>
      </c>
    </row>
    <row r="3475" customFormat="false" ht="15" hidden="false" customHeight="false" outlineLevel="0" collapsed="false">
      <c r="L3475" s="37" t="str">
        <f aca="false">IF(C3475="","",IF(C3475&lt;=5,"Night (00-05)",IF(C3475&lt;=11,"Morning (06-11)",IF(C3475&lt;=16,"Afternoon (12-16)",IF(C3475&lt;=20,"Evening (17-20)","Late (21-23)")))))</f>
        <v/>
      </c>
    </row>
    <row r="3476" customFormat="false" ht="15" hidden="false" customHeight="false" outlineLevel="0" collapsed="false">
      <c r="L3476" s="37" t="str">
        <f aca="false">IF(C3476="","",IF(C3476&lt;=5,"Night (00-05)",IF(C3476&lt;=11,"Morning (06-11)",IF(C3476&lt;=16,"Afternoon (12-16)",IF(C3476&lt;=20,"Evening (17-20)","Late (21-23)")))))</f>
        <v/>
      </c>
    </row>
    <row r="3477" customFormat="false" ht="15" hidden="false" customHeight="false" outlineLevel="0" collapsed="false">
      <c r="L3477" s="37" t="str">
        <f aca="false">IF(C3477="","",IF(C3477&lt;=5,"Night (00-05)",IF(C3477&lt;=11,"Morning (06-11)",IF(C3477&lt;=16,"Afternoon (12-16)",IF(C3477&lt;=20,"Evening (17-20)","Late (21-23)")))))</f>
        <v/>
      </c>
    </row>
    <row r="3478" customFormat="false" ht="15" hidden="false" customHeight="false" outlineLevel="0" collapsed="false">
      <c r="L3478" s="37" t="str">
        <f aca="false">IF(C3478="","",IF(C3478&lt;=5,"Night (00-05)",IF(C3478&lt;=11,"Morning (06-11)",IF(C3478&lt;=16,"Afternoon (12-16)",IF(C3478&lt;=20,"Evening (17-20)","Late (21-23)")))))</f>
        <v/>
      </c>
    </row>
    <row r="3479" customFormat="false" ht="15" hidden="false" customHeight="false" outlineLevel="0" collapsed="false">
      <c r="L3479" s="37" t="str">
        <f aca="false">IF(C3479="","",IF(C3479&lt;=5,"Night (00-05)",IF(C3479&lt;=11,"Morning (06-11)",IF(C3479&lt;=16,"Afternoon (12-16)",IF(C3479&lt;=20,"Evening (17-20)","Late (21-23)")))))</f>
        <v/>
      </c>
    </row>
    <row r="3480" customFormat="false" ht="15" hidden="false" customHeight="false" outlineLevel="0" collapsed="false">
      <c r="L3480" s="37" t="str">
        <f aca="false">IF(C3480="","",IF(C3480&lt;=5,"Night (00-05)",IF(C3480&lt;=11,"Morning (06-11)",IF(C3480&lt;=16,"Afternoon (12-16)",IF(C3480&lt;=20,"Evening (17-20)","Late (21-23)")))))</f>
        <v/>
      </c>
    </row>
    <row r="3481" customFormat="false" ht="15" hidden="false" customHeight="false" outlineLevel="0" collapsed="false">
      <c r="L3481" s="37" t="str">
        <f aca="false">IF(C3481="","",IF(C3481&lt;=5,"Night (00-05)",IF(C3481&lt;=11,"Morning (06-11)",IF(C3481&lt;=16,"Afternoon (12-16)",IF(C3481&lt;=20,"Evening (17-20)","Late (21-23)")))))</f>
        <v/>
      </c>
    </row>
    <row r="3482" customFormat="false" ht="15" hidden="false" customHeight="false" outlineLevel="0" collapsed="false">
      <c r="L3482" s="37" t="str">
        <f aca="false">IF(C3482="","",IF(C3482&lt;=5,"Night (00-05)",IF(C3482&lt;=11,"Morning (06-11)",IF(C3482&lt;=16,"Afternoon (12-16)",IF(C3482&lt;=20,"Evening (17-20)","Late (21-23)")))))</f>
        <v/>
      </c>
    </row>
    <row r="3483" customFormat="false" ht="15" hidden="false" customHeight="false" outlineLevel="0" collapsed="false">
      <c r="L3483" s="37" t="str">
        <f aca="false">IF(C3483="","",IF(C3483&lt;=5,"Night (00-05)",IF(C3483&lt;=11,"Morning (06-11)",IF(C3483&lt;=16,"Afternoon (12-16)",IF(C3483&lt;=20,"Evening (17-20)","Late (21-23)")))))</f>
        <v/>
      </c>
    </row>
    <row r="3484" customFormat="false" ht="15" hidden="false" customHeight="false" outlineLevel="0" collapsed="false">
      <c r="L3484" s="37" t="str">
        <f aca="false">IF(C3484="","",IF(C3484&lt;=5,"Night (00-05)",IF(C3484&lt;=11,"Morning (06-11)",IF(C3484&lt;=16,"Afternoon (12-16)",IF(C3484&lt;=20,"Evening (17-20)","Late (21-23)")))))</f>
        <v/>
      </c>
    </row>
    <row r="3485" customFormat="false" ht="15" hidden="false" customHeight="false" outlineLevel="0" collapsed="false">
      <c r="L3485" s="37" t="str">
        <f aca="false">IF(C3485="","",IF(C3485&lt;=5,"Night (00-05)",IF(C3485&lt;=11,"Morning (06-11)",IF(C3485&lt;=16,"Afternoon (12-16)",IF(C3485&lt;=20,"Evening (17-20)","Late (21-23)")))))</f>
        <v/>
      </c>
    </row>
    <row r="3486" customFormat="false" ht="15" hidden="false" customHeight="false" outlineLevel="0" collapsed="false">
      <c r="L3486" s="37" t="str">
        <f aca="false">IF(C3486="","",IF(C3486&lt;=5,"Night (00-05)",IF(C3486&lt;=11,"Morning (06-11)",IF(C3486&lt;=16,"Afternoon (12-16)",IF(C3486&lt;=20,"Evening (17-20)","Late (21-23)")))))</f>
        <v/>
      </c>
    </row>
    <row r="3487" customFormat="false" ht="15" hidden="false" customHeight="false" outlineLevel="0" collapsed="false">
      <c r="L3487" s="37" t="str">
        <f aca="false">IF(C3487="","",IF(C3487&lt;=5,"Night (00-05)",IF(C3487&lt;=11,"Morning (06-11)",IF(C3487&lt;=16,"Afternoon (12-16)",IF(C3487&lt;=20,"Evening (17-20)","Late (21-23)")))))</f>
        <v/>
      </c>
    </row>
    <row r="3488" customFormat="false" ht="15" hidden="false" customHeight="false" outlineLevel="0" collapsed="false">
      <c r="L3488" s="37" t="str">
        <f aca="false">IF(C3488="","",IF(C3488&lt;=5,"Night (00-05)",IF(C3488&lt;=11,"Morning (06-11)",IF(C3488&lt;=16,"Afternoon (12-16)",IF(C3488&lt;=20,"Evening (17-20)","Late (21-23)")))))</f>
        <v/>
      </c>
    </row>
    <row r="3489" customFormat="false" ht="15" hidden="false" customHeight="false" outlineLevel="0" collapsed="false">
      <c r="L3489" s="37" t="str">
        <f aca="false">IF(C3489="","",IF(C3489&lt;=5,"Night (00-05)",IF(C3489&lt;=11,"Morning (06-11)",IF(C3489&lt;=16,"Afternoon (12-16)",IF(C3489&lt;=20,"Evening (17-20)","Late (21-23)")))))</f>
        <v/>
      </c>
    </row>
    <row r="3490" customFormat="false" ht="15" hidden="false" customHeight="false" outlineLevel="0" collapsed="false">
      <c r="L3490" s="37" t="str">
        <f aca="false">IF(C3490="","",IF(C3490&lt;=5,"Night (00-05)",IF(C3490&lt;=11,"Morning (06-11)",IF(C3490&lt;=16,"Afternoon (12-16)",IF(C3490&lt;=20,"Evening (17-20)","Late (21-23)")))))</f>
        <v/>
      </c>
    </row>
    <row r="3491" customFormat="false" ht="15" hidden="false" customHeight="false" outlineLevel="0" collapsed="false">
      <c r="L3491" s="37" t="str">
        <f aca="false">IF(C3491="","",IF(C3491&lt;=5,"Night (00-05)",IF(C3491&lt;=11,"Morning (06-11)",IF(C3491&lt;=16,"Afternoon (12-16)",IF(C3491&lt;=20,"Evening (17-20)","Late (21-23)")))))</f>
        <v/>
      </c>
    </row>
    <row r="3492" customFormat="false" ht="15" hidden="false" customHeight="false" outlineLevel="0" collapsed="false">
      <c r="L3492" s="37" t="str">
        <f aca="false">IF(C3492="","",IF(C3492&lt;=5,"Night (00-05)",IF(C3492&lt;=11,"Morning (06-11)",IF(C3492&lt;=16,"Afternoon (12-16)",IF(C3492&lt;=20,"Evening (17-20)","Late (21-23)")))))</f>
        <v/>
      </c>
    </row>
    <row r="3493" customFormat="false" ht="15" hidden="false" customHeight="false" outlineLevel="0" collapsed="false">
      <c r="L3493" s="37" t="str">
        <f aca="false">IF(C3493="","",IF(C3493&lt;=5,"Night (00-05)",IF(C3493&lt;=11,"Morning (06-11)",IF(C3493&lt;=16,"Afternoon (12-16)",IF(C3493&lt;=20,"Evening (17-20)","Late (21-23)")))))</f>
        <v/>
      </c>
    </row>
    <row r="3494" customFormat="false" ht="15" hidden="false" customHeight="false" outlineLevel="0" collapsed="false">
      <c r="L3494" s="37" t="str">
        <f aca="false">IF(C3494="","",IF(C3494&lt;=5,"Night (00-05)",IF(C3494&lt;=11,"Morning (06-11)",IF(C3494&lt;=16,"Afternoon (12-16)",IF(C3494&lt;=20,"Evening (17-20)","Late (21-23)")))))</f>
        <v/>
      </c>
    </row>
    <row r="3495" customFormat="false" ht="15" hidden="false" customHeight="false" outlineLevel="0" collapsed="false">
      <c r="L3495" s="37" t="str">
        <f aca="false">IF(C3495="","",IF(C3495&lt;=5,"Night (00-05)",IF(C3495&lt;=11,"Morning (06-11)",IF(C3495&lt;=16,"Afternoon (12-16)",IF(C3495&lt;=20,"Evening (17-20)","Late (21-23)")))))</f>
        <v/>
      </c>
    </row>
    <row r="3496" customFormat="false" ht="15" hidden="false" customHeight="false" outlineLevel="0" collapsed="false">
      <c r="L3496" s="37" t="str">
        <f aca="false">IF(C3496="","",IF(C3496&lt;=5,"Night (00-05)",IF(C3496&lt;=11,"Morning (06-11)",IF(C3496&lt;=16,"Afternoon (12-16)",IF(C3496&lt;=20,"Evening (17-20)","Late (21-23)")))))</f>
        <v/>
      </c>
    </row>
    <row r="3497" customFormat="false" ht="15" hidden="false" customHeight="false" outlineLevel="0" collapsed="false">
      <c r="L3497" s="37" t="str">
        <f aca="false">IF(C3497="","",IF(C3497&lt;=5,"Night (00-05)",IF(C3497&lt;=11,"Morning (06-11)",IF(C3497&lt;=16,"Afternoon (12-16)",IF(C3497&lt;=20,"Evening (17-20)","Late (21-23)")))))</f>
        <v/>
      </c>
    </row>
    <row r="3498" customFormat="false" ht="15" hidden="false" customHeight="false" outlineLevel="0" collapsed="false">
      <c r="L3498" s="37" t="str">
        <f aca="false">IF(C3498="","",IF(C3498&lt;=5,"Night (00-05)",IF(C3498&lt;=11,"Morning (06-11)",IF(C3498&lt;=16,"Afternoon (12-16)",IF(C3498&lt;=20,"Evening (17-20)","Late (21-23)")))))</f>
        <v/>
      </c>
    </row>
    <row r="3499" customFormat="false" ht="15" hidden="false" customHeight="false" outlineLevel="0" collapsed="false">
      <c r="L3499" s="37" t="str">
        <f aca="false">IF(C3499="","",IF(C3499&lt;=5,"Night (00-05)",IF(C3499&lt;=11,"Morning (06-11)",IF(C3499&lt;=16,"Afternoon (12-16)",IF(C3499&lt;=20,"Evening (17-20)","Late (21-23)")))))</f>
        <v/>
      </c>
    </row>
    <row r="3500" customFormat="false" ht="15" hidden="false" customHeight="false" outlineLevel="0" collapsed="false">
      <c r="L3500" s="37" t="str">
        <f aca="false">IF(C3500="","",IF(C3500&lt;=5,"Night (00-05)",IF(C3500&lt;=11,"Morning (06-11)",IF(C3500&lt;=16,"Afternoon (12-16)",IF(C3500&lt;=20,"Evening (17-20)","Late (21-23)")))))</f>
        <v/>
      </c>
    </row>
    <row r="3501" customFormat="false" ht="15" hidden="false" customHeight="false" outlineLevel="0" collapsed="false">
      <c r="L3501" s="37" t="str">
        <f aca="false">IF(C3501="","",IF(C3501&lt;=5,"Night (00-05)",IF(C3501&lt;=11,"Morning (06-11)",IF(C3501&lt;=16,"Afternoon (12-16)",IF(C3501&lt;=20,"Evening (17-20)","Late (21-23)")))))</f>
        <v/>
      </c>
    </row>
    <row r="3502" customFormat="false" ht="15" hidden="false" customHeight="false" outlineLevel="0" collapsed="false">
      <c r="L3502" s="37" t="str">
        <f aca="false">IF(C3502="","",IF(C3502&lt;=5,"Night (00-05)",IF(C3502&lt;=11,"Morning (06-11)",IF(C3502&lt;=16,"Afternoon (12-16)",IF(C3502&lt;=20,"Evening (17-20)","Late (21-23)")))))</f>
        <v/>
      </c>
    </row>
    <row r="3503" customFormat="false" ht="15" hidden="false" customHeight="false" outlineLevel="0" collapsed="false">
      <c r="L3503" s="37" t="str">
        <f aca="false">IF(C3503="","",IF(C3503&lt;=5,"Night (00-05)",IF(C3503&lt;=11,"Morning (06-11)",IF(C3503&lt;=16,"Afternoon (12-16)",IF(C3503&lt;=20,"Evening (17-20)","Late (21-23)")))))</f>
        <v/>
      </c>
    </row>
    <row r="3504" customFormat="false" ht="15" hidden="false" customHeight="false" outlineLevel="0" collapsed="false">
      <c r="L3504" s="37" t="str">
        <f aca="false">IF(C3504="","",IF(C3504&lt;=5,"Night (00-05)",IF(C3504&lt;=11,"Morning (06-11)",IF(C3504&lt;=16,"Afternoon (12-16)",IF(C3504&lt;=20,"Evening (17-20)","Late (21-23)")))))</f>
        <v/>
      </c>
    </row>
    <row r="3505" customFormat="false" ht="15" hidden="false" customHeight="false" outlineLevel="0" collapsed="false">
      <c r="L3505" s="37" t="str">
        <f aca="false">IF(C3505="","",IF(C3505&lt;=5,"Night (00-05)",IF(C3505&lt;=11,"Morning (06-11)",IF(C3505&lt;=16,"Afternoon (12-16)",IF(C3505&lt;=20,"Evening (17-20)","Late (21-23)")))))</f>
        <v/>
      </c>
    </row>
    <row r="3506" customFormat="false" ht="15" hidden="false" customHeight="false" outlineLevel="0" collapsed="false">
      <c r="L3506" s="37" t="str">
        <f aca="false">IF(C3506="","",IF(C3506&lt;=5,"Night (00-05)",IF(C3506&lt;=11,"Morning (06-11)",IF(C3506&lt;=16,"Afternoon (12-16)",IF(C3506&lt;=20,"Evening (17-20)","Late (21-23)")))))</f>
        <v/>
      </c>
    </row>
    <row r="3507" customFormat="false" ht="15" hidden="false" customHeight="false" outlineLevel="0" collapsed="false">
      <c r="L3507" s="37" t="str">
        <f aca="false">IF(C3507="","",IF(C3507&lt;=5,"Night (00-05)",IF(C3507&lt;=11,"Morning (06-11)",IF(C3507&lt;=16,"Afternoon (12-16)",IF(C3507&lt;=20,"Evening (17-20)","Late (21-23)")))))</f>
        <v/>
      </c>
    </row>
    <row r="3508" customFormat="false" ht="15" hidden="false" customHeight="false" outlineLevel="0" collapsed="false">
      <c r="L3508" s="37" t="str">
        <f aca="false">IF(C3508="","",IF(C3508&lt;=5,"Night (00-05)",IF(C3508&lt;=11,"Morning (06-11)",IF(C3508&lt;=16,"Afternoon (12-16)",IF(C3508&lt;=20,"Evening (17-20)","Late (21-23)")))))</f>
        <v/>
      </c>
    </row>
    <row r="3509" customFormat="false" ht="15" hidden="false" customHeight="false" outlineLevel="0" collapsed="false">
      <c r="L3509" s="37" t="str">
        <f aca="false">IF(C3509="","",IF(C3509&lt;=5,"Night (00-05)",IF(C3509&lt;=11,"Morning (06-11)",IF(C3509&lt;=16,"Afternoon (12-16)",IF(C3509&lt;=20,"Evening (17-20)","Late (21-23)")))))</f>
        <v/>
      </c>
    </row>
    <row r="3510" customFormat="false" ht="15" hidden="false" customHeight="false" outlineLevel="0" collapsed="false">
      <c r="L3510" s="37" t="str">
        <f aca="false">IF(C3510="","",IF(C3510&lt;=5,"Night (00-05)",IF(C3510&lt;=11,"Morning (06-11)",IF(C3510&lt;=16,"Afternoon (12-16)",IF(C3510&lt;=20,"Evening (17-20)","Late (21-23)")))))</f>
        <v/>
      </c>
    </row>
    <row r="3511" customFormat="false" ht="15" hidden="false" customHeight="false" outlineLevel="0" collapsed="false">
      <c r="L3511" s="37" t="str">
        <f aca="false">IF(C3511="","",IF(C3511&lt;=5,"Night (00-05)",IF(C3511&lt;=11,"Morning (06-11)",IF(C3511&lt;=16,"Afternoon (12-16)",IF(C3511&lt;=20,"Evening (17-20)","Late (21-23)")))))</f>
        <v/>
      </c>
    </row>
    <row r="3512" customFormat="false" ht="15" hidden="false" customHeight="false" outlineLevel="0" collapsed="false">
      <c r="L3512" s="37" t="str">
        <f aca="false">IF(C3512="","",IF(C3512&lt;=5,"Night (00-05)",IF(C3512&lt;=11,"Morning (06-11)",IF(C3512&lt;=16,"Afternoon (12-16)",IF(C3512&lt;=20,"Evening (17-20)","Late (21-23)")))))</f>
        <v/>
      </c>
    </row>
    <row r="3513" customFormat="false" ht="15" hidden="false" customHeight="false" outlineLevel="0" collapsed="false">
      <c r="L3513" s="37" t="str">
        <f aca="false">IF(C3513="","",IF(C3513&lt;=5,"Night (00-05)",IF(C3513&lt;=11,"Morning (06-11)",IF(C3513&lt;=16,"Afternoon (12-16)",IF(C3513&lt;=20,"Evening (17-20)","Late (21-23)")))))</f>
        <v/>
      </c>
    </row>
    <row r="3514" customFormat="false" ht="15" hidden="false" customHeight="false" outlineLevel="0" collapsed="false">
      <c r="L3514" s="37" t="str">
        <f aca="false">IF(C3514="","",IF(C3514&lt;=5,"Night (00-05)",IF(C3514&lt;=11,"Morning (06-11)",IF(C3514&lt;=16,"Afternoon (12-16)",IF(C3514&lt;=20,"Evening (17-20)","Late (21-23)")))))</f>
        <v/>
      </c>
    </row>
    <row r="3515" customFormat="false" ht="15" hidden="false" customHeight="false" outlineLevel="0" collapsed="false">
      <c r="L3515" s="37" t="str">
        <f aca="false">IF(C3515="","",IF(C3515&lt;=5,"Night (00-05)",IF(C3515&lt;=11,"Morning (06-11)",IF(C3515&lt;=16,"Afternoon (12-16)",IF(C3515&lt;=20,"Evening (17-20)","Late (21-23)")))))</f>
        <v/>
      </c>
    </row>
    <row r="3516" customFormat="false" ht="15" hidden="false" customHeight="false" outlineLevel="0" collapsed="false">
      <c r="L3516" s="37" t="str">
        <f aca="false">IF(C3516="","",IF(C3516&lt;=5,"Night (00-05)",IF(C3516&lt;=11,"Morning (06-11)",IF(C3516&lt;=16,"Afternoon (12-16)",IF(C3516&lt;=20,"Evening (17-20)","Late (21-23)")))))</f>
        <v/>
      </c>
    </row>
    <row r="3517" customFormat="false" ht="15" hidden="false" customHeight="false" outlineLevel="0" collapsed="false">
      <c r="L3517" s="37" t="str">
        <f aca="false">IF(C3517="","",IF(C3517&lt;=5,"Night (00-05)",IF(C3517&lt;=11,"Morning (06-11)",IF(C3517&lt;=16,"Afternoon (12-16)",IF(C3517&lt;=20,"Evening (17-20)","Late (21-23)")))))</f>
        <v/>
      </c>
    </row>
    <row r="3518" customFormat="false" ht="15" hidden="false" customHeight="false" outlineLevel="0" collapsed="false">
      <c r="L3518" s="37" t="str">
        <f aca="false">IF(C3518="","",IF(C3518&lt;=5,"Night (00-05)",IF(C3518&lt;=11,"Morning (06-11)",IF(C3518&lt;=16,"Afternoon (12-16)",IF(C3518&lt;=20,"Evening (17-20)","Late (21-23)")))))</f>
        <v/>
      </c>
    </row>
    <row r="3519" customFormat="false" ht="15" hidden="false" customHeight="false" outlineLevel="0" collapsed="false">
      <c r="L3519" s="37" t="str">
        <f aca="false">IF(C3519="","",IF(C3519&lt;=5,"Night (00-05)",IF(C3519&lt;=11,"Morning (06-11)",IF(C3519&lt;=16,"Afternoon (12-16)",IF(C3519&lt;=20,"Evening (17-20)","Late (21-23)")))))</f>
        <v/>
      </c>
    </row>
    <row r="3520" customFormat="false" ht="15" hidden="false" customHeight="false" outlineLevel="0" collapsed="false">
      <c r="L3520" s="37" t="str">
        <f aca="false">IF(C3520="","",IF(C3520&lt;=5,"Night (00-05)",IF(C3520&lt;=11,"Morning (06-11)",IF(C3520&lt;=16,"Afternoon (12-16)",IF(C3520&lt;=20,"Evening (17-20)","Late (21-23)")))))</f>
        <v/>
      </c>
    </row>
    <row r="3521" customFormat="false" ht="15" hidden="false" customHeight="false" outlineLevel="0" collapsed="false">
      <c r="L3521" s="37" t="str">
        <f aca="false">IF(C3521="","",IF(C3521&lt;=5,"Night (00-05)",IF(C3521&lt;=11,"Morning (06-11)",IF(C3521&lt;=16,"Afternoon (12-16)",IF(C3521&lt;=20,"Evening (17-20)","Late (21-23)")))))</f>
        <v/>
      </c>
    </row>
    <row r="3522" customFormat="false" ht="15" hidden="false" customHeight="false" outlineLevel="0" collapsed="false">
      <c r="L3522" s="37" t="str">
        <f aca="false">IF(C3522="","",IF(C3522&lt;=5,"Night (00-05)",IF(C3522&lt;=11,"Morning (06-11)",IF(C3522&lt;=16,"Afternoon (12-16)",IF(C3522&lt;=20,"Evening (17-20)","Late (21-23)")))))</f>
        <v/>
      </c>
    </row>
    <row r="3523" customFormat="false" ht="15" hidden="false" customHeight="false" outlineLevel="0" collapsed="false">
      <c r="L3523" s="37" t="str">
        <f aca="false">IF(C3523="","",IF(C3523&lt;=5,"Night (00-05)",IF(C3523&lt;=11,"Morning (06-11)",IF(C3523&lt;=16,"Afternoon (12-16)",IF(C3523&lt;=20,"Evening (17-20)","Late (21-23)")))))</f>
        <v/>
      </c>
    </row>
    <row r="3524" customFormat="false" ht="15" hidden="false" customHeight="false" outlineLevel="0" collapsed="false">
      <c r="L3524" s="37" t="str">
        <f aca="false">IF(C3524="","",IF(C3524&lt;=5,"Night (00-05)",IF(C3524&lt;=11,"Morning (06-11)",IF(C3524&lt;=16,"Afternoon (12-16)",IF(C3524&lt;=20,"Evening (17-20)","Late (21-23)")))))</f>
        <v/>
      </c>
    </row>
    <row r="3525" customFormat="false" ht="15" hidden="false" customHeight="false" outlineLevel="0" collapsed="false">
      <c r="L3525" s="37" t="str">
        <f aca="false">IF(C3525="","",IF(C3525&lt;=5,"Night (00-05)",IF(C3525&lt;=11,"Morning (06-11)",IF(C3525&lt;=16,"Afternoon (12-16)",IF(C3525&lt;=20,"Evening (17-20)","Late (21-23)")))))</f>
        <v/>
      </c>
    </row>
    <row r="3526" customFormat="false" ht="15" hidden="false" customHeight="false" outlineLevel="0" collapsed="false">
      <c r="L3526" s="37" t="str">
        <f aca="false">IF(C3526="","",IF(C3526&lt;=5,"Night (00-05)",IF(C3526&lt;=11,"Morning (06-11)",IF(C3526&lt;=16,"Afternoon (12-16)",IF(C3526&lt;=20,"Evening (17-20)","Late (21-23)")))))</f>
        <v/>
      </c>
    </row>
    <row r="3527" customFormat="false" ht="15" hidden="false" customHeight="false" outlineLevel="0" collapsed="false">
      <c r="L3527" s="37" t="str">
        <f aca="false">IF(C3527="","",IF(C3527&lt;=5,"Night (00-05)",IF(C3527&lt;=11,"Morning (06-11)",IF(C3527&lt;=16,"Afternoon (12-16)",IF(C3527&lt;=20,"Evening (17-20)","Late (21-23)")))))</f>
        <v/>
      </c>
    </row>
    <row r="3528" customFormat="false" ht="15" hidden="false" customHeight="false" outlineLevel="0" collapsed="false">
      <c r="L3528" s="37" t="str">
        <f aca="false">IF(C3528="","",IF(C3528&lt;=5,"Night (00-05)",IF(C3528&lt;=11,"Morning (06-11)",IF(C3528&lt;=16,"Afternoon (12-16)",IF(C3528&lt;=20,"Evening (17-20)","Late (21-23)")))))</f>
        <v/>
      </c>
    </row>
    <row r="3529" customFormat="false" ht="15" hidden="false" customHeight="false" outlineLevel="0" collapsed="false">
      <c r="L3529" s="37" t="str">
        <f aca="false">IF(C3529="","",IF(C3529&lt;=5,"Night (00-05)",IF(C3529&lt;=11,"Morning (06-11)",IF(C3529&lt;=16,"Afternoon (12-16)",IF(C3529&lt;=20,"Evening (17-20)","Late (21-23)")))))</f>
        <v/>
      </c>
    </row>
    <row r="3530" customFormat="false" ht="15" hidden="false" customHeight="false" outlineLevel="0" collapsed="false">
      <c r="L3530" s="37" t="str">
        <f aca="false">IF(C3530="","",IF(C3530&lt;=5,"Night (00-05)",IF(C3530&lt;=11,"Morning (06-11)",IF(C3530&lt;=16,"Afternoon (12-16)",IF(C3530&lt;=20,"Evening (17-20)","Late (21-23)")))))</f>
        <v/>
      </c>
    </row>
    <row r="3531" customFormat="false" ht="15" hidden="false" customHeight="false" outlineLevel="0" collapsed="false">
      <c r="L3531" s="37" t="str">
        <f aca="false">IF(C3531="","",IF(C3531&lt;=5,"Night (00-05)",IF(C3531&lt;=11,"Morning (06-11)",IF(C3531&lt;=16,"Afternoon (12-16)",IF(C3531&lt;=20,"Evening (17-20)","Late (21-23)")))))</f>
        <v/>
      </c>
    </row>
    <row r="3532" customFormat="false" ht="15" hidden="false" customHeight="false" outlineLevel="0" collapsed="false">
      <c r="L3532" s="37" t="str">
        <f aca="false">IF(C3532="","",IF(C3532&lt;=5,"Night (00-05)",IF(C3532&lt;=11,"Morning (06-11)",IF(C3532&lt;=16,"Afternoon (12-16)",IF(C3532&lt;=20,"Evening (17-20)","Late (21-23)")))))</f>
        <v/>
      </c>
    </row>
    <row r="3533" customFormat="false" ht="15" hidden="false" customHeight="false" outlineLevel="0" collapsed="false">
      <c r="L3533" s="37" t="str">
        <f aca="false">IF(C3533="","",IF(C3533&lt;=5,"Night (00-05)",IF(C3533&lt;=11,"Morning (06-11)",IF(C3533&lt;=16,"Afternoon (12-16)",IF(C3533&lt;=20,"Evening (17-20)","Late (21-23)")))))</f>
        <v/>
      </c>
    </row>
    <row r="3534" customFormat="false" ht="15" hidden="false" customHeight="false" outlineLevel="0" collapsed="false">
      <c r="L3534" s="37" t="str">
        <f aca="false">IF(C3534="","",IF(C3534&lt;=5,"Night (00-05)",IF(C3534&lt;=11,"Morning (06-11)",IF(C3534&lt;=16,"Afternoon (12-16)",IF(C3534&lt;=20,"Evening (17-20)","Late (21-23)")))))</f>
        <v/>
      </c>
    </row>
    <row r="3535" customFormat="false" ht="15" hidden="false" customHeight="false" outlineLevel="0" collapsed="false">
      <c r="L3535" s="37" t="str">
        <f aca="false">IF(C3535="","",IF(C3535&lt;=5,"Night (00-05)",IF(C3535&lt;=11,"Morning (06-11)",IF(C3535&lt;=16,"Afternoon (12-16)",IF(C3535&lt;=20,"Evening (17-20)","Late (21-23)")))))</f>
        <v/>
      </c>
    </row>
    <row r="3536" customFormat="false" ht="15" hidden="false" customHeight="false" outlineLevel="0" collapsed="false">
      <c r="L3536" s="37" t="str">
        <f aca="false">IF(C3536="","",IF(C3536&lt;=5,"Night (00-05)",IF(C3536&lt;=11,"Morning (06-11)",IF(C3536&lt;=16,"Afternoon (12-16)",IF(C3536&lt;=20,"Evening (17-20)","Late (21-23)")))))</f>
        <v/>
      </c>
    </row>
    <row r="3537" customFormat="false" ht="15" hidden="false" customHeight="false" outlineLevel="0" collapsed="false">
      <c r="L3537" s="37" t="str">
        <f aca="false">IF(C3537="","",IF(C3537&lt;=5,"Night (00-05)",IF(C3537&lt;=11,"Morning (06-11)",IF(C3537&lt;=16,"Afternoon (12-16)",IF(C3537&lt;=20,"Evening (17-20)","Late (21-23)")))))</f>
        <v/>
      </c>
    </row>
    <row r="3538" customFormat="false" ht="15" hidden="false" customHeight="false" outlineLevel="0" collapsed="false">
      <c r="L3538" s="37" t="str">
        <f aca="false">IF(C3538="","",IF(C3538&lt;=5,"Night (00-05)",IF(C3538&lt;=11,"Morning (06-11)",IF(C3538&lt;=16,"Afternoon (12-16)",IF(C3538&lt;=20,"Evening (17-20)","Late (21-23)")))))</f>
        <v/>
      </c>
    </row>
    <row r="3539" customFormat="false" ht="15" hidden="false" customHeight="false" outlineLevel="0" collapsed="false">
      <c r="L3539" s="37" t="str">
        <f aca="false">IF(C3539="","",IF(C3539&lt;=5,"Night (00-05)",IF(C3539&lt;=11,"Morning (06-11)",IF(C3539&lt;=16,"Afternoon (12-16)",IF(C3539&lt;=20,"Evening (17-20)","Late (21-23)")))))</f>
        <v/>
      </c>
    </row>
    <row r="3540" customFormat="false" ht="15" hidden="false" customHeight="false" outlineLevel="0" collapsed="false">
      <c r="L3540" s="37" t="str">
        <f aca="false">IF(C3540="","",IF(C3540&lt;=5,"Night (00-05)",IF(C3540&lt;=11,"Morning (06-11)",IF(C3540&lt;=16,"Afternoon (12-16)",IF(C3540&lt;=20,"Evening (17-20)","Late (21-23)")))))</f>
        <v/>
      </c>
    </row>
    <row r="3541" customFormat="false" ht="15" hidden="false" customHeight="false" outlineLevel="0" collapsed="false">
      <c r="L3541" s="37" t="str">
        <f aca="false">IF(C3541="","",IF(C3541&lt;=5,"Night (00-05)",IF(C3541&lt;=11,"Morning (06-11)",IF(C3541&lt;=16,"Afternoon (12-16)",IF(C3541&lt;=20,"Evening (17-20)","Late (21-23)")))))</f>
        <v/>
      </c>
    </row>
    <row r="3542" customFormat="false" ht="15" hidden="false" customHeight="false" outlineLevel="0" collapsed="false">
      <c r="L3542" s="37" t="str">
        <f aca="false">IF(C3542="","",IF(C3542&lt;=5,"Night (00-05)",IF(C3542&lt;=11,"Morning (06-11)",IF(C3542&lt;=16,"Afternoon (12-16)",IF(C3542&lt;=20,"Evening (17-20)","Late (21-23)")))))</f>
        <v/>
      </c>
    </row>
    <row r="3543" customFormat="false" ht="15" hidden="false" customHeight="false" outlineLevel="0" collapsed="false">
      <c r="L3543" s="37" t="str">
        <f aca="false">IF(C3543="","",IF(C3543&lt;=5,"Night (00-05)",IF(C3543&lt;=11,"Morning (06-11)",IF(C3543&lt;=16,"Afternoon (12-16)",IF(C3543&lt;=20,"Evening (17-20)","Late (21-23)")))))</f>
        <v/>
      </c>
    </row>
    <row r="3544" customFormat="false" ht="15" hidden="false" customHeight="false" outlineLevel="0" collapsed="false">
      <c r="L3544" s="37" t="str">
        <f aca="false">IF(C3544="","",IF(C3544&lt;=5,"Night (00-05)",IF(C3544&lt;=11,"Morning (06-11)",IF(C3544&lt;=16,"Afternoon (12-16)",IF(C3544&lt;=20,"Evening (17-20)","Late (21-23)")))))</f>
        <v/>
      </c>
    </row>
    <row r="3545" customFormat="false" ht="15" hidden="false" customHeight="false" outlineLevel="0" collapsed="false">
      <c r="L3545" s="37" t="str">
        <f aca="false">IF(C3545="","",IF(C3545&lt;=5,"Night (00-05)",IF(C3545&lt;=11,"Morning (06-11)",IF(C3545&lt;=16,"Afternoon (12-16)",IF(C3545&lt;=20,"Evening (17-20)","Late (21-23)")))))</f>
        <v/>
      </c>
    </row>
    <row r="3546" customFormat="false" ht="15" hidden="false" customHeight="false" outlineLevel="0" collapsed="false">
      <c r="L3546" s="37" t="str">
        <f aca="false">IF(C3546="","",IF(C3546&lt;=5,"Night (00-05)",IF(C3546&lt;=11,"Morning (06-11)",IF(C3546&lt;=16,"Afternoon (12-16)",IF(C3546&lt;=20,"Evening (17-20)","Late (21-23)")))))</f>
        <v/>
      </c>
    </row>
    <row r="3547" customFormat="false" ht="15" hidden="false" customHeight="false" outlineLevel="0" collapsed="false">
      <c r="L3547" s="37" t="str">
        <f aca="false">IF(C3547="","",IF(C3547&lt;=5,"Night (00-05)",IF(C3547&lt;=11,"Morning (06-11)",IF(C3547&lt;=16,"Afternoon (12-16)",IF(C3547&lt;=20,"Evening (17-20)","Late (21-23)")))))</f>
        <v/>
      </c>
    </row>
    <row r="3548" customFormat="false" ht="15" hidden="false" customHeight="false" outlineLevel="0" collapsed="false">
      <c r="L3548" s="37" t="str">
        <f aca="false">IF(C3548="","",IF(C3548&lt;=5,"Night (00-05)",IF(C3548&lt;=11,"Morning (06-11)",IF(C3548&lt;=16,"Afternoon (12-16)",IF(C3548&lt;=20,"Evening (17-20)","Late (21-23)")))))</f>
        <v/>
      </c>
    </row>
    <row r="3549" customFormat="false" ht="15" hidden="false" customHeight="false" outlineLevel="0" collapsed="false">
      <c r="L3549" s="37" t="str">
        <f aca="false">IF(C3549="","",IF(C3549&lt;=5,"Night (00-05)",IF(C3549&lt;=11,"Morning (06-11)",IF(C3549&lt;=16,"Afternoon (12-16)",IF(C3549&lt;=20,"Evening (17-20)","Late (21-23)")))))</f>
        <v/>
      </c>
    </row>
    <row r="3550" customFormat="false" ht="15" hidden="false" customHeight="false" outlineLevel="0" collapsed="false">
      <c r="L3550" s="37" t="str">
        <f aca="false">IF(C3550="","",IF(C3550&lt;=5,"Night (00-05)",IF(C3550&lt;=11,"Morning (06-11)",IF(C3550&lt;=16,"Afternoon (12-16)",IF(C3550&lt;=20,"Evening (17-20)","Late (21-23)")))))</f>
        <v/>
      </c>
    </row>
    <row r="3551" customFormat="false" ht="15" hidden="false" customHeight="false" outlineLevel="0" collapsed="false">
      <c r="L3551" s="37" t="str">
        <f aca="false">IF(C3551="","",IF(C3551&lt;=5,"Night (00-05)",IF(C3551&lt;=11,"Morning (06-11)",IF(C3551&lt;=16,"Afternoon (12-16)",IF(C3551&lt;=20,"Evening (17-20)","Late (21-23)")))))</f>
        <v/>
      </c>
    </row>
    <row r="3552" customFormat="false" ht="15" hidden="false" customHeight="false" outlineLevel="0" collapsed="false">
      <c r="L3552" s="37" t="str">
        <f aca="false">IF(C3552="","",IF(C3552&lt;=5,"Night (00-05)",IF(C3552&lt;=11,"Morning (06-11)",IF(C3552&lt;=16,"Afternoon (12-16)",IF(C3552&lt;=20,"Evening (17-20)","Late (21-23)")))))</f>
        <v/>
      </c>
    </row>
    <row r="3553" customFormat="false" ht="15" hidden="false" customHeight="false" outlineLevel="0" collapsed="false">
      <c r="L3553" s="37" t="str">
        <f aca="false">IF(C3553="","",IF(C3553&lt;=5,"Night (00-05)",IF(C3553&lt;=11,"Morning (06-11)",IF(C3553&lt;=16,"Afternoon (12-16)",IF(C3553&lt;=20,"Evening (17-20)","Late (21-23)")))))</f>
        <v/>
      </c>
    </row>
    <row r="3554" customFormat="false" ht="15" hidden="false" customHeight="false" outlineLevel="0" collapsed="false">
      <c r="L3554" s="37" t="str">
        <f aca="false">IF(C3554="","",IF(C3554&lt;=5,"Night (00-05)",IF(C3554&lt;=11,"Morning (06-11)",IF(C3554&lt;=16,"Afternoon (12-16)",IF(C3554&lt;=20,"Evening (17-20)","Late (21-23)")))))</f>
        <v/>
      </c>
    </row>
    <row r="3555" customFormat="false" ht="15" hidden="false" customHeight="false" outlineLevel="0" collapsed="false">
      <c r="L3555" s="37" t="str">
        <f aca="false">IF(C3555="","",IF(C3555&lt;=5,"Night (00-05)",IF(C3555&lt;=11,"Morning (06-11)",IF(C3555&lt;=16,"Afternoon (12-16)",IF(C3555&lt;=20,"Evening (17-20)","Late (21-23)")))))</f>
        <v/>
      </c>
    </row>
    <row r="3556" customFormat="false" ht="15" hidden="false" customHeight="false" outlineLevel="0" collapsed="false">
      <c r="L3556" s="37" t="str">
        <f aca="false">IF(C3556="","",IF(C3556&lt;=5,"Night (00-05)",IF(C3556&lt;=11,"Morning (06-11)",IF(C3556&lt;=16,"Afternoon (12-16)",IF(C3556&lt;=20,"Evening (17-20)","Late (21-23)")))))</f>
        <v/>
      </c>
    </row>
    <row r="3557" customFormat="false" ht="15" hidden="false" customHeight="false" outlineLevel="0" collapsed="false">
      <c r="L3557" s="37" t="str">
        <f aca="false">IF(C3557="","",IF(C3557&lt;=5,"Night (00-05)",IF(C3557&lt;=11,"Morning (06-11)",IF(C3557&lt;=16,"Afternoon (12-16)",IF(C3557&lt;=20,"Evening (17-20)","Late (21-23)")))))</f>
        <v/>
      </c>
    </row>
    <row r="3558" customFormat="false" ht="15" hidden="false" customHeight="false" outlineLevel="0" collapsed="false">
      <c r="L3558" s="37" t="str">
        <f aca="false">IF(C3558="","",IF(C3558&lt;=5,"Night (00-05)",IF(C3558&lt;=11,"Morning (06-11)",IF(C3558&lt;=16,"Afternoon (12-16)",IF(C3558&lt;=20,"Evening (17-20)","Late (21-23)")))))</f>
        <v/>
      </c>
    </row>
    <row r="3559" customFormat="false" ht="15" hidden="false" customHeight="false" outlineLevel="0" collapsed="false">
      <c r="L3559" s="37" t="str">
        <f aca="false">IF(C3559="","",IF(C3559&lt;=5,"Night (00-05)",IF(C3559&lt;=11,"Morning (06-11)",IF(C3559&lt;=16,"Afternoon (12-16)",IF(C3559&lt;=20,"Evening (17-20)","Late (21-23)")))))</f>
        <v/>
      </c>
    </row>
    <row r="3560" customFormat="false" ht="15" hidden="false" customHeight="false" outlineLevel="0" collapsed="false">
      <c r="L3560" s="37" t="str">
        <f aca="false">IF(C3560="","",IF(C3560&lt;=5,"Night (00-05)",IF(C3560&lt;=11,"Morning (06-11)",IF(C3560&lt;=16,"Afternoon (12-16)",IF(C3560&lt;=20,"Evening (17-20)","Late (21-23)")))))</f>
        <v/>
      </c>
    </row>
    <row r="3561" customFormat="false" ht="15" hidden="false" customHeight="false" outlineLevel="0" collapsed="false">
      <c r="L3561" s="37" t="str">
        <f aca="false">IF(C3561="","",IF(C3561&lt;=5,"Night (00-05)",IF(C3561&lt;=11,"Morning (06-11)",IF(C3561&lt;=16,"Afternoon (12-16)",IF(C3561&lt;=20,"Evening (17-20)","Late (21-23)")))))</f>
        <v/>
      </c>
    </row>
    <row r="3562" customFormat="false" ht="15" hidden="false" customHeight="false" outlineLevel="0" collapsed="false">
      <c r="L3562" s="37" t="str">
        <f aca="false">IF(C3562="","",IF(C3562&lt;=5,"Night (00-05)",IF(C3562&lt;=11,"Morning (06-11)",IF(C3562&lt;=16,"Afternoon (12-16)",IF(C3562&lt;=20,"Evening (17-20)","Late (21-23)")))))</f>
        <v/>
      </c>
    </row>
    <row r="3563" customFormat="false" ht="15" hidden="false" customHeight="false" outlineLevel="0" collapsed="false">
      <c r="L3563" s="37" t="str">
        <f aca="false">IF(C3563="","",IF(C3563&lt;=5,"Night (00-05)",IF(C3563&lt;=11,"Morning (06-11)",IF(C3563&lt;=16,"Afternoon (12-16)",IF(C3563&lt;=20,"Evening (17-20)","Late (21-23)")))))</f>
        <v/>
      </c>
    </row>
    <row r="3564" customFormat="false" ht="15" hidden="false" customHeight="false" outlineLevel="0" collapsed="false">
      <c r="L3564" s="37" t="str">
        <f aca="false">IF(C3564="","",IF(C3564&lt;=5,"Night (00-05)",IF(C3564&lt;=11,"Morning (06-11)",IF(C3564&lt;=16,"Afternoon (12-16)",IF(C3564&lt;=20,"Evening (17-20)","Late (21-23)")))))</f>
        <v/>
      </c>
    </row>
    <row r="3565" customFormat="false" ht="15" hidden="false" customHeight="false" outlineLevel="0" collapsed="false">
      <c r="L3565" s="37" t="str">
        <f aca="false">IF(C3565="","",IF(C3565&lt;=5,"Night (00-05)",IF(C3565&lt;=11,"Morning (06-11)",IF(C3565&lt;=16,"Afternoon (12-16)",IF(C3565&lt;=20,"Evening (17-20)","Late (21-23)")))))</f>
        <v/>
      </c>
    </row>
    <row r="3566" customFormat="false" ht="15" hidden="false" customHeight="false" outlineLevel="0" collapsed="false">
      <c r="L3566" s="37" t="str">
        <f aca="false">IF(C3566="","",IF(C3566&lt;=5,"Night (00-05)",IF(C3566&lt;=11,"Morning (06-11)",IF(C3566&lt;=16,"Afternoon (12-16)",IF(C3566&lt;=20,"Evening (17-20)","Late (21-23)")))))</f>
        <v/>
      </c>
    </row>
    <row r="3567" customFormat="false" ht="15" hidden="false" customHeight="false" outlineLevel="0" collapsed="false">
      <c r="L3567" s="37" t="str">
        <f aca="false">IF(C3567="","",IF(C3567&lt;=5,"Night (00-05)",IF(C3567&lt;=11,"Morning (06-11)",IF(C3567&lt;=16,"Afternoon (12-16)",IF(C3567&lt;=20,"Evening (17-20)","Late (21-23)")))))</f>
        <v/>
      </c>
    </row>
    <row r="3568" customFormat="false" ht="15" hidden="false" customHeight="false" outlineLevel="0" collapsed="false">
      <c r="L3568" s="37" t="str">
        <f aca="false">IF(C3568="","",IF(C3568&lt;=5,"Night (00-05)",IF(C3568&lt;=11,"Morning (06-11)",IF(C3568&lt;=16,"Afternoon (12-16)",IF(C3568&lt;=20,"Evening (17-20)","Late (21-23)")))))</f>
        <v/>
      </c>
    </row>
    <row r="3569" customFormat="false" ht="15" hidden="false" customHeight="false" outlineLevel="0" collapsed="false">
      <c r="L3569" s="37" t="str">
        <f aca="false">IF(C3569="","",IF(C3569&lt;=5,"Night (00-05)",IF(C3569&lt;=11,"Morning (06-11)",IF(C3569&lt;=16,"Afternoon (12-16)",IF(C3569&lt;=20,"Evening (17-20)","Late (21-23)")))))</f>
        <v/>
      </c>
    </row>
    <row r="3570" customFormat="false" ht="15" hidden="false" customHeight="false" outlineLevel="0" collapsed="false">
      <c r="L3570" s="37" t="str">
        <f aca="false">IF(C3570="","",IF(C3570&lt;=5,"Night (00-05)",IF(C3570&lt;=11,"Morning (06-11)",IF(C3570&lt;=16,"Afternoon (12-16)",IF(C3570&lt;=20,"Evening (17-20)","Late (21-23)")))))</f>
        <v/>
      </c>
    </row>
    <row r="3571" customFormat="false" ht="15" hidden="false" customHeight="false" outlineLevel="0" collapsed="false">
      <c r="L3571" s="37" t="str">
        <f aca="false">IF(C3571="","",IF(C3571&lt;=5,"Night (00-05)",IF(C3571&lt;=11,"Morning (06-11)",IF(C3571&lt;=16,"Afternoon (12-16)",IF(C3571&lt;=20,"Evening (17-20)","Late (21-23)")))))</f>
        <v/>
      </c>
    </row>
    <row r="3572" customFormat="false" ht="15" hidden="false" customHeight="false" outlineLevel="0" collapsed="false">
      <c r="L3572" s="37" t="str">
        <f aca="false">IF(C3572="","",IF(C3572&lt;=5,"Night (00-05)",IF(C3572&lt;=11,"Morning (06-11)",IF(C3572&lt;=16,"Afternoon (12-16)",IF(C3572&lt;=20,"Evening (17-20)","Late (21-23)")))))</f>
        <v/>
      </c>
    </row>
    <row r="3573" customFormat="false" ht="15" hidden="false" customHeight="false" outlineLevel="0" collapsed="false">
      <c r="L3573" s="37" t="str">
        <f aca="false">IF(C3573="","",IF(C3573&lt;=5,"Night (00-05)",IF(C3573&lt;=11,"Morning (06-11)",IF(C3573&lt;=16,"Afternoon (12-16)",IF(C3573&lt;=20,"Evening (17-20)","Late (21-23)")))))</f>
        <v/>
      </c>
    </row>
    <row r="3574" customFormat="false" ht="15" hidden="false" customHeight="false" outlineLevel="0" collapsed="false">
      <c r="L3574" s="37" t="str">
        <f aca="false">IF(C3574="","",IF(C3574&lt;=5,"Night (00-05)",IF(C3574&lt;=11,"Morning (06-11)",IF(C3574&lt;=16,"Afternoon (12-16)",IF(C3574&lt;=20,"Evening (17-20)","Late (21-23)")))))</f>
        <v/>
      </c>
    </row>
    <row r="3575" customFormat="false" ht="15" hidden="false" customHeight="false" outlineLevel="0" collapsed="false">
      <c r="L3575" s="37" t="str">
        <f aca="false">IF(C3575="","",IF(C3575&lt;=5,"Night (00-05)",IF(C3575&lt;=11,"Morning (06-11)",IF(C3575&lt;=16,"Afternoon (12-16)",IF(C3575&lt;=20,"Evening (17-20)","Late (21-23)")))))</f>
        <v/>
      </c>
    </row>
    <row r="3576" customFormat="false" ht="15" hidden="false" customHeight="false" outlineLevel="0" collapsed="false">
      <c r="L3576" s="37" t="str">
        <f aca="false">IF(C3576="","",IF(C3576&lt;=5,"Night (00-05)",IF(C3576&lt;=11,"Morning (06-11)",IF(C3576&lt;=16,"Afternoon (12-16)",IF(C3576&lt;=20,"Evening (17-20)","Late (21-23)")))))</f>
        <v/>
      </c>
    </row>
    <row r="3577" customFormat="false" ht="15" hidden="false" customHeight="false" outlineLevel="0" collapsed="false">
      <c r="L3577" s="37" t="str">
        <f aca="false">IF(C3577="","",IF(C3577&lt;=5,"Night (00-05)",IF(C3577&lt;=11,"Morning (06-11)",IF(C3577&lt;=16,"Afternoon (12-16)",IF(C3577&lt;=20,"Evening (17-20)","Late (21-23)")))))</f>
        <v/>
      </c>
    </row>
    <row r="3578" customFormat="false" ht="15" hidden="false" customHeight="false" outlineLevel="0" collapsed="false">
      <c r="L3578" s="37" t="str">
        <f aca="false">IF(C3578="","",IF(C3578&lt;=5,"Night (00-05)",IF(C3578&lt;=11,"Morning (06-11)",IF(C3578&lt;=16,"Afternoon (12-16)",IF(C3578&lt;=20,"Evening (17-20)","Late (21-23)")))))</f>
        <v/>
      </c>
    </row>
    <row r="3579" customFormat="false" ht="15" hidden="false" customHeight="false" outlineLevel="0" collapsed="false">
      <c r="L3579" s="37" t="str">
        <f aca="false">IF(C3579="","",IF(C3579&lt;=5,"Night (00-05)",IF(C3579&lt;=11,"Morning (06-11)",IF(C3579&lt;=16,"Afternoon (12-16)",IF(C3579&lt;=20,"Evening (17-20)","Late (21-23)")))))</f>
        <v/>
      </c>
    </row>
    <row r="3580" customFormat="false" ht="15" hidden="false" customHeight="false" outlineLevel="0" collapsed="false">
      <c r="L3580" s="37" t="str">
        <f aca="false">IF(C3580="","",IF(C3580&lt;=5,"Night (00-05)",IF(C3580&lt;=11,"Morning (06-11)",IF(C3580&lt;=16,"Afternoon (12-16)",IF(C3580&lt;=20,"Evening (17-20)","Late (21-23)")))))</f>
        <v/>
      </c>
    </row>
    <row r="3581" customFormat="false" ht="15" hidden="false" customHeight="false" outlineLevel="0" collapsed="false">
      <c r="L3581" s="37" t="str">
        <f aca="false">IF(C3581="","",IF(C3581&lt;=5,"Night (00-05)",IF(C3581&lt;=11,"Morning (06-11)",IF(C3581&lt;=16,"Afternoon (12-16)",IF(C3581&lt;=20,"Evening (17-20)","Late (21-23)")))))</f>
        <v/>
      </c>
    </row>
    <row r="3582" customFormat="false" ht="15" hidden="false" customHeight="false" outlineLevel="0" collapsed="false">
      <c r="L3582" s="37" t="str">
        <f aca="false">IF(C3582="","",IF(C3582&lt;=5,"Night (00-05)",IF(C3582&lt;=11,"Morning (06-11)",IF(C3582&lt;=16,"Afternoon (12-16)",IF(C3582&lt;=20,"Evening (17-20)","Late (21-23)")))))</f>
        <v/>
      </c>
    </row>
    <row r="3583" customFormat="false" ht="15" hidden="false" customHeight="false" outlineLevel="0" collapsed="false">
      <c r="L3583" s="37" t="str">
        <f aca="false">IF(C3583="","",IF(C3583&lt;=5,"Night (00-05)",IF(C3583&lt;=11,"Morning (06-11)",IF(C3583&lt;=16,"Afternoon (12-16)",IF(C3583&lt;=20,"Evening (17-20)","Late (21-23)")))))</f>
        <v/>
      </c>
    </row>
    <row r="3584" customFormat="false" ht="15" hidden="false" customHeight="false" outlineLevel="0" collapsed="false">
      <c r="L3584" s="37" t="str">
        <f aca="false">IF(C3584="","",IF(C3584&lt;=5,"Night (00-05)",IF(C3584&lt;=11,"Morning (06-11)",IF(C3584&lt;=16,"Afternoon (12-16)",IF(C3584&lt;=20,"Evening (17-20)","Late (21-23)")))))</f>
        <v/>
      </c>
    </row>
    <row r="3585" customFormat="false" ht="15" hidden="false" customHeight="false" outlineLevel="0" collapsed="false">
      <c r="L3585" s="37" t="str">
        <f aca="false">IF(C3585="","",IF(C3585&lt;=5,"Night (00-05)",IF(C3585&lt;=11,"Morning (06-11)",IF(C3585&lt;=16,"Afternoon (12-16)",IF(C3585&lt;=20,"Evening (17-20)","Late (21-23)")))))</f>
        <v/>
      </c>
    </row>
    <row r="3586" customFormat="false" ht="15" hidden="false" customHeight="false" outlineLevel="0" collapsed="false">
      <c r="L3586" s="37" t="str">
        <f aca="false">IF(C3586="","",IF(C3586&lt;=5,"Night (00-05)",IF(C3586&lt;=11,"Morning (06-11)",IF(C3586&lt;=16,"Afternoon (12-16)",IF(C3586&lt;=20,"Evening (17-20)","Late (21-23)")))))</f>
        <v/>
      </c>
    </row>
    <row r="3587" customFormat="false" ht="15" hidden="false" customHeight="false" outlineLevel="0" collapsed="false">
      <c r="L3587" s="37" t="str">
        <f aca="false">IF(C3587="","",IF(C3587&lt;=5,"Night (00-05)",IF(C3587&lt;=11,"Morning (06-11)",IF(C3587&lt;=16,"Afternoon (12-16)",IF(C3587&lt;=20,"Evening (17-20)","Late (21-23)")))))</f>
        <v/>
      </c>
    </row>
    <row r="3588" customFormat="false" ht="15" hidden="false" customHeight="false" outlineLevel="0" collapsed="false">
      <c r="L3588" s="37" t="str">
        <f aca="false">IF(C3588="","",IF(C3588&lt;=5,"Night (00-05)",IF(C3588&lt;=11,"Morning (06-11)",IF(C3588&lt;=16,"Afternoon (12-16)",IF(C3588&lt;=20,"Evening (17-20)","Late (21-23)")))))</f>
        <v/>
      </c>
    </row>
    <row r="3589" customFormat="false" ht="15" hidden="false" customHeight="false" outlineLevel="0" collapsed="false">
      <c r="L3589" s="37" t="str">
        <f aca="false">IF(C3589="","",IF(C3589&lt;=5,"Night (00-05)",IF(C3589&lt;=11,"Morning (06-11)",IF(C3589&lt;=16,"Afternoon (12-16)",IF(C3589&lt;=20,"Evening (17-20)","Late (21-23)")))))</f>
        <v/>
      </c>
    </row>
    <row r="3590" customFormat="false" ht="15" hidden="false" customHeight="false" outlineLevel="0" collapsed="false">
      <c r="L3590" s="37" t="str">
        <f aca="false">IF(C3590="","",IF(C3590&lt;=5,"Night (00-05)",IF(C3590&lt;=11,"Morning (06-11)",IF(C3590&lt;=16,"Afternoon (12-16)",IF(C3590&lt;=20,"Evening (17-20)","Late (21-23)")))))</f>
        <v/>
      </c>
    </row>
    <row r="3591" customFormat="false" ht="15" hidden="false" customHeight="false" outlineLevel="0" collapsed="false">
      <c r="L3591" s="37" t="str">
        <f aca="false">IF(C3591="","",IF(C3591&lt;=5,"Night (00-05)",IF(C3591&lt;=11,"Morning (06-11)",IF(C3591&lt;=16,"Afternoon (12-16)",IF(C3591&lt;=20,"Evening (17-20)","Late (21-23)")))))</f>
        <v/>
      </c>
    </row>
    <row r="3592" customFormat="false" ht="15" hidden="false" customHeight="false" outlineLevel="0" collapsed="false">
      <c r="L3592" s="37" t="str">
        <f aca="false">IF(C3592="","",IF(C3592&lt;=5,"Night (00-05)",IF(C3592&lt;=11,"Morning (06-11)",IF(C3592&lt;=16,"Afternoon (12-16)",IF(C3592&lt;=20,"Evening (17-20)","Late (21-23)")))))</f>
        <v/>
      </c>
    </row>
    <row r="3593" customFormat="false" ht="15" hidden="false" customHeight="false" outlineLevel="0" collapsed="false">
      <c r="L3593" s="37" t="str">
        <f aca="false">IF(C3593="","",IF(C3593&lt;=5,"Night (00-05)",IF(C3593&lt;=11,"Morning (06-11)",IF(C3593&lt;=16,"Afternoon (12-16)",IF(C3593&lt;=20,"Evening (17-20)","Late (21-23)")))))</f>
        <v/>
      </c>
    </row>
    <row r="3594" customFormat="false" ht="15" hidden="false" customHeight="false" outlineLevel="0" collapsed="false">
      <c r="L3594" s="37" t="str">
        <f aca="false">IF(C3594="","",IF(C3594&lt;=5,"Night (00-05)",IF(C3594&lt;=11,"Morning (06-11)",IF(C3594&lt;=16,"Afternoon (12-16)",IF(C3594&lt;=20,"Evening (17-20)","Late (21-23)")))))</f>
        <v/>
      </c>
    </row>
    <row r="3595" customFormat="false" ht="15" hidden="false" customHeight="false" outlineLevel="0" collapsed="false">
      <c r="L3595" s="37" t="str">
        <f aca="false">IF(C3595="","",IF(C3595&lt;=5,"Night (00-05)",IF(C3595&lt;=11,"Morning (06-11)",IF(C3595&lt;=16,"Afternoon (12-16)",IF(C3595&lt;=20,"Evening (17-20)","Late (21-23)")))))</f>
        <v/>
      </c>
    </row>
    <row r="3596" customFormat="false" ht="15" hidden="false" customHeight="false" outlineLevel="0" collapsed="false">
      <c r="L3596" s="37" t="str">
        <f aca="false">IF(C3596="","",IF(C3596&lt;=5,"Night (00-05)",IF(C3596&lt;=11,"Morning (06-11)",IF(C3596&lt;=16,"Afternoon (12-16)",IF(C3596&lt;=20,"Evening (17-20)","Late (21-23)")))))</f>
        <v/>
      </c>
    </row>
    <row r="3597" customFormat="false" ht="15" hidden="false" customHeight="false" outlineLevel="0" collapsed="false">
      <c r="L3597" s="37" t="str">
        <f aca="false">IF(C3597="","",IF(C3597&lt;=5,"Night (00-05)",IF(C3597&lt;=11,"Morning (06-11)",IF(C3597&lt;=16,"Afternoon (12-16)",IF(C3597&lt;=20,"Evening (17-20)","Late (21-23)")))))</f>
        <v/>
      </c>
    </row>
    <row r="3598" customFormat="false" ht="15" hidden="false" customHeight="false" outlineLevel="0" collapsed="false">
      <c r="L3598" s="37" t="str">
        <f aca="false">IF(C3598="","",IF(C3598&lt;=5,"Night (00-05)",IF(C3598&lt;=11,"Morning (06-11)",IF(C3598&lt;=16,"Afternoon (12-16)",IF(C3598&lt;=20,"Evening (17-20)","Late (21-23)")))))</f>
        <v/>
      </c>
    </row>
    <row r="3599" customFormat="false" ht="15" hidden="false" customHeight="false" outlineLevel="0" collapsed="false">
      <c r="L3599" s="37" t="str">
        <f aca="false">IF(C3599="","",IF(C3599&lt;=5,"Night (00-05)",IF(C3599&lt;=11,"Morning (06-11)",IF(C3599&lt;=16,"Afternoon (12-16)",IF(C3599&lt;=20,"Evening (17-20)","Late (21-23)")))))</f>
        <v/>
      </c>
    </row>
    <row r="3600" customFormat="false" ht="15" hidden="false" customHeight="false" outlineLevel="0" collapsed="false">
      <c r="L3600" s="37" t="str">
        <f aca="false">IF(C3600="","",IF(C3600&lt;=5,"Night (00-05)",IF(C3600&lt;=11,"Morning (06-11)",IF(C3600&lt;=16,"Afternoon (12-16)",IF(C3600&lt;=20,"Evening (17-20)","Late (21-23)")))))</f>
        <v/>
      </c>
    </row>
    <row r="3601" customFormat="false" ht="15" hidden="false" customHeight="false" outlineLevel="0" collapsed="false">
      <c r="L3601" s="37" t="str">
        <f aca="false">IF(C3601="","",IF(C3601&lt;=5,"Night (00-05)",IF(C3601&lt;=11,"Morning (06-11)",IF(C3601&lt;=16,"Afternoon (12-16)",IF(C3601&lt;=20,"Evening (17-20)","Late (21-23)")))))</f>
        <v/>
      </c>
    </row>
    <row r="3602" customFormat="false" ht="15" hidden="false" customHeight="false" outlineLevel="0" collapsed="false">
      <c r="L3602" s="37" t="str">
        <f aca="false">IF(C3602="","",IF(C3602&lt;=5,"Night (00-05)",IF(C3602&lt;=11,"Morning (06-11)",IF(C3602&lt;=16,"Afternoon (12-16)",IF(C3602&lt;=20,"Evening (17-20)","Late (21-23)")))))</f>
        <v/>
      </c>
    </row>
    <row r="3603" customFormat="false" ht="15" hidden="false" customHeight="false" outlineLevel="0" collapsed="false">
      <c r="L3603" s="37" t="str">
        <f aca="false">IF(C3603="","",IF(C3603&lt;=5,"Night (00-05)",IF(C3603&lt;=11,"Morning (06-11)",IF(C3603&lt;=16,"Afternoon (12-16)",IF(C3603&lt;=20,"Evening (17-20)","Late (21-23)")))))</f>
        <v/>
      </c>
    </row>
    <row r="3604" customFormat="false" ht="15" hidden="false" customHeight="false" outlineLevel="0" collapsed="false">
      <c r="L3604" s="37" t="str">
        <f aca="false">IF(C3604="","",IF(C3604&lt;=5,"Night (00-05)",IF(C3604&lt;=11,"Morning (06-11)",IF(C3604&lt;=16,"Afternoon (12-16)",IF(C3604&lt;=20,"Evening (17-20)","Late (21-23)")))))</f>
        <v/>
      </c>
    </row>
    <row r="3605" customFormat="false" ht="15" hidden="false" customHeight="false" outlineLevel="0" collapsed="false">
      <c r="L3605" s="37" t="str">
        <f aca="false">IF(C3605="","",IF(C3605&lt;=5,"Night (00-05)",IF(C3605&lt;=11,"Morning (06-11)",IF(C3605&lt;=16,"Afternoon (12-16)",IF(C3605&lt;=20,"Evening (17-20)","Late (21-23)")))))</f>
        <v/>
      </c>
    </row>
    <row r="3606" customFormat="false" ht="15" hidden="false" customHeight="false" outlineLevel="0" collapsed="false">
      <c r="L3606" s="37" t="str">
        <f aca="false">IF(C3606="","",IF(C3606&lt;=5,"Night (00-05)",IF(C3606&lt;=11,"Morning (06-11)",IF(C3606&lt;=16,"Afternoon (12-16)",IF(C3606&lt;=20,"Evening (17-20)","Late (21-23)")))))</f>
        <v/>
      </c>
    </row>
    <row r="3607" customFormat="false" ht="15" hidden="false" customHeight="false" outlineLevel="0" collapsed="false">
      <c r="L3607" s="37" t="str">
        <f aca="false">IF(C3607="","",IF(C3607&lt;=5,"Night (00-05)",IF(C3607&lt;=11,"Morning (06-11)",IF(C3607&lt;=16,"Afternoon (12-16)",IF(C3607&lt;=20,"Evening (17-20)","Late (21-23)")))))</f>
        <v/>
      </c>
    </row>
    <row r="3608" customFormat="false" ht="15" hidden="false" customHeight="false" outlineLevel="0" collapsed="false">
      <c r="L3608" s="37" t="str">
        <f aca="false">IF(C3608="","",IF(C3608&lt;=5,"Night (00-05)",IF(C3608&lt;=11,"Morning (06-11)",IF(C3608&lt;=16,"Afternoon (12-16)",IF(C3608&lt;=20,"Evening (17-20)","Late (21-23)")))))</f>
        <v/>
      </c>
    </row>
    <row r="3609" customFormat="false" ht="15" hidden="false" customHeight="false" outlineLevel="0" collapsed="false">
      <c r="L3609" s="37" t="str">
        <f aca="false">IF(C3609="","",IF(C3609&lt;=5,"Night (00-05)",IF(C3609&lt;=11,"Morning (06-11)",IF(C3609&lt;=16,"Afternoon (12-16)",IF(C3609&lt;=20,"Evening (17-20)","Late (21-23)")))))</f>
        <v/>
      </c>
    </row>
    <row r="3610" customFormat="false" ht="15" hidden="false" customHeight="false" outlineLevel="0" collapsed="false">
      <c r="L3610" s="37" t="str">
        <f aca="false">IF(C3610="","",IF(C3610&lt;=5,"Night (00-05)",IF(C3610&lt;=11,"Morning (06-11)",IF(C3610&lt;=16,"Afternoon (12-16)",IF(C3610&lt;=20,"Evening (17-20)","Late (21-23)")))))</f>
        <v/>
      </c>
    </row>
    <row r="3611" customFormat="false" ht="15" hidden="false" customHeight="false" outlineLevel="0" collapsed="false">
      <c r="L3611" s="37" t="str">
        <f aca="false">IF(C3611="","",IF(C3611&lt;=5,"Night (00-05)",IF(C3611&lt;=11,"Morning (06-11)",IF(C3611&lt;=16,"Afternoon (12-16)",IF(C3611&lt;=20,"Evening (17-20)","Late (21-23)")))))</f>
        <v/>
      </c>
    </row>
    <row r="3612" customFormat="false" ht="15" hidden="false" customHeight="false" outlineLevel="0" collapsed="false">
      <c r="L3612" s="37" t="str">
        <f aca="false">IF(C3612="","",IF(C3612&lt;=5,"Night (00-05)",IF(C3612&lt;=11,"Morning (06-11)",IF(C3612&lt;=16,"Afternoon (12-16)",IF(C3612&lt;=20,"Evening (17-20)","Late (21-23)")))))</f>
        <v/>
      </c>
    </row>
    <row r="3613" customFormat="false" ht="15" hidden="false" customHeight="false" outlineLevel="0" collapsed="false">
      <c r="L3613" s="37" t="str">
        <f aca="false">IF(C3613="","",IF(C3613&lt;=5,"Night (00-05)",IF(C3613&lt;=11,"Morning (06-11)",IF(C3613&lt;=16,"Afternoon (12-16)",IF(C3613&lt;=20,"Evening (17-20)","Late (21-23)")))))</f>
        <v/>
      </c>
    </row>
    <row r="3614" customFormat="false" ht="15" hidden="false" customHeight="false" outlineLevel="0" collapsed="false">
      <c r="L3614" s="37" t="str">
        <f aca="false">IF(C3614="","",IF(C3614&lt;=5,"Night (00-05)",IF(C3614&lt;=11,"Morning (06-11)",IF(C3614&lt;=16,"Afternoon (12-16)",IF(C3614&lt;=20,"Evening (17-20)","Late (21-23)")))))</f>
        <v/>
      </c>
    </row>
    <row r="3615" customFormat="false" ht="15" hidden="false" customHeight="false" outlineLevel="0" collapsed="false">
      <c r="L3615" s="37" t="str">
        <f aca="false">IF(C3615="","",IF(C3615&lt;=5,"Night (00-05)",IF(C3615&lt;=11,"Morning (06-11)",IF(C3615&lt;=16,"Afternoon (12-16)",IF(C3615&lt;=20,"Evening (17-20)","Late (21-23)")))))</f>
        <v/>
      </c>
    </row>
    <row r="3616" customFormat="false" ht="15" hidden="false" customHeight="false" outlineLevel="0" collapsed="false">
      <c r="L3616" s="37" t="str">
        <f aca="false">IF(C3616="","",IF(C3616&lt;=5,"Night (00-05)",IF(C3616&lt;=11,"Morning (06-11)",IF(C3616&lt;=16,"Afternoon (12-16)",IF(C3616&lt;=20,"Evening (17-20)","Late (21-23)")))))</f>
        <v/>
      </c>
    </row>
    <row r="3617" customFormat="false" ht="15" hidden="false" customHeight="false" outlineLevel="0" collapsed="false">
      <c r="L3617" s="37" t="str">
        <f aca="false">IF(C3617="","",IF(C3617&lt;=5,"Night (00-05)",IF(C3617&lt;=11,"Morning (06-11)",IF(C3617&lt;=16,"Afternoon (12-16)",IF(C3617&lt;=20,"Evening (17-20)","Late (21-23)")))))</f>
        <v/>
      </c>
    </row>
    <row r="3618" customFormat="false" ht="15" hidden="false" customHeight="false" outlineLevel="0" collapsed="false">
      <c r="L3618" s="37" t="str">
        <f aca="false">IF(C3618="","",IF(C3618&lt;=5,"Night (00-05)",IF(C3618&lt;=11,"Morning (06-11)",IF(C3618&lt;=16,"Afternoon (12-16)",IF(C3618&lt;=20,"Evening (17-20)","Late (21-23)")))))</f>
        <v/>
      </c>
    </row>
    <row r="3619" customFormat="false" ht="15" hidden="false" customHeight="false" outlineLevel="0" collapsed="false">
      <c r="L3619" s="37" t="str">
        <f aca="false">IF(C3619="","",IF(C3619&lt;=5,"Night (00-05)",IF(C3619&lt;=11,"Morning (06-11)",IF(C3619&lt;=16,"Afternoon (12-16)",IF(C3619&lt;=20,"Evening (17-20)","Late (21-23)")))))</f>
        <v/>
      </c>
    </row>
    <row r="3620" customFormat="false" ht="15" hidden="false" customHeight="false" outlineLevel="0" collapsed="false">
      <c r="L3620" s="37" t="str">
        <f aca="false">IF(C3620="","",IF(C3620&lt;=5,"Night (00-05)",IF(C3620&lt;=11,"Morning (06-11)",IF(C3620&lt;=16,"Afternoon (12-16)",IF(C3620&lt;=20,"Evening (17-20)","Late (21-23)")))))</f>
        <v/>
      </c>
    </row>
    <row r="3621" customFormat="false" ht="15" hidden="false" customHeight="false" outlineLevel="0" collapsed="false">
      <c r="L3621" s="37" t="str">
        <f aca="false">IF(C3621="","",IF(C3621&lt;=5,"Night (00-05)",IF(C3621&lt;=11,"Morning (06-11)",IF(C3621&lt;=16,"Afternoon (12-16)",IF(C3621&lt;=20,"Evening (17-20)","Late (21-23)")))))</f>
        <v/>
      </c>
    </row>
    <row r="3622" customFormat="false" ht="15" hidden="false" customHeight="false" outlineLevel="0" collapsed="false">
      <c r="L3622" s="37" t="str">
        <f aca="false">IF(C3622="","",IF(C3622&lt;=5,"Night (00-05)",IF(C3622&lt;=11,"Morning (06-11)",IF(C3622&lt;=16,"Afternoon (12-16)",IF(C3622&lt;=20,"Evening (17-20)","Late (21-23)")))))</f>
        <v/>
      </c>
    </row>
    <row r="3623" customFormat="false" ht="15" hidden="false" customHeight="false" outlineLevel="0" collapsed="false">
      <c r="L3623" s="37" t="str">
        <f aca="false">IF(C3623="","",IF(C3623&lt;=5,"Night (00-05)",IF(C3623&lt;=11,"Morning (06-11)",IF(C3623&lt;=16,"Afternoon (12-16)",IF(C3623&lt;=20,"Evening (17-20)","Late (21-23)")))))</f>
        <v/>
      </c>
    </row>
    <row r="3624" customFormat="false" ht="15" hidden="false" customHeight="false" outlineLevel="0" collapsed="false">
      <c r="L3624" s="37" t="str">
        <f aca="false">IF(C3624="","",IF(C3624&lt;=5,"Night (00-05)",IF(C3624&lt;=11,"Morning (06-11)",IF(C3624&lt;=16,"Afternoon (12-16)",IF(C3624&lt;=20,"Evening (17-20)","Late (21-23)")))))</f>
        <v/>
      </c>
    </row>
    <row r="3625" customFormat="false" ht="15" hidden="false" customHeight="false" outlineLevel="0" collapsed="false">
      <c r="L3625" s="37" t="str">
        <f aca="false">IF(C3625="","",IF(C3625&lt;=5,"Night (00-05)",IF(C3625&lt;=11,"Morning (06-11)",IF(C3625&lt;=16,"Afternoon (12-16)",IF(C3625&lt;=20,"Evening (17-20)","Late (21-23)")))))</f>
        <v/>
      </c>
    </row>
    <row r="3626" customFormat="false" ht="15" hidden="false" customHeight="false" outlineLevel="0" collapsed="false">
      <c r="L3626" s="37" t="str">
        <f aca="false">IF(C3626="","",IF(C3626&lt;=5,"Night (00-05)",IF(C3626&lt;=11,"Morning (06-11)",IF(C3626&lt;=16,"Afternoon (12-16)",IF(C3626&lt;=20,"Evening (17-20)","Late (21-23)")))))</f>
        <v/>
      </c>
    </row>
    <row r="3627" customFormat="false" ht="15" hidden="false" customHeight="false" outlineLevel="0" collapsed="false">
      <c r="L3627" s="37" t="str">
        <f aca="false">IF(C3627="","",IF(C3627&lt;=5,"Night (00-05)",IF(C3627&lt;=11,"Morning (06-11)",IF(C3627&lt;=16,"Afternoon (12-16)",IF(C3627&lt;=20,"Evening (17-20)","Late (21-23)")))))</f>
        <v/>
      </c>
    </row>
    <row r="3628" customFormat="false" ht="15" hidden="false" customHeight="false" outlineLevel="0" collapsed="false">
      <c r="L3628" s="37" t="str">
        <f aca="false">IF(C3628="","",IF(C3628&lt;=5,"Night (00-05)",IF(C3628&lt;=11,"Morning (06-11)",IF(C3628&lt;=16,"Afternoon (12-16)",IF(C3628&lt;=20,"Evening (17-20)","Late (21-23)")))))</f>
        <v/>
      </c>
    </row>
    <row r="3629" customFormat="false" ht="15" hidden="false" customHeight="false" outlineLevel="0" collapsed="false">
      <c r="L3629" s="37" t="str">
        <f aca="false">IF(C3629="","",IF(C3629&lt;=5,"Night (00-05)",IF(C3629&lt;=11,"Morning (06-11)",IF(C3629&lt;=16,"Afternoon (12-16)",IF(C3629&lt;=20,"Evening (17-20)","Late (21-23)")))))</f>
        <v/>
      </c>
    </row>
    <row r="3630" customFormat="false" ht="15" hidden="false" customHeight="false" outlineLevel="0" collapsed="false">
      <c r="L3630" s="37" t="str">
        <f aca="false">IF(C3630="","",IF(C3630&lt;=5,"Night (00-05)",IF(C3630&lt;=11,"Morning (06-11)",IF(C3630&lt;=16,"Afternoon (12-16)",IF(C3630&lt;=20,"Evening (17-20)","Late (21-23)")))))</f>
        <v/>
      </c>
    </row>
    <row r="3631" customFormat="false" ht="15" hidden="false" customHeight="false" outlineLevel="0" collapsed="false">
      <c r="L3631" s="37" t="str">
        <f aca="false">IF(C3631="","",IF(C3631&lt;=5,"Night (00-05)",IF(C3631&lt;=11,"Morning (06-11)",IF(C3631&lt;=16,"Afternoon (12-16)",IF(C3631&lt;=20,"Evening (17-20)","Late (21-23)")))))</f>
        <v/>
      </c>
    </row>
    <row r="3632" customFormat="false" ht="15" hidden="false" customHeight="false" outlineLevel="0" collapsed="false">
      <c r="L3632" s="37" t="str">
        <f aca="false">IF(C3632="","",IF(C3632&lt;=5,"Night (00-05)",IF(C3632&lt;=11,"Morning (06-11)",IF(C3632&lt;=16,"Afternoon (12-16)",IF(C3632&lt;=20,"Evening (17-20)","Late (21-23)")))))</f>
        <v/>
      </c>
    </row>
    <row r="3633" customFormat="false" ht="15" hidden="false" customHeight="false" outlineLevel="0" collapsed="false">
      <c r="L3633" s="37" t="str">
        <f aca="false">IF(C3633="","",IF(C3633&lt;=5,"Night (00-05)",IF(C3633&lt;=11,"Morning (06-11)",IF(C3633&lt;=16,"Afternoon (12-16)",IF(C3633&lt;=20,"Evening (17-20)","Late (21-23)")))))</f>
        <v/>
      </c>
    </row>
    <row r="3634" customFormat="false" ht="15" hidden="false" customHeight="false" outlineLevel="0" collapsed="false">
      <c r="L3634" s="37" t="str">
        <f aca="false">IF(C3634="","",IF(C3634&lt;=5,"Night (00-05)",IF(C3634&lt;=11,"Morning (06-11)",IF(C3634&lt;=16,"Afternoon (12-16)",IF(C3634&lt;=20,"Evening (17-20)","Late (21-23)")))))</f>
        <v/>
      </c>
    </row>
    <row r="3635" customFormat="false" ht="15" hidden="false" customHeight="false" outlineLevel="0" collapsed="false">
      <c r="L3635" s="37" t="str">
        <f aca="false">IF(C3635="","",IF(C3635&lt;=5,"Night (00-05)",IF(C3635&lt;=11,"Morning (06-11)",IF(C3635&lt;=16,"Afternoon (12-16)",IF(C3635&lt;=20,"Evening (17-20)","Late (21-23)")))))</f>
        <v/>
      </c>
    </row>
    <row r="3636" customFormat="false" ht="15" hidden="false" customHeight="false" outlineLevel="0" collapsed="false">
      <c r="L3636" s="37" t="str">
        <f aca="false">IF(C3636="","",IF(C3636&lt;=5,"Night (00-05)",IF(C3636&lt;=11,"Morning (06-11)",IF(C3636&lt;=16,"Afternoon (12-16)",IF(C3636&lt;=20,"Evening (17-20)","Late (21-23)")))))</f>
        <v/>
      </c>
    </row>
    <row r="3637" customFormat="false" ht="15" hidden="false" customHeight="false" outlineLevel="0" collapsed="false">
      <c r="L3637" s="37" t="str">
        <f aca="false">IF(C3637="","",IF(C3637&lt;=5,"Night (00-05)",IF(C3637&lt;=11,"Morning (06-11)",IF(C3637&lt;=16,"Afternoon (12-16)",IF(C3637&lt;=20,"Evening (17-20)","Late (21-23)")))))</f>
        <v/>
      </c>
    </row>
    <row r="3638" customFormat="false" ht="15" hidden="false" customHeight="false" outlineLevel="0" collapsed="false">
      <c r="L3638" s="37" t="str">
        <f aca="false">IF(C3638="","",IF(C3638&lt;=5,"Night (00-05)",IF(C3638&lt;=11,"Morning (06-11)",IF(C3638&lt;=16,"Afternoon (12-16)",IF(C3638&lt;=20,"Evening (17-20)","Late (21-23)")))))</f>
        <v/>
      </c>
    </row>
    <row r="3639" customFormat="false" ht="15" hidden="false" customHeight="false" outlineLevel="0" collapsed="false">
      <c r="L3639" s="37" t="str">
        <f aca="false">IF(C3639="","",IF(C3639&lt;=5,"Night (00-05)",IF(C3639&lt;=11,"Morning (06-11)",IF(C3639&lt;=16,"Afternoon (12-16)",IF(C3639&lt;=20,"Evening (17-20)","Late (21-23)")))))</f>
        <v/>
      </c>
    </row>
    <row r="3640" customFormat="false" ht="15" hidden="false" customHeight="false" outlineLevel="0" collapsed="false">
      <c r="L3640" s="37" t="str">
        <f aca="false">IF(C3640="","",IF(C3640&lt;=5,"Night (00-05)",IF(C3640&lt;=11,"Morning (06-11)",IF(C3640&lt;=16,"Afternoon (12-16)",IF(C3640&lt;=20,"Evening (17-20)","Late (21-23)")))))</f>
        <v/>
      </c>
    </row>
    <row r="3641" customFormat="false" ht="15" hidden="false" customHeight="false" outlineLevel="0" collapsed="false">
      <c r="L3641" s="37" t="str">
        <f aca="false">IF(C3641="","",IF(C3641&lt;=5,"Night (00-05)",IF(C3641&lt;=11,"Morning (06-11)",IF(C3641&lt;=16,"Afternoon (12-16)",IF(C3641&lt;=20,"Evening (17-20)","Late (21-23)")))))</f>
        <v/>
      </c>
    </row>
    <row r="3642" customFormat="false" ht="15" hidden="false" customHeight="false" outlineLevel="0" collapsed="false">
      <c r="L3642" s="37" t="str">
        <f aca="false">IF(C3642="","",IF(C3642&lt;=5,"Night (00-05)",IF(C3642&lt;=11,"Morning (06-11)",IF(C3642&lt;=16,"Afternoon (12-16)",IF(C3642&lt;=20,"Evening (17-20)","Late (21-23)")))))</f>
        <v/>
      </c>
    </row>
    <row r="3643" customFormat="false" ht="15" hidden="false" customHeight="false" outlineLevel="0" collapsed="false">
      <c r="L3643" s="37" t="str">
        <f aca="false">IF(C3643="","",IF(C3643&lt;=5,"Night (00-05)",IF(C3643&lt;=11,"Morning (06-11)",IF(C3643&lt;=16,"Afternoon (12-16)",IF(C3643&lt;=20,"Evening (17-20)","Late (21-23)")))))</f>
        <v/>
      </c>
    </row>
    <row r="3644" customFormat="false" ht="15" hidden="false" customHeight="false" outlineLevel="0" collapsed="false">
      <c r="L3644" s="37" t="str">
        <f aca="false">IF(C3644="","",IF(C3644&lt;=5,"Night (00-05)",IF(C3644&lt;=11,"Morning (06-11)",IF(C3644&lt;=16,"Afternoon (12-16)",IF(C3644&lt;=20,"Evening (17-20)","Late (21-23)")))))</f>
        <v/>
      </c>
    </row>
    <row r="3645" customFormat="false" ht="15" hidden="false" customHeight="false" outlineLevel="0" collapsed="false">
      <c r="L3645" s="37" t="str">
        <f aca="false">IF(C3645="","",IF(C3645&lt;=5,"Night (00-05)",IF(C3645&lt;=11,"Morning (06-11)",IF(C3645&lt;=16,"Afternoon (12-16)",IF(C3645&lt;=20,"Evening (17-20)","Late (21-23)")))))</f>
        <v/>
      </c>
    </row>
    <row r="3646" customFormat="false" ht="15" hidden="false" customHeight="false" outlineLevel="0" collapsed="false">
      <c r="L3646" s="37" t="str">
        <f aca="false">IF(C3646="","",IF(C3646&lt;=5,"Night (00-05)",IF(C3646&lt;=11,"Morning (06-11)",IF(C3646&lt;=16,"Afternoon (12-16)",IF(C3646&lt;=20,"Evening (17-20)","Late (21-23)")))))</f>
        <v/>
      </c>
    </row>
    <row r="3647" customFormat="false" ht="15" hidden="false" customHeight="false" outlineLevel="0" collapsed="false">
      <c r="L3647" s="37" t="str">
        <f aca="false">IF(C3647="","",IF(C3647&lt;=5,"Night (00-05)",IF(C3647&lt;=11,"Morning (06-11)",IF(C3647&lt;=16,"Afternoon (12-16)",IF(C3647&lt;=20,"Evening (17-20)","Late (21-23)")))))</f>
        <v/>
      </c>
    </row>
    <row r="3648" customFormat="false" ht="15" hidden="false" customHeight="false" outlineLevel="0" collapsed="false">
      <c r="L3648" s="37" t="str">
        <f aca="false">IF(C3648="","",IF(C3648&lt;=5,"Night (00-05)",IF(C3648&lt;=11,"Morning (06-11)",IF(C3648&lt;=16,"Afternoon (12-16)",IF(C3648&lt;=20,"Evening (17-20)","Late (21-23)")))))</f>
        <v/>
      </c>
    </row>
    <row r="3649" customFormat="false" ht="15" hidden="false" customHeight="false" outlineLevel="0" collapsed="false">
      <c r="L3649" s="37" t="str">
        <f aca="false">IF(C3649="","",IF(C3649&lt;=5,"Night (00-05)",IF(C3649&lt;=11,"Morning (06-11)",IF(C3649&lt;=16,"Afternoon (12-16)",IF(C3649&lt;=20,"Evening (17-20)","Late (21-23)")))))</f>
        <v/>
      </c>
    </row>
    <row r="3650" customFormat="false" ht="15" hidden="false" customHeight="false" outlineLevel="0" collapsed="false">
      <c r="L3650" s="37" t="str">
        <f aca="false">IF(C3650="","",IF(C3650&lt;=5,"Night (00-05)",IF(C3650&lt;=11,"Morning (06-11)",IF(C3650&lt;=16,"Afternoon (12-16)",IF(C3650&lt;=20,"Evening (17-20)","Late (21-23)")))))</f>
        <v/>
      </c>
    </row>
    <row r="3651" customFormat="false" ht="15" hidden="false" customHeight="false" outlineLevel="0" collapsed="false">
      <c r="L3651" s="37" t="str">
        <f aca="false">IF(C3651="","",IF(C3651&lt;=5,"Night (00-05)",IF(C3651&lt;=11,"Morning (06-11)",IF(C3651&lt;=16,"Afternoon (12-16)",IF(C3651&lt;=20,"Evening (17-20)","Late (21-23)")))))</f>
        <v/>
      </c>
    </row>
    <row r="3652" customFormat="false" ht="15" hidden="false" customHeight="false" outlineLevel="0" collapsed="false">
      <c r="L3652" s="37" t="str">
        <f aca="false">IF(C3652="","",IF(C3652&lt;=5,"Night (00-05)",IF(C3652&lt;=11,"Morning (06-11)",IF(C3652&lt;=16,"Afternoon (12-16)",IF(C3652&lt;=20,"Evening (17-20)","Late (21-23)")))))</f>
        <v/>
      </c>
    </row>
    <row r="3653" customFormat="false" ht="15" hidden="false" customHeight="false" outlineLevel="0" collapsed="false">
      <c r="L3653" s="37" t="str">
        <f aca="false">IF(C3653="","",IF(C3653&lt;=5,"Night (00-05)",IF(C3653&lt;=11,"Morning (06-11)",IF(C3653&lt;=16,"Afternoon (12-16)",IF(C3653&lt;=20,"Evening (17-20)","Late (21-23)")))))</f>
        <v/>
      </c>
    </row>
    <row r="3654" customFormat="false" ht="15" hidden="false" customHeight="false" outlineLevel="0" collapsed="false">
      <c r="L3654" s="37" t="str">
        <f aca="false">IF(C3654="","",IF(C3654&lt;=5,"Night (00-05)",IF(C3654&lt;=11,"Morning (06-11)",IF(C3654&lt;=16,"Afternoon (12-16)",IF(C3654&lt;=20,"Evening (17-20)","Late (21-23)")))))</f>
        <v/>
      </c>
    </row>
    <row r="3655" customFormat="false" ht="15" hidden="false" customHeight="false" outlineLevel="0" collapsed="false">
      <c r="L3655" s="37" t="str">
        <f aca="false">IF(C3655="","",IF(C3655&lt;=5,"Night (00-05)",IF(C3655&lt;=11,"Morning (06-11)",IF(C3655&lt;=16,"Afternoon (12-16)",IF(C3655&lt;=20,"Evening (17-20)","Late (21-23)")))))</f>
        <v/>
      </c>
    </row>
    <row r="3656" customFormat="false" ht="15" hidden="false" customHeight="false" outlineLevel="0" collapsed="false">
      <c r="L3656" s="37" t="str">
        <f aca="false">IF(C3656="","",IF(C3656&lt;=5,"Night (00-05)",IF(C3656&lt;=11,"Morning (06-11)",IF(C3656&lt;=16,"Afternoon (12-16)",IF(C3656&lt;=20,"Evening (17-20)","Late (21-23)")))))</f>
        <v/>
      </c>
    </row>
    <row r="3657" customFormat="false" ht="15" hidden="false" customHeight="false" outlineLevel="0" collapsed="false">
      <c r="L3657" s="37" t="str">
        <f aca="false">IF(C3657="","",IF(C3657&lt;=5,"Night (00-05)",IF(C3657&lt;=11,"Morning (06-11)",IF(C3657&lt;=16,"Afternoon (12-16)",IF(C3657&lt;=20,"Evening (17-20)","Late (21-23)")))))</f>
        <v/>
      </c>
    </row>
    <row r="3658" customFormat="false" ht="15" hidden="false" customHeight="false" outlineLevel="0" collapsed="false">
      <c r="L3658" s="37" t="str">
        <f aca="false">IF(C3658="","",IF(C3658&lt;=5,"Night (00-05)",IF(C3658&lt;=11,"Morning (06-11)",IF(C3658&lt;=16,"Afternoon (12-16)",IF(C3658&lt;=20,"Evening (17-20)","Late (21-23)")))))</f>
        <v/>
      </c>
    </row>
    <row r="3659" customFormat="false" ht="15" hidden="false" customHeight="false" outlineLevel="0" collapsed="false">
      <c r="L3659" s="37" t="str">
        <f aca="false">IF(C3659="","",IF(C3659&lt;=5,"Night (00-05)",IF(C3659&lt;=11,"Morning (06-11)",IF(C3659&lt;=16,"Afternoon (12-16)",IF(C3659&lt;=20,"Evening (17-20)","Late (21-23)")))))</f>
        <v/>
      </c>
    </row>
    <row r="3660" customFormat="false" ht="15" hidden="false" customHeight="false" outlineLevel="0" collapsed="false">
      <c r="L3660" s="37" t="str">
        <f aca="false">IF(C3660="","",IF(C3660&lt;=5,"Night (00-05)",IF(C3660&lt;=11,"Morning (06-11)",IF(C3660&lt;=16,"Afternoon (12-16)",IF(C3660&lt;=20,"Evening (17-20)","Late (21-23)")))))</f>
        <v/>
      </c>
    </row>
    <row r="3661" customFormat="false" ht="15" hidden="false" customHeight="false" outlineLevel="0" collapsed="false">
      <c r="L3661" s="37" t="str">
        <f aca="false">IF(C3661="","",IF(C3661&lt;=5,"Night (00-05)",IF(C3661&lt;=11,"Morning (06-11)",IF(C3661&lt;=16,"Afternoon (12-16)",IF(C3661&lt;=20,"Evening (17-20)","Late (21-23)")))))</f>
        <v/>
      </c>
    </row>
    <row r="3662" customFormat="false" ht="15" hidden="false" customHeight="false" outlineLevel="0" collapsed="false">
      <c r="L3662" s="37" t="str">
        <f aca="false">IF(C3662="","",IF(C3662&lt;=5,"Night (00-05)",IF(C3662&lt;=11,"Morning (06-11)",IF(C3662&lt;=16,"Afternoon (12-16)",IF(C3662&lt;=20,"Evening (17-20)","Late (21-23)")))))</f>
        <v/>
      </c>
    </row>
    <row r="3663" customFormat="false" ht="15" hidden="false" customHeight="false" outlineLevel="0" collapsed="false">
      <c r="L3663" s="37" t="str">
        <f aca="false">IF(C3663="","",IF(C3663&lt;=5,"Night (00-05)",IF(C3663&lt;=11,"Morning (06-11)",IF(C3663&lt;=16,"Afternoon (12-16)",IF(C3663&lt;=20,"Evening (17-20)","Late (21-23)")))))</f>
        <v/>
      </c>
    </row>
    <row r="3664" customFormat="false" ht="15" hidden="false" customHeight="false" outlineLevel="0" collapsed="false">
      <c r="L3664" s="37" t="str">
        <f aca="false">IF(C3664="","",IF(C3664&lt;=5,"Night (00-05)",IF(C3664&lt;=11,"Morning (06-11)",IF(C3664&lt;=16,"Afternoon (12-16)",IF(C3664&lt;=20,"Evening (17-20)","Late (21-23)")))))</f>
        <v/>
      </c>
    </row>
    <row r="3665" customFormat="false" ht="15" hidden="false" customHeight="false" outlineLevel="0" collapsed="false">
      <c r="L3665" s="37" t="str">
        <f aca="false">IF(C3665="","",IF(C3665&lt;=5,"Night (00-05)",IF(C3665&lt;=11,"Morning (06-11)",IF(C3665&lt;=16,"Afternoon (12-16)",IF(C3665&lt;=20,"Evening (17-20)","Late (21-23)")))))</f>
        <v/>
      </c>
    </row>
    <row r="3666" customFormat="false" ht="15" hidden="false" customHeight="false" outlineLevel="0" collapsed="false">
      <c r="L3666" s="37" t="str">
        <f aca="false">IF(C3666="","",IF(C3666&lt;=5,"Night (00-05)",IF(C3666&lt;=11,"Morning (06-11)",IF(C3666&lt;=16,"Afternoon (12-16)",IF(C3666&lt;=20,"Evening (17-20)","Late (21-23)")))))</f>
        <v/>
      </c>
    </row>
    <row r="3667" customFormat="false" ht="15" hidden="false" customHeight="false" outlineLevel="0" collapsed="false">
      <c r="L3667" s="37" t="str">
        <f aca="false">IF(C3667="","",IF(C3667&lt;=5,"Night (00-05)",IF(C3667&lt;=11,"Morning (06-11)",IF(C3667&lt;=16,"Afternoon (12-16)",IF(C3667&lt;=20,"Evening (17-20)","Late (21-23)")))))</f>
        <v/>
      </c>
    </row>
    <row r="3668" customFormat="false" ht="15" hidden="false" customHeight="false" outlineLevel="0" collapsed="false">
      <c r="L3668" s="37" t="str">
        <f aca="false">IF(C3668="","",IF(C3668&lt;=5,"Night (00-05)",IF(C3668&lt;=11,"Morning (06-11)",IF(C3668&lt;=16,"Afternoon (12-16)",IF(C3668&lt;=20,"Evening (17-20)","Late (21-23)")))))</f>
        <v/>
      </c>
    </row>
    <row r="3669" customFormat="false" ht="15" hidden="false" customHeight="false" outlineLevel="0" collapsed="false">
      <c r="L3669" s="37" t="str">
        <f aca="false">IF(C3669="","",IF(C3669&lt;=5,"Night (00-05)",IF(C3669&lt;=11,"Morning (06-11)",IF(C3669&lt;=16,"Afternoon (12-16)",IF(C3669&lt;=20,"Evening (17-20)","Late (21-23)")))))</f>
        <v/>
      </c>
    </row>
    <row r="3670" customFormat="false" ht="15" hidden="false" customHeight="false" outlineLevel="0" collapsed="false">
      <c r="L3670" s="37" t="str">
        <f aca="false">IF(C3670="","",IF(C3670&lt;=5,"Night (00-05)",IF(C3670&lt;=11,"Morning (06-11)",IF(C3670&lt;=16,"Afternoon (12-16)",IF(C3670&lt;=20,"Evening (17-20)","Late (21-23)")))))</f>
        <v/>
      </c>
    </row>
    <row r="3671" customFormat="false" ht="15" hidden="false" customHeight="false" outlineLevel="0" collapsed="false">
      <c r="L3671" s="37" t="str">
        <f aca="false">IF(C3671="","",IF(C3671&lt;=5,"Night (00-05)",IF(C3671&lt;=11,"Morning (06-11)",IF(C3671&lt;=16,"Afternoon (12-16)",IF(C3671&lt;=20,"Evening (17-20)","Late (21-23)")))))</f>
        <v/>
      </c>
    </row>
    <row r="3672" customFormat="false" ht="15" hidden="false" customHeight="false" outlineLevel="0" collapsed="false">
      <c r="L3672" s="37" t="str">
        <f aca="false">IF(C3672="","",IF(C3672&lt;=5,"Night (00-05)",IF(C3672&lt;=11,"Morning (06-11)",IF(C3672&lt;=16,"Afternoon (12-16)",IF(C3672&lt;=20,"Evening (17-20)","Late (21-23)")))))</f>
        <v/>
      </c>
    </row>
    <row r="3673" customFormat="false" ht="15" hidden="false" customHeight="false" outlineLevel="0" collapsed="false">
      <c r="L3673" s="37" t="str">
        <f aca="false">IF(C3673="","",IF(C3673&lt;=5,"Night (00-05)",IF(C3673&lt;=11,"Morning (06-11)",IF(C3673&lt;=16,"Afternoon (12-16)",IF(C3673&lt;=20,"Evening (17-20)","Late (21-23)")))))</f>
        <v/>
      </c>
    </row>
    <row r="3674" customFormat="false" ht="15" hidden="false" customHeight="false" outlineLevel="0" collapsed="false">
      <c r="L3674" s="37" t="str">
        <f aca="false">IF(C3674="","",IF(C3674&lt;=5,"Night (00-05)",IF(C3674&lt;=11,"Morning (06-11)",IF(C3674&lt;=16,"Afternoon (12-16)",IF(C3674&lt;=20,"Evening (17-20)","Late (21-23)")))))</f>
        <v/>
      </c>
    </row>
    <row r="3675" customFormat="false" ht="15" hidden="false" customHeight="false" outlineLevel="0" collapsed="false">
      <c r="L3675" s="37" t="str">
        <f aca="false">IF(C3675="","",IF(C3675&lt;=5,"Night (00-05)",IF(C3675&lt;=11,"Morning (06-11)",IF(C3675&lt;=16,"Afternoon (12-16)",IF(C3675&lt;=20,"Evening (17-20)","Late (21-23)")))))</f>
        <v/>
      </c>
    </row>
    <row r="3676" customFormat="false" ht="15" hidden="false" customHeight="false" outlineLevel="0" collapsed="false">
      <c r="L3676" s="37" t="str">
        <f aca="false">IF(C3676="","",IF(C3676&lt;=5,"Night (00-05)",IF(C3676&lt;=11,"Morning (06-11)",IF(C3676&lt;=16,"Afternoon (12-16)",IF(C3676&lt;=20,"Evening (17-20)","Late (21-23)")))))</f>
        <v/>
      </c>
    </row>
    <row r="3677" customFormat="false" ht="15" hidden="false" customHeight="false" outlineLevel="0" collapsed="false">
      <c r="L3677" s="37" t="str">
        <f aca="false">IF(C3677="","",IF(C3677&lt;=5,"Night (00-05)",IF(C3677&lt;=11,"Morning (06-11)",IF(C3677&lt;=16,"Afternoon (12-16)",IF(C3677&lt;=20,"Evening (17-20)","Late (21-23)")))))</f>
        <v/>
      </c>
    </row>
    <row r="3678" customFormat="false" ht="15" hidden="false" customHeight="false" outlineLevel="0" collapsed="false">
      <c r="L3678" s="37" t="str">
        <f aca="false">IF(C3678="","",IF(C3678&lt;=5,"Night (00-05)",IF(C3678&lt;=11,"Morning (06-11)",IF(C3678&lt;=16,"Afternoon (12-16)",IF(C3678&lt;=20,"Evening (17-20)","Late (21-23)")))))</f>
        <v/>
      </c>
    </row>
    <row r="3679" customFormat="false" ht="15" hidden="false" customHeight="false" outlineLevel="0" collapsed="false">
      <c r="L3679" s="37" t="str">
        <f aca="false">IF(C3679="","",IF(C3679&lt;=5,"Night (00-05)",IF(C3679&lt;=11,"Morning (06-11)",IF(C3679&lt;=16,"Afternoon (12-16)",IF(C3679&lt;=20,"Evening (17-20)","Late (21-23)")))))</f>
        <v/>
      </c>
    </row>
    <row r="3680" customFormat="false" ht="15" hidden="false" customHeight="false" outlineLevel="0" collapsed="false">
      <c r="L3680" s="37" t="str">
        <f aca="false">IF(C3680="","",IF(C3680&lt;=5,"Night (00-05)",IF(C3680&lt;=11,"Morning (06-11)",IF(C3680&lt;=16,"Afternoon (12-16)",IF(C3680&lt;=20,"Evening (17-20)","Late (21-23)")))))</f>
        <v/>
      </c>
    </row>
    <row r="3681" customFormat="false" ht="15" hidden="false" customHeight="false" outlineLevel="0" collapsed="false">
      <c r="L3681" s="37" t="str">
        <f aca="false">IF(C3681="","",IF(C3681&lt;=5,"Night (00-05)",IF(C3681&lt;=11,"Morning (06-11)",IF(C3681&lt;=16,"Afternoon (12-16)",IF(C3681&lt;=20,"Evening (17-20)","Late (21-23)")))))</f>
        <v/>
      </c>
    </row>
    <row r="3682" customFormat="false" ht="15" hidden="false" customHeight="false" outlineLevel="0" collapsed="false">
      <c r="L3682" s="37" t="str">
        <f aca="false">IF(C3682="","",IF(C3682&lt;=5,"Night (00-05)",IF(C3682&lt;=11,"Morning (06-11)",IF(C3682&lt;=16,"Afternoon (12-16)",IF(C3682&lt;=20,"Evening (17-20)","Late (21-23)")))))</f>
        <v/>
      </c>
    </row>
    <row r="3683" customFormat="false" ht="15" hidden="false" customHeight="false" outlineLevel="0" collapsed="false">
      <c r="L3683" s="37" t="str">
        <f aca="false">IF(C3683="","",IF(C3683&lt;=5,"Night (00-05)",IF(C3683&lt;=11,"Morning (06-11)",IF(C3683&lt;=16,"Afternoon (12-16)",IF(C3683&lt;=20,"Evening (17-20)","Late (21-23)")))))</f>
        <v/>
      </c>
    </row>
    <row r="3684" customFormat="false" ht="15" hidden="false" customHeight="false" outlineLevel="0" collapsed="false">
      <c r="L3684" s="37" t="str">
        <f aca="false">IF(C3684="","",IF(C3684&lt;=5,"Night (00-05)",IF(C3684&lt;=11,"Morning (06-11)",IF(C3684&lt;=16,"Afternoon (12-16)",IF(C3684&lt;=20,"Evening (17-20)","Late (21-23)")))))</f>
        <v/>
      </c>
    </row>
    <row r="3685" customFormat="false" ht="15" hidden="false" customHeight="false" outlineLevel="0" collapsed="false">
      <c r="L3685" s="37" t="str">
        <f aca="false">IF(C3685="","",IF(C3685&lt;=5,"Night (00-05)",IF(C3685&lt;=11,"Morning (06-11)",IF(C3685&lt;=16,"Afternoon (12-16)",IF(C3685&lt;=20,"Evening (17-20)","Late (21-23)")))))</f>
        <v/>
      </c>
    </row>
    <row r="3686" customFormat="false" ht="15" hidden="false" customHeight="false" outlineLevel="0" collapsed="false">
      <c r="L3686" s="37" t="str">
        <f aca="false">IF(C3686="","",IF(C3686&lt;=5,"Night (00-05)",IF(C3686&lt;=11,"Morning (06-11)",IF(C3686&lt;=16,"Afternoon (12-16)",IF(C3686&lt;=20,"Evening (17-20)","Late (21-23)")))))</f>
        <v/>
      </c>
    </row>
    <row r="3687" customFormat="false" ht="15" hidden="false" customHeight="false" outlineLevel="0" collapsed="false">
      <c r="L3687" s="37" t="str">
        <f aca="false">IF(C3687="","",IF(C3687&lt;=5,"Night (00-05)",IF(C3687&lt;=11,"Morning (06-11)",IF(C3687&lt;=16,"Afternoon (12-16)",IF(C3687&lt;=20,"Evening (17-20)","Late (21-23)")))))</f>
        <v/>
      </c>
    </row>
    <row r="3688" customFormat="false" ht="15" hidden="false" customHeight="false" outlineLevel="0" collapsed="false">
      <c r="L3688" s="37" t="str">
        <f aca="false">IF(C3688="","",IF(C3688&lt;=5,"Night (00-05)",IF(C3688&lt;=11,"Morning (06-11)",IF(C3688&lt;=16,"Afternoon (12-16)",IF(C3688&lt;=20,"Evening (17-20)","Late (21-23)")))))</f>
        <v/>
      </c>
    </row>
    <row r="3689" customFormat="false" ht="15" hidden="false" customHeight="false" outlineLevel="0" collapsed="false">
      <c r="L3689" s="37" t="str">
        <f aca="false">IF(C3689="","",IF(C3689&lt;=5,"Night (00-05)",IF(C3689&lt;=11,"Morning (06-11)",IF(C3689&lt;=16,"Afternoon (12-16)",IF(C3689&lt;=20,"Evening (17-20)","Late (21-23)")))))</f>
        <v/>
      </c>
    </row>
    <row r="3690" customFormat="false" ht="15" hidden="false" customHeight="false" outlineLevel="0" collapsed="false">
      <c r="L3690" s="37" t="str">
        <f aca="false">IF(C3690="","",IF(C3690&lt;=5,"Night (00-05)",IF(C3690&lt;=11,"Morning (06-11)",IF(C3690&lt;=16,"Afternoon (12-16)",IF(C3690&lt;=20,"Evening (17-20)","Late (21-23)")))))</f>
        <v/>
      </c>
    </row>
    <row r="3691" customFormat="false" ht="15" hidden="false" customHeight="false" outlineLevel="0" collapsed="false">
      <c r="L3691" s="37" t="str">
        <f aca="false">IF(C3691="","",IF(C3691&lt;=5,"Night (00-05)",IF(C3691&lt;=11,"Morning (06-11)",IF(C3691&lt;=16,"Afternoon (12-16)",IF(C3691&lt;=20,"Evening (17-20)","Late (21-23)")))))</f>
        <v/>
      </c>
    </row>
    <row r="3692" customFormat="false" ht="15" hidden="false" customHeight="false" outlineLevel="0" collapsed="false">
      <c r="L3692" s="37" t="str">
        <f aca="false">IF(C3692="","",IF(C3692&lt;=5,"Night (00-05)",IF(C3692&lt;=11,"Morning (06-11)",IF(C3692&lt;=16,"Afternoon (12-16)",IF(C3692&lt;=20,"Evening (17-20)","Late (21-23)")))))</f>
        <v/>
      </c>
    </row>
    <row r="3693" customFormat="false" ht="15" hidden="false" customHeight="false" outlineLevel="0" collapsed="false">
      <c r="L3693" s="37" t="str">
        <f aca="false">IF(C3693="","",IF(C3693&lt;=5,"Night (00-05)",IF(C3693&lt;=11,"Morning (06-11)",IF(C3693&lt;=16,"Afternoon (12-16)",IF(C3693&lt;=20,"Evening (17-20)","Late (21-23)")))))</f>
        <v/>
      </c>
    </row>
    <row r="3694" customFormat="false" ht="15" hidden="false" customHeight="false" outlineLevel="0" collapsed="false">
      <c r="L3694" s="37" t="str">
        <f aca="false">IF(C3694="","",IF(C3694&lt;=5,"Night (00-05)",IF(C3694&lt;=11,"Morning (06-11)",IF(C3694&lt;=16,"Afternoon (12-16)",IF(C3694&lt;=20,"Evening (17-20)","Late (21-23)")))))</f>
        <v/>
      </c>
    </row>
    <row r="3695" customFormat="false" ht="15" hidden="false" customHeight="false" outlineLevel="0" collapsed="false">
      <c r="L3695" s="37" t="str">
        <f aca="false">IF(C3695="","",IF(C3695&lt;=5,"Night (00-05)",IF(C3695&lt;=11,"Morning (06-11)",IF(C3695&lt;=16,"Afternoon (12-16)",IF(C3695&lt;=20,"Evening (17-20)","Late (21-23)")))))</f>
        <v/>
      </c>
    </row>
    <row r="3696" customFormat="false" ht="15" hidden="false" customHeight="false" outlineLevel="0" collapsed="false">
      <c r="L3696" s="37" t="str">
        <f aca="false">IF(C3696="","",IF(C3696&lt;=5,"Night (00-05)",IF(C3696&lt;=11,"Morning (06-11)",IF(C3696&lt;=16,"Afternoon (12-16)",IF(C3696&lt;=20,"Evening (17-20)","Late (21-23)")))))</f>
        <v/>
      </c>
    </row>
    <row r="3697" customFormat="false" ht="15" hidden="false" customHeight="false" outlineLevel="0" collapsed="false">
      <c r="L3697" s="37" t="str">
        <f aca="false">IF(C3697="","",IF(C3697&lt;=5,"Night (00-05)",IF(C3697&lt;=11,"Morning (06-11)",IF(C3697&lt;=16,"Afternoon (12-16)",IF(C3697&lt;=20,"Evening (17-20)","Late (21-23)")))))</f>
        <v/>
      </c>
    </row>
    <row r="3698" customFormat="false" ht="15" hidden="false" customHeight="false" outlineLevel="0" collapsed="false">
      <c r="L3698" s="37" t="str">
        <f aca="false">IF(C3698="","",IF(C3698&lt;=5,"Night (00-05)",IF(C3698&lt;=11,"Morning (06-11)",IF(C3698&lt;=16,"Afternoon (12-16)",IF(C3698&lt;=20,"Evening (17-20)","Late (21-23)")))))</f>
        <v/>
      </c>
    </row>
    <row r="3699" customFormat="false" ht="15" hidden="false" customHeight="false" outlineLevel="0" collapsed="false">
      <c r="L3699" s="37" t="str">
        <f aca="false">IF(C3699="","",IF(C3699&lt;=5,"Night (00-05)",IF(C3699&lt;=11,"Morning (06-11)",IF(C3699&lt;=16,"Afternoon (12-16)",IF(C3699&lt;=20,"Evening (17-20)","Late (21-23)")))))</f>
        <v/>
      </c>
    </row>
    <row r="3700" customFormat="false" ht="15" hidden="false" customHeight="false" outlineLevel="0" collapsed="false">
      <c r="L3700" s="37" t="str">
        <f aca="false">IF(C3700="","",IF(C3700&lt;=5,"Night (00-05)",IF(C3700&lt;=11,"Morning (06-11)",IF(C3700&lt;=16,"Afternoon (12-16)",IF(C3700&lt;=20,"Evening (17-20)","Late (21-23)")))))</f>
        <v/>
      </c>
    </row>
    <row r="3701" customFormat="false" ht="15" hidden="false" customHeight="false" outlineLevel="0" collapsed="false">
      <c r="L3701" s="37" t="str">
        <f aca="false">IF(C3701="","",IF(C3701&lt;=5,"Night (00-05)",IF(C3701&lt;=11,"Morning (06-11)",IF(C3701&lt;=16,"Afternoon (12-16)",IF(C3701&lt;=20,"Evening (17-20)","Late (21-23)")))))</f>
        <v/>
      </c>
    </row>
    <row r="3702" customFormat="false" ht="15" hidden="false" customHeight="false" outlineLevel="0" collapsed="false">
      <c r="L3702" s="37" t="str">
        <f aca="false">IF(C3702="","",IF(C3702&lt;=5,"Night (00-05)",IF(C3702&lt;=11,"Morning (06-11)",IF(C3702&lt;=16,"Afternoon (12-16)",IF(C3702&lt;=20,"Evening (17-20)","Late (21-23)")))))</f>
        <v/>
      </c>
    </row>
    <row r="3703" customFormat="false" ht="15" hidden="false" customHeight="false" outlineLevel="0" collapsed="false">
      <c r="L3703" s="37" t="str">
        <f aca="false">IF(C3703="","",IF(C3703&lt;=5,"Night (00-05)",IF(C3703&lt;=11,"Morning (06-11)",IF(C3703&lt;=16,"Afternoon (12-16)",IF(C3703&lt;=20,"Evening (17-20)","Late (21-23)")))))</f>
        <v/>
      </c>
    </row>
    <row r="3704" customFormat="false" ht="15" hidden="false" customHeight="false" outlineLevel="0" collapsed="false">
      <c r="L3704" s="37" t="str">
        <f aca="false">IF(C3704="","",IF(C3704&lt;=5,"Night (00-05)",IF(C3704&lt;=11,"Morning (06-11)",IF(C3704&lt;=16,"Afternoon (12-16)",IF(C3704&lt;=20,"Evening (17-20)","Late (21-23)")))))</f>
        <v/>
      </c>
    </row>
    <row r="3705" customFormat="false" ht="15" hidden="false" customHeight="false" outlineLevel="0" collapsed="false">
      <c r="L3705" s="37" t="str">
        <f aca="false">IF(C3705="","",IF(C3705&lt;=5,"Night (00-05)",IF(C3705&lt;=11,"Morning (06-11)",IF(C3705&lt;=16,"Afternoon (12-16)",IF(C3705&lt;=20,"Evening (17-20)","Late (21-23)")))))</f>
        <v/>
      </c>
    </row>
    <row r="3706" customFormat="false" ht="15" hidden="false" customHeight="false" outlineLevel="0" collapsed="false">
      <c r="L3706" s="37" t="str">
        <f aca="false">IF(C3706="","",IF(C3706&lt;=5,"Night (00-05)",IF(C3706&lt;=11,"Morning (06-11)",IF(C3706&lt;=16,"Afternoon (12-16)",IF(C3706&lt;=20,"Evening (17-20)","Late (21-23)")))))</f>
        <v/>
      </c>
    </row>
    <row r="3707" customFormat="false" ht="15" hidden="false" customHeight="false" outlineLevel="0" collapsed="false">
      <c r="L3707" s="37" t="str">
        <f aca="false">IF(C3707="","",IF(C3707&lt;=5,"Night (00-05)",IF(C3707&lt;=11,"Morning (06-11)",IF(C3707&lt;=16,"Afternoon (12-16)",IF(C3707&lt;=20,"Evening (17-20)","Late (21-23)")))))</f>
        <v/>
      </c>
    </row>
    <row r="3708" customFormat="false" ht="15" hidden="false" customHeight="false" outlineLevel="0" collapsed="false">
      <c r="L3708" s="37" t="str">
        <f aca="false">IF(C3708="","",IF(C3708&lt;=5,"Night (00-05)",IF(C3708&lt;=11,"Morning (06-11)",IF(C3708&lt;=16,"Afternoon (12-16)",IF(C3708&lt;=20,"Evening (17-20)","Late (21-23)")))))</f>
        <v/>
      </c>
    </row>
    <row r="3709" customFormat="false" ht="15" hidden="false" customHeight="false" outlineLevel="0" collapsed="false">
      <c r="L3709" s="37" t="str">
        <f aca="false">IF(C3709="","",IF(C3709&lt;=5,"Night (00-05)",IF(C3709&lt;=11,"Morning (06-11)",IF(C3709&lt;=16,"Afternoon (12-16)",IF(C3709&lt;=20,"Evening (17-20)","Late (21-23)")))))</f>
        <v/>
      </c>
    </row>
    <row r="3710" customFormat="false" ht="15" hidden="false" customHeight="false" outlineLevel="0" collapsed="false">
      <c r="L3710" s="37" t="str">
        <f aca="false">IF(C3710="","",IF(C3710&lt;=5,"Night (00-05)",IF(C3710&lt;=11,"Morning (06-11)",IF(C3710&lt;=16,"Afternoon (12-16)",IF(C3710&lt;=20,"Evening (17-20)","Late (21-23)")))))</f>
        <v/>
      </c>
    </row>
    <row r="3711" customFormat="false" ht="15" hidden="false" customHeight="false" outlineLevel="0" collapsed="false">
      <c r="L3711" s="37" t="str">
        <f aca="false">IF(C3711="","",IF(C3711&lt;=5,"Night (00-05)",IF(C3711&lt;=11,"Morning (06-11)",IF(C3711&lt;=16,"Afternoon (12-16)",IF(C3711&lt;=20,"Evening (17-20)","Late (21-23)")))))</f>
        <v/>
      </c>
    </row>
    <row r="3712" customFormat="false" ht="15" hidden="false" customHeight="false" outlineLevel="0" collapsed="false">
      <c r="L3712" s="37" t="str">
        <f aca="false">IF(C3712="","",IF(C3712&lt;=5,"Night (00-05)",IF(C3712&lt;=11,"Morning (06-11)",IF(C3712&lt;=16,"Afternoon (12-16)",IF(C3712&lt;=20,"Evening (17-20)","Late (21-23)")))))</f>
        <v/>
      </c>
    </row>
    <row r="3713" customFormat="false" ht="15" hidden="false" customHeight="false" outlineLevel="0" collapsed="false">
      <c r="L3713" s="37" t="str">
        <f aca="false">IF(C3713="","",IF(C3713&lt;=5,"Night (00-05)",IF(C3713&lt;=11,"Morning (06-11)",IF(C3713&lt;=16,"Afternoon (12-16)",IF(C3713&lt;=20,"Evening (17-20)","Late (21-23)")))))</f>
        <v/>
      </c>
    </row>
    <row r="3714" customFormat="false" ht="15" hidden="false" customHeight="false" outlineLevel="0" collapsed="false">
      <c r="L3714" s="37" t="str">
        <f aca="false">IF(C3714="","",IF(C3714&lt;=5,"Night (00-05)",IF(C3714&lt;=11,"Morning (06-11)",IF(C3714&lt;=16,"Afternoon (12-16)",IF(C3714&lt;=20,"Evening (17-20)","Late (21-23)")))))</f>
        <v/>
      </c>
    </row>
    <row r="3715" customFormat="false" ht="15" hidden="false" customHeight="false" outlineLevel="0" collapsed="false">
      <c r="L3715" s="37" t="str">
        <f aca="false">IF(C3715="","",IF(C3715&lt;=5,"Night (00-05)",IF(C3715&lt;=11,"Morning (06-11)",IF(C3715&lt;=16,"Afternoon (12-16)",IF(C3715&lt;=20,"Evening (17-20)","Late (21-23)")))))</f>
        <v/>
      </c>
    </row>
    <row r="3716" customFormat="false" ht="15" hidden="false" customHeight="false" outlineLevel="0" collapsed="false">
      <c r="L3716" s="37" t="str">
        <f aca="false">IF(C3716="","",IF(C3716&lt;=5,"Night (00-05)",IF(C3716&lt;=11,"Morning (06-11)",IF(C3716&lt;=16,"Afternoon (12-16)",IF(C3716&lt;=20,"Evening (17-20)","Late (21-23)")))))</f>
        <v/>
      </c>
    </row>
    <row r="3717" customFormat="false" ht="15" hidden="false" customHeight="false" outlineLevel="0" collapsed="false">
      <c r="L3717" s="37" t="str">
        <f aca="false">IF(C3717="","",IF(C3717&lt;=5,"Night (00-05)",IF(C3717&lt;=11,"Morning (06-11)",IF(C3717&lt;=16,"Afternoon (12-16)",IF(C3717&lt;=20,"Evening (17-20)","Late (21-23)")))))</f>
        <v/>
      </c>
    </row>
    <row r="3718" customFormat="false" ht="15" hidden="false" customHeight="false" outlineLevel="0" collapsed="false">
      <c r="L3718" s="37" t="str">
        <f aca="false">IF(C3718="","",IF(C3718&lt;=5,"Night (00-05)",IF(C3718&lt;=11,"Morning (06-11)",IF(C3718&lt;=16,"Afternoon (12-16)",IF(C3718&lt;=20,"Evening (17-20)","Late (21-23)")))))</f>
        <v/>
      </c>
    </row>
    <row r="3719" customFormat="false" ht="15" hidden="false" customHeight="false" outlineLevel="0" collapsed="false">
      <c r="L3719" s="37" t="str">
        <f aca="false">IF(C3719="","",IF(C3719&lt;=5,"Night (00-05)",IF(C3719&lt;=11,"Morning (06-11)",IF(C3719&lt;=16,"Afternoon (12-16)",IF(C3719&lt;=20,"Evening (17-20)","Late (21-23)")))))</f>
        <v/>
      </c>
    </row>
    <row r="3720" customFormat="false" ht="15" hidden="false" customHeight="false" outlineLevel="0" collapsed="false">
      <c r="L3720" s="37" t="str">
        <f aca="false">IF(C3720="","",IF(C3720&lt;=5,"Night (00-05)",IF(C3720&lt;=11,"Morning (06-11)",IF(C3720&lt;=16,"Afternoon (12-16)",IF(C3720&lt;=20,"Evening (17-20)","Late (21-23)")))))</f>
        <v/>
      </c>
    </row>
    <row r="3721" customFormat="false" ht="15" hidden="false" customHeight="false" outlineLevel="0" collapsed="false">
      <c r="L3721" s="37" t="str">
        <f aca="false">IF(C3721="","",IF(C3721&lt;=5,"Night (00-05)",IF(C3721&lt;=11,"Morning (06-11)",IF(C3721&lt;=16,"Afternoon (12-16)",IF(C3721&lt;=20,"Evening (17-20)","Late (21-23)")))))</f>
        <v/>
      </c>
    </row>
    <row r="3722" customFormat="false" ht="15" hidden="false" customHeight="false" outlineLevel="0" collapsed="false">
      <c r="L3722" s="37" t="str">
        <f aca="false">IF(C3722="","",IF(C3722&lt;=5,"Night (00-05)",IF(C3722&lt;=11,"Morning (06-11)",IF(C3722&lt;=16,"Afternoon (12-16)",IF(C3722&lt;=20,"Evening (17-20)","Late (21-23)")))))</f>
        <v/>
      </c>
    </row>
    <row r="3723" customFormat="false" ht="15" hidden="false" customHeight="false" outlineLevel="0" collapsed="false">
      <c r="L3723" s="37" t="str">
        <f aca="false">IF(C3723="","",IF(C3723&lt;=5,"Night (00-05)",IF(C3723&lt;=11,"Morning (06-11)",IF(C3723&lt;=16,"Afternoon (12-16)",IF(C3723&lt;=20,"Evening (17-20)","Late (21-23)")))))</f>
        <v/>
      </c>
    </row>
    <row r="3724" customFormat="false" ht="15" hidden="false" customHeight="false" outlineLevel="0" collapsed="false">
      <c r="L3724" s="37" t="str">
        <f aca="false">IF(C3724="","",IF(C3724&lt;=5,"Night (00-05)",IF(C3724&lt;=11,"Morning (06-11)",IF(C3724&lt;=16,"Afternoon (12-16)",IF(C3724&lt;=20,"Evening (17-20)","Late (21-23)")))))</f>
        <v/>
      </c>
    </row>
    <row r="3725" customFormat="false" ht="15" hidden="false" customHeight="false" outlineLevel="0" collapsed="false">
      <c r="L3725" s="37" t="str">
        <f aca="false">IF(C3725="","",IF(C3725&lt;=5,"Night (00-05)",IF(C3725&lt;=11,"Morning (06-11)",IF(C3725&lt;=16,"Afternoon (12-16)",IF(C3725&lt;=20,"Evening (17-20)","Late (21-23)")))))</f>
        <v/>
      </c>
    </row>
    <row r="3726" customFormat="false" ht="15" hidden="false" customHeight="false" outlineLevel="0" collapsed="false">
      <c r="L3726" s="37" t="str">
        <f aca="false">IF(C3726="","",IF(C3726&lt;=5,"Night (00-05)",IF(C3726&lt;=11,"Morning (06-11)",IF(C3726&lt;=16,"Afternoon (12-16)",IF(C3726&lt;=20,"Evening (17-20)","Late (21-23)")))))</f>
        <v/>
      </c>
    </row>
    <row r="3727" customFormat="false" ht="15" hidden="false" customHeight="false" outlineLevel="0" collapsed="false">
      <c r="L3727" s="37" t="str">
        <f aca="false">IF(C3727="","",IF(C3727&lt;=5,"Night (00-05)",IF(C3727&lt;=11,"Morning (06-11)",IF(C3727&lt;=16,"Afternoon (12-16)",IF(C3727&lt;=20,"Evening (17-20)","Late (21-23)")))))</f>
        <v/>
      </c>
    </row>
    <row r="3728" customFormat="false" ht="15" hidden="false" customHeight="false" outlineLevel="0" collapsed="false">
      <c r="L3728" s="37" t="str">
        <f aca="false">IF(C3728="","",IF(C3728&lt;=5,"Night (00-05)",IF(C3728&lt;=11,"Morning (06-11)",IF(C3728&lt;=16,"Afternoon (12-16)",IF(C3728&lt;=20,"Evening (17-20)","Late (21-23)")))))</f>
        <v/>
      </c>
    </row>
    <row r="3729" customFormat="false" ht="15" hidden="false" customHeight="false" outlineLevel="0" collapsed="false">
      <c r="L3729" s="37" t="str">
        <f aca="false">IF(C3729="","",IF(C3729&lt;=5,"Night (00-05)",IF(C3729&lt;=11,"Morning (06-11)",IF(C3729&lt;=16,"Afternoon (12-16)",IF(C3729&lt;=20,"Evening (17-20)","Late (21-23)")))))</f>
        <v/>
      </c>
    </row>
    <row r="3730" customFormat="false" ht="15" hidden="false" customHeight="false" outlineLevel="0" collapsed="false">
      <c r="L3730" s="37" t="str">
        <f aca="false">IF(C3730="","",IF(C3730&lt;=5,"Night (00-05)",IF(C3730&lt;=11,"Morning (06-11)",IF(C3730&lt;=16,"Afternoon (12-16)",IF(C3730&lt;=20,"Evening (17-20)","Late (21-23)")))))</f>
        <v/>
      </c>
    </row>
    <row r="3731" customFormat="false" ht="15" hidden="false" customHeight="false" outlineLevel="0" collapsed="false">
      <c r="L3731" s="37" t="str">
        <f aca="false">IF(C3731="","",IF(C3731&lt;=5,"Night (00-05)",IF(C3731&lt;=11,"Morning (06-11)",IF(C3731&lt;=16,"Afternoon (12-16)",IF(C3731&lt;=20,"Evening (17-20)","Late (21-23)")))))</f>
        <v/>
      </c>
    </row>
    <row r="3732" customFormat="false" ht="15" hidden="false" customHeight="false" outlineLevel="0" collapsed="false">
      <c r="L3732" s="37" t="str">
        <f aca="false">IF(C3732="","",IF(C3732&lt;=5,"Night (00-05)",IF(C3732&lt;=11,"Morning (06-11)",IF(C3732&lt;=16,"Afternoon (12-16)",IF(C3732&lt;=20,"Evening (17-20)","Late (21-23)")))))</f>
        <v/>
      </c>
    </row>
    <row r="3733" customFormat="false" ht="15" hidden="false" customHeight="false" outlineLevel="0" collapsed="false">
      <c r="L3733" s="37" t="str">
        <f aca="false">IF(C3733="","",IF(C3733&lt;=5,"Night (00-05)",IF(C3733&lt;=11,"Morning (06-11)",IF(C3733&lt;=16,"Afternoon (12-16)",IF(C3733&lt;=20,"Evening (17-20)","Late (21-23)")))))</f>
        <v/>
      </c>
    </row>
    <row r="3734" customFormat="false" ht="15" hidden="false" customHeight="false" outlineLevel="0" collapsed="false">
      <c r="L3734" s="37" t="str">
        <f aca="false">IF(C3734="","",IF(C3734&lt;=5,"Night (00-05)",IF(C3734&lt;=11,"Morning (06-11)",IF(C3734&lt;=16,"Afternoon (12-16)",IF(C3734&lt;=20,"Evening (17-20)","Late (21-23)")))))</f>
        <v/>
      </c>
    </row>
    <row r="3735" customFormat="false" ht="15" hidden="false" customHeight="false" outlineLevel="0" collapsed="false">
      <c r="L3735" s="37" t="str">
        <f aca="false">IF(C3735="","",IF(C3735&lt;=5,"Night (00-05)",IF(C3735&lt;=11,"Morning (06-11)",IF(C3735&lt;=16,"Afternoon (12-16)",IF(C3735&lt;=20,"Evening (17-20)","Late (21-23)")))))</f>
        <v/>
      </c>
    </row>
    <row r="3736" customFormat="false" ht="15" hidden="false" customHeight="false" outlineLevel="0" collapsed="false">
      <c r="L3736" s="37" t="str">
        <f aca="false">IF(C3736="","",IF(C3736&lt;=5,"Night (00-05)",IF(C3736&lt;=11,"Morning (06-11)",IF(C3736&lt;=16,"Afternoon (12-16)",IF(C3736&lt;=20,"Evening (17-20)","Late (21-23)")))))</f>
        <v/>
      </c>
    </row>
    <row r="3737" customFormat="false" ht="15" hidden="false" customHeight="false" outlineLevel="0" collapsed="false">
      <c r="L3737" s="37" t="str">
        <f aca="false">IF(C3737="","",IF(C3737&lt;=5,"Night (00-05)",IF(C3737&lt;=11,"Morning (06-11)",IF(C3737&lt;=16,"Afternoon (12-16)",IF(C3737&lt;=20,"Evening (17-20)","Late (21-23)")))))</f>
        <v/>
      </c>
    </row>
    <row r="3738" customFormat="false" ht="15" hidden="false" customHeight="false" outlineLevel="0" collapsed="false">
      <c r="L3738" s="37" t="str">
        <f aca="false">IF(C3738="","",IF(C3738&lt;=5,"Night (00-05)",IF(C3738&lt;=11,"Morning (06-11)",IF(C3738&lt;=16,"Afternoon (12-16)",IF(C3738&lt;=20,"Evening (17-20)","Late (21-23)")))))</f>
        <v/>
      </c>
    </row>
    <row r="3739" customFormat="false" ht="15" hidden="false" customHeight="false" outlineLevel="0" collapsed="false">
      <c r="L3739" s="37" t="str">
        <f aca="false">IF(C3739="","",IF(C3739&lt;=5,"Night (00-05)",IF(C3739&lt;=11,"Morning (06-11)",IF(C3739&lt;=16,"Afternoon (12-16)",IF(C3739&lt;=20,"Evening (17-20)","Late (21-23)")))))</f>
        <v/>
      </c>
    </row>
    <row r="3740" customFormat="false" ht="15" hidden="false" customHeight="false" outlineLevel="0" collapsed="false">
      <c r="L3740" s="37" t="str">
        <f aca="false">IF(C3740="","",IF(C3740&lt;=5,"Night (00-05)",IF(C3740&lt;=11,"Morning (06-11)",IF(C3740&lt;=16,"Afternoon (12-16)",IF(C3740&lt;=20,"Evening (17-20)","Late (21-23)")))))</f>
        <v/>
      </c>
    </row>
    <row r="3741" customFormat="false" ht="15" hidden="false" customHeight="false" outlineLevel="0" collapsed="false">
      <c r="L3741" s="37" t="str">
        <f aca="false">IF(C3741="","",IF(C3741&lt;=5,"Night (00-05)",IF(C3741&lt;=11,"Morning (06-11)",IF(C3741&lt;=16,"Afternoon (12-16)",IF(C3741&lt;=20,"Evening (17-20)","Late (21-23)")))))</f>
        <v/>
      </c>
    </row>
    <row r="3742" customFormat="false" ht="15" hidden="false" customHeight="false" outlineLevel="0" collapsed="false">
      <c r="L3742" s="37" t="str">
        <f aca="false">IF(C3742="","",IF(C3742&lt;=5,"Night (00-05)",IF(C3742&lt;=11,"Morning (06-11)",IF(C3742&lt;=16,"Afternoon (12-16)",IF(C3742&lt;=20,"Evening (17-20)","Late (21-23)")))))</f>
        <v/>
      </c>
    </row>
    <row r="3743" customFormat="false" ht="15" hidden="false" customHeight="false" outlineLevel="0" collapsed="false">
      <c r="L3743" s="37" t="str">
        <f aca="false">IF(C3743="","",IF(C3743&lt;=5,"Night (00-05)",IF(C3743&lt;=11,"Morning (06-11)",IF(C3743&lt;=16,"Afternoon (12-16)",IF(C3743&lt;=20,"Evening (17-20)","Late (21-23)")))))</f>
        <v/>
      </c>
    </row>
    <row r="3744" customFormat="false" ht="15" hidden="false" customHeight="false" outlineLevel="0" collapsed="false">
      <c r="L3744" s="37" t="str">
        <f aca="false">IF(C3744="","",IF(C3744&lt;=5,"Night (00-05)",IF(C3744&lt;=11,"Morning (06-11)",IF(C3744&lt;=16,"Afternoon (12-16)",IF(C3744&lt;=20,"Evening (17-20)","Late (21-23)")))))</f>
        <v/>
      </c>
    </row>
    <row r="3745" customFormat="false" ht="15" hidden="false" customHeight="false" outlineLevel="0" collapsed="false">
      <c r="L3745" s="37" t="str">
        <f aca="false">IF(C3745="","",IF(C3745&lt;=5,"Night (00-05)",IF(C3745&lt;=11,"Morning (06-11)",IF(C3745&lt;=16,"Afternoon (12-16)",IF(C3745&lt;=20,"Evening (17-20)","Late (21-23)")))))</f>
        <v/>
      </c>
    </row>
    <row r="3746" customFormat="false" ht="15" hidden="false" customHeight="false" outlineLevel="0" collapsed="false">
      <c r="L3746" s="37" t="str">
        <f aca="false">IF(C3746="","",IF(C3746&lt;=5,"Night (00-05)",IF(C3746&lt;=11,"Morning (06-11)",IF(C3746&lt;=16,"Afternoon (12-16)",IF(C3746&lt;=20,"Evening (17-20)","Late (21-23)")))))</f>
        <v/>
      </c>
    </row>
    <row r="3747" customFormat="false" ht="15" hidden="false" customHeight="false" outlineLevel="0" collapsed="false">
      <c r="L3747" s="37" t="str">
        <f aca="false">IF(C3747="","",IF(C3747&lt;=5,"Night (00-05)",IF(C3747&lt;=11,"Morning (06-11)",IF(C3747&lt;=16,"Afternoon (12-16)",IF(C3747&lt;=20,"Evening (17-20)","Late (21-23)")))))</f>
        <v/>
      </c>
    </row>
    <row r="3748" customFormat="false" ht="15" hidden="false" customHeight="false" outlineLevel="0" collapsed="false">
      <c r="L3748" s="37" t="str">
        <f aca="false">IF(C3748="","",IF(C3748&lt;=5,"Night (00-05)",IF(C3748&lt;=11,"Morning (06-11)",IF(C3748&lt;=16,"Afternoon (12-16)",IF(C3748&lt;=20,"Evening (17-20)","Late (21-23)")))))</f>
        <v/>
      </c>
    </row>
    <row r="3749" customFormat="false" ht="15" hidden="false" customHeight="false" outlineLevel="0" collapsed="false">
      <c r="L3749" s="37" t="str">
        <f aca="false">IF(C3749="","",IF(C3749&lt;=5,"Night (00-05)",IF(C3749&lt;=11,"Morning (06-11)",IF(C3749&lt;=16,"Afternoon (12-16)",IF(C3749&lt;=20,"Evening (17-20)","Late (21-23)")))))</f>
        <v/>
      </c>
    </row>
    <row r="3750" customFormat="false" ht="15" hidden="false" customHeight="false" outlineLevel="0" collapsed="false">
      <c r="L3750" s="37" t="str">
        <f aca="false">IF(C3750="","",IF(C3750&lt;=5,"Night (00-05)",IF(C3750&lt;=11,"Morning (06-11)",IF(C3750&lt;=16,"Afternoon (12-16)",IF(C3750&lt;=20,"Evening (17-20)","Late (21-23)")))))</f>
        <v/>
      </c>
    </row>
    <row r="3751" customFormat="false" ht="15" hidden="false" customHeight="false" outlineLevel="0" collapsed="false">
      <c r="L3751" s="37" t="str">
        <f aca="false">IF(C3751="","",IF(C3751&lt;=5,"Night (00-05)",IF(C3751&lt;=11,"Morning (06-11)",IF(C3751&lt;=16,"Afternoon (12-16)",IF(C3751&lt;=20,"Evening (17-20)","Late (21-23)")))))</f>
        <v/>
      </c>
    </row>
    <row r="3752" customFormat="false" ht="15" hidden="false" customHeight="false" outlineLevel="0" collapsed="false">
      <c r="L3752" s="37" t="str">
        <f aca="false">IF(C3752="","",IF(C3752&lt;=5,"Night (00-05)",IF(C3752&lt;=11,"Morning (06-11)",IF(C3752&lt;=16,"Afternoon (12-16)",IF(C3752&lt;=20,"Evening (17-20)","Late (21-23)")))))</f>
        <v/>
      </c>
    </row>
    <row r="3753" customFormat="false" ht="15" hidden="false" customHeight="false" outlineLevel="0" collapsed="false">
      <c r="L3753" s="37" t="str">
        <f aca="false">IF(C3753="","",IF(C3753&lt;=5,"Night (00-05)",IF(C3753&lt;=11,"Morning (06-11)",IF(C3753&lt;=16,"Afternoon (12-16)",IF(C3753&lt;=20,"Evening (17-20)","Late (21-23)")))))</f>
        <v/>
      </c>
    </row>
    <row r="3754" customFormat="false" ht="15" hidden="false" customHeight="false" outlineLevel="0" collapsed="false">
      <c r="L3754" s="37" t="str">
        <f aca="false">IF(C3754="","",IF(C3754&lt;=5,"Night (00-05)",IF(C3754&lt;=11,"Morning (06-11)",IF(C3754&lt;=16,"Afternoon (12-16)",IF(C3754&lt;=20,"Evening (17-20)","Late (21-23)")))))</f>
        <v/>
      </c>
    </row>
    <row r="3755" customFormat="false" ht="15" hidden="false" customHeight="false" outlineLevel="0" collapsed="false">
      <c r="L3755" s="37" t="str">
        <f aca="false">IF(C3755="","",IF(C3755&lt;=5,"Night (00-05)",IF(C3755&lt;=11,"Morning (06-11)",IF(C3755&lt;=16,"Afternoon (12-16)",IF(C3755&lt;=20,"Evening (17-20)","Late (21-23)")))))</f>
        <v/>
      </c>
    </row>
    <row r="3756" customFormat="false" ht="15" hidden="false" customHeight="false" outlineLevel="0" collapsed="false">
      <c r="L3756" s="37" t="str">
        <f aca="false">IF(C3756="","",IF(C3756&lt;=5,"Night (00-05)",IF(C3756&lt;=11,"Morning (06-11)",IF(C3756&lt;=16,"Afternoon (12-16)",IF(C3756&lt;=20,"Evening (17-20)","Late (21-23)")))))</f>
        <v/>
      </c>
    </row>
    <row r="3757" customFormat="false" ht="15" hidden="false" customHeight="false" outlineLevel="0" collapsed="false">
      <c r="L3757" s="37" t="str">
        <f aca="false">IF(C3757="","",IF(C3757&lt;=5,"Night (00-05)",IF(C3757&lt;=11,"Morning (06-11)",IF(C3757&lt;=16,"Afternoon (12-16)",IF(C3757&lt;=20,"Evening (17-20)","Late (21-23)")))))</f>
        <v/>
      </c>
    </row>
    <row r="3758" customFormat="false" ht="15" hidden="false" customHeight="false" outlineLevel="0" collapsed="false">
      <c r="L3758" s="37" t="str">
        <f aca="false">IF(C3758="","",IF(C3758&lt;=5,"Night (00-05)",IF(C3758&lt;=11,"Morning (06-11)",IF(C3758&lt;=16,"Afternoon (12-16)",IF(C3758&lt;=20,"Evening (17-20)","Late (21-23)")))))</f>
        <v/>
      </c>
    </row>
    <row r="3759" customFormat="false" ht="15" hidden="false" customHeight="false" outlineLevel="0" collapsed="false">
      <c r="L3759" s="37" t="str">
        <f aca="false">IF(C3759="","",IF(C3759&lt;=5,"Night (00-05)",IF(C3759&lt;=11,"Morning (06-11)",IF(C3759&lt;=16,"Afternoon (12-16)",IF(C3759&lt;=20,"Evening (17-20)","Late (21-23)")))))</f>
        <v/>
      </c>
    </row>
    <row r="3760" customFormat="false" ht="15" hidden="false" customHeight="false" outlineLevel="0" collapsed="false">
      <c r="L3760" s="37" t="str">
        <f aca="false">IF(C3760="","",IF(C3760&lt;=5,"Night (00-05)",IF(C3760&lt;=11,"Morning (06-11)",IF(C3760&lt;=16,"Afternoon (12-16)",IF(C3760&lt;=20,"Evening (17-20)","Late (21-23)")))))</f>
        <v/>
      </c>
    </row>
    <row r="3761" customFormat="false" ht="15" hidden="false" customHeight="false" outlineLevel="0" collapsed="false">
      <c r="L3761" s="37" t="str">
        <f aca="false">IF(C3761="","",IF(C3761&lt;=5,"Night (00-05)",IF(C3761&lt;=11,"Morning (06-11)",IF(C3761&lt;=16,"Afternoon (12-16)",IF(C3761&lt;=20,"Evening (17-20)","Late (21-23)")))))</f>
        <v/>
      </c>
    </row>
    <row r="3762" customFormat="false" ht="15" hidden="false" customHeight="false" outlineLevel="0" collapsed="false">
      <c r="L3762" s="37" t="str">
        <f aca="false">IF(C3762="","",IF(C3762&lt;=5,"Night (00-05)",IF(C3762&lt;=11,"Morning (06-11)",IF(C3762&lt;=16,"Afternoon (12-16)",IF(C3762&lt;=20,"Evening (17-20)","Late (21-23)")))))</f>
        <v/>
      </c>
    </row>
    <row r="3763" customFormat="false" ht="15" hidden="false" customHeight="false" outlineLevel="0" collapsed="false">
      <c r="L3763" s="37" t="str">
        <f aca="false">IF(C3763="","",IF(C3763&lt;=5,"Night (00-05)",IF(C3763&lt;=11,"Morning (06-11)",IF(C3763&lt;=16,"Afternoon (12-16)",IF(C3763&lt;=20,"Evening (17-20)","Late (21-23)")))))</f>
        <v/>
      </c>
    </row>
    <row r="3764" customFormat="false" ht="15" hidden="false" customHeight="false" outlineLevel="0" collapsed="false">
      <c r="L3764" s="37" t="str">
        <f aca="false">IF(C3764="","",IF(C3764&lt;=5,"Night (00-05)",IF(C3764&lt;=11,"Morning (06-11)",IF(C3764&lt;=16,"Afternoon (12-16)",IF(C3764&lt;=20,"Evening (17-20)","Late (21-23)")))))</f>
        <v/>
      </c>
    </row>
    <row r="3765" customFormat="false" ht="15" hidden="false" customHeight="false" outlineLevel="0" collapsed="false">
      <c r="L3765" s="37" t="str">
        <f aca="false">IF(C3765="","",IF(C3765&lt;=5,"Night (00-05)",IF(C3765&lt;=11,"Morning (06-11)",IF(C3765&lt;=16,"Afternoon (12-16)",IF(C3765&lt;=20,"Evening (17-20)","Late (21-23)")))))</f>
        <v/>
      </c>
    </row>
    <row r="3766" customFormat="false" ht="15" hidden="false" customHeight="false" outlineLevel="0" collapsed="false">
      <c r="L3766" s="37" t="str">
        <f aca="false">IF(C3766="","",IF(C3766&lt;=5,"Night (00-05)",IF(C3766&lt;=11,"Morning (06-11)",IF(C3766&lt;=16,"Afternoon (12-16)",IF(C3766&lt;=20,"Evening (17-20)","Late (21-23)")))))</f>
        <v/>
      </c>
    </row>
    <row r="3767" customFormat="false" ht="15" hidden="false" customHeight="false" outlineLevel="0" collapsed="false">
      <c r="L3767" s="37" t="str">
        <f aca="false">IF(C3767="","",IF(C3767&lt;=5,"Night (00-05)",IF(C3767&lt;=11,"Morning (06-11)",IF(C3767&lt;=16,"Afternoon (12-16)",IF(C3767&lt;=20,"Evening (17-20)","Late (21-23)")))))</f>
        <v/>
      </c>
    </row>
    <row r="3768" customFormat="false" ht="15" hidden="false" customHeight="false" outlineLevel="0" collapsed="false">
      <c r="L3768" s="37" t="str">
        <f aca="false">IF(C3768="","",IF(C3768&lt;=5,"Night (00-05)",IF(C3768&lt;=11,"Morning (06-11)",IF(C3768&lt;=16,"Afternoon (12-16)",IF(C3768&lt;=20,"Evening (17-20)","Late (21-23)")))))</f>
        <v/>
      </c>
    </row>
    <row r="3769" customFormat="false" ht="15" hidden="false" customHeight="false" outlineLevel="0" collapsed="false">
      <c r="L3769" s="37" t="str">
        <f aca="false">IF(C3769="","",IF(C3769&lt;=5,"Night (00-05)",IF(C3769&lt;=11,"Morning (06-11)",IF(C3769&lt;=16,"Afternoon (12-16)",IF(C3769&lt;=20,"Evening (17-20)","Late (21-23)")))))</f>
        <v/>
      </c>
    </row>
    <row r="3770" customFormat="false" ht="15" hidden="false" customHeight="false" outlineLevel="0" collapsed="false">
      <c r="L3770" s="37" t="str">
        <f aca="false">IF(C3770="","",IF(C3770&lt;=5,"Night (00-05)",IF(C3770&lt;=11,"Morning (06-11)",IF(C3770&lt;=16,"Afternoon (12-16)",IF(C3770&lt;=20,"Evening (17-20)","Late (21-23)")))))</f>
        <v/>
      </c>
    </row>
    <row r="3771" customFormat="false" ht="15" hidden="false" customHeight="false" outlineLevel="0" collapsed="false">
      <c r="L3771" s="37" t="str">
        <f aca="false">IF(C3771="","",IF(C3771&lt;=5,"Night (00-05)",IF(C3771&lt;=11,"Morning (06-11)",IF(C3771&lt;=16,"Afternoon (12-16)",IF(C3771&lt;=20,"Evening (17-20)","Late (21-23)")))))</f>
        <v/>
      </c>
    </row>
    <row r="3772" customFormat="false" ht="15" hidden="false" customHeight="false" outlineLevel="0" collapsed="false">
      <c r="L3772" s="37" t="str">
        <f aca="false">IF(C3772="","",IF(C3772&lt;=5,"Night (00-05)",IF(C3772&lt;=11,"Morning (06-11)",IF(C3772&lt;=16,"Afternoon (12-16)",IF(C3772&lt;=20,"Evening (17-20)","Late (21-23)")))))</f>
        <v/>
      </c>
    </row>
    <row r="3773" customFormat="false" ht="15" hidden="false" customHeight="false" outlineLevel="0" collapsed="false">
      <c r="L3773" s="37" t="str">
        <f aca="false">IF(C3773="","",IF(C3773&lt;=5,"Night (00-05)",IF(C3773&lt;=11,"Morning (06-11)",IF(C3773&lt;=16,"Afternoon (12-16)",IF(C3773&lt;=20,"Evening (17-20)","Late (21-23)")))))</f>
        <v/>
      </c>
    </row>
    <row r="3774" customFormat="false" ht="15" hidden="false" customHeight="false" outlineLevel="0" collapsed="false">
      <c r="L3774" s="37" t="str">
        <f aca="false">IF(C3774="","",IF(C3774&lt;=5,"Night (00-05)",IF(C3774&lt;=11,"Morning (06-11)",IF(C3774&lt;=16,"Afternoon (12-16)",IF(C3774&lt;=20,"Evening (17-20)","Late (21-23)")))))</f>
        <v/>
      </c>
    </row>
    <row r="3775" customFormat="false" ht="15" hidden="false" customHeight="false" outlineLevel="0" collapsed="false">
      <c r="L3775" s="37" t="str">
        <f aca="false">IF(C3775="","",IF(C3775&lt;=5,"Night (00-05)",IF(C3775&lt;=11,"Morning (06-11)",IF(C3775&lt;=16,"Afternoon (12-16)",IF(C3775&lt;=20,"Evening (17-20)","Late (21-23)")))))</f>
        <v/>
      </c>
    </row>
    <row r="3776" customFormat="false" ht="15" hidden="false" customHeight="false" outlineLevel="0" collapsed="false">
      <c r="L3776" s="37" t="str">
        <f aca="false">IF(C3776="","",IF(C3776&lt;=5,"Night (00-05)",IF(C3776&lt;=11,"Morning (06-11)",IF(C3776&lt;=16,"Afternoon (12-16)",IF(C3776&lt;=20,"Evening (17-20)","Late (21-23)")))))</f>
        <v/>
      </c>
    </row>
    <row r="3777" customFormat="false" ht="15" hidden="false" customHeight="false" outlineLevel="0" collapsed="false">
      <c r="L3777" s="37" t="str">
        <f aca="false">IF(C3777="","",IF(C3777&lt;=5,"Night (00-05)",IF(C3777&lt;=11,"Morning (06-11)",IF(C3777&lt;=16,"Afternoon (12-16)",IF(C3777&lt;=20,"Evening (17-20)","Late (21-23)")))))</f>
        <v/>
      </c>
    </row>
    <row r="3778" customFormat="false" ht="15" hidden="false" customHeight="false" outlineLevel="0" collapsed="false">
      <c r="L3778" s="37" t="str">
        <f aca="false">IF(C3778="","",IF(C3778&lt;=5,"Night (00-05)",IF(C3778&lt;=11,"Morning (06-11)",IF(C3778&lt;=16,"Afternoon (12-16)",IF(C3778&lt;=20,"Evening (17-20)","Late (21-23)")))))</f>
        <v/>
      </c>
    </row>
    <row r="3779" customFormat="false" ht="15" hidden="false" customHeight="false" outlineLevel="0" collapsed="false">
      <c r="L3779" s="37" t="str">
        <f aca="false">IF(C3779="","",IF(C3779&lt;=5,"Night (00-05)",IF(C3779&lt;=11,"Morning (06-11)",IF(C3779&lt;=16,"Afternoon (12-16)",IF(C3779&lt;=20,"Evening (17-20)","Late (21-23)")))))</f>
        <v/>
      </c>
    </row>
    <row r="3780" customFormat="false" ht="15" hidden="false" customHeight="false" outlineLevel="0" collapsed="false">
      <c r="L3780" s="37" t="str">
        <f aca="false">IF(C3780="","",IF(C3780&lt;=5,"Night (00-05)",IF(C3780&lt;=11,"Morning (06-11)",IF(C3780&lt;=16,"Afternoon (12-16)",IF(C3780&lt;=20,"Evening (17-20)","Late (21-23)")))))</f>
        <v/>
      </c>
    </row>
    <row r="3781" customFormat="false" ht="15" hidden="false" customHeight="false" outlineLevel="0" collapsed="false">
      <c r="L3781" s="37" t="str">
        <f aca="false">IF(C3781="","",IF(C3781&lt;=5,"Night (00-05)",IF(C3781&lt;=11,"Morning (06-11)",IF(C3781&lt;=16,"Afternoon (12-16)",IF(C3781&lt;=20,"Evening (17-20)","Late (21-23)")))))</f>
        <v/>
      </c>
    </row>
    <row r="3782" customFormat="false" ht="15" hidden="false" customHeight="false" outlineLevel="0" collapsed="false">
      <c r="L3782" s="37" t="str">
        <f aca="false">IF(C3782="","",IF(C3782&lt;=5,"Night (00-05)",IF(C3782&lt;=11,"Morning (06-11)",IF(C3782&lt;=16,"Afternoon (12-16)",IF(C3782&lt;=20,"Evening (17-20)","Late (21-23)")))))</f>
        <v/>
      </c>
    </row>
    <row r="3783" customFormat="false" ht="15" hidden="false" customHeight="false" outlineLevel="0" collapsed="false">
      <c r="L3783" s="37" t="str">
        <f aca="false">IF(C3783="","",IF(C3783&lt;=5,"Night (00-05)",IF(C3783&lt;=11,"Morning (06-11)",IF(C3783&lt;=16,"Afternoon (12-16)",IF(C3783&lt;=20,"Evening (17-20)","Late (21-23)")))))</f>
        <v/>
      </c>
    </row>
    <row r="3784" customFormat="false" ht="15" hidden="false" customHeight="false" outlineLevel="0" collapsed="false">
      <c r="L3784" s="37" t="str">
        <f aca="false">IF(C3784="","",IF(C3784&lt;=5,"Night (00-05)",IF(C3784&lt;=11,"Morning (06-11)",IF(C3784&lt;=16,"Afternoon (12-16)",IF(C3784&lt;=20,"Evening (17-20)","Late (21-23)")))))</f>
        <v/>
      </c>
    </row>
    <row r="3785" customFormat="false" ht="15" hidden="false" customHeight="false" outlineLevel="0" collapsed="false">
      <c r="L3785" s="37" t="str">
        <f aca="false">IF(C3785="","",IF(C3785&lt;=5,"Night (00-05)",IF(C3785&lt;=11,"Morning (06-11)",IF(C3785&lt;=16,"Afternoon (12-16)",IF(C3785&lt;=20,"Evening (17-20)","Late (21-23)")))))</f>
        <v/>
      </c>
    </row>
    <row r="3786" customFormat="false" ht="15" hidden="false" customHeight="false" outlineLevel="0" collapsed="false">
      <c r="L3786" s="37" t="str">
        <f aca="false">IF(C3786="","",IF(C3786&lt;=5,"Night (00-05)",IF(C3786&lt;=11,"Morning (06-11)",IF(C3786&lt;=16,"Afternoon (12-16)",IF(C3786&lt;=20,"Evening (17-20)","Late (21-23)")))))</f>
        <v/>
      </c>
    </row>
    <row r="3787" customFormat="false" ht="15" hidden="false" customHeight="false" outlineLevel="0" collapsed="false">
      <c r="L3787" s="37" t="str">
        <f aca="false">IF(C3787="","",IF(C3787&lt;=5,"Night (00-05)",IF(C3787&lt;=11,"Morning (06-11)",IF(C3787&lt;=16,"Afternoon (12-16)",IF(C3787&lt;=20,"Evening (17-20)","Late (21-23)")))))</f>
        <v/>
      </c>
    </row>
    <row r="3788" customFormat="false" ht="15" hidden="false" customHeight="false" outlineLevel="0" collapsed="false">
      <c r="L3788" s="37" t="str">
        <f aca="false">IF(C3788="","",IF(C3788&lt;=5,"Night (00-05)",IF(C3788&lt;=11,"Morning (06-11)",IF(C3788&lt;=16,"Afternoon (12-16)",IF(C3788&lt;=20,"Evening (17-20)","Late (21-23)")))))</f>
        <v/>
      </c>
    </row>
    <row r="3789" customFormat="false" ht="15" hidden="false" customHeight="false" outlineLevel="0" collapsed="false">
      <c r="L3789" s="37" t="str">
        <f aca="false">IF(C3789="","",IF(C3789&lt;=5,"Night (00-05)",IF(C3789&lt;=11,"Morning (06-11)",IF(C3789&lt;=16,"Afternoon (12-16)",IF(C3789&lt;=20,"Evening (17-20)","Late (21-23)")))))</f>
        <v/>
      </c>
    </row>
    <row r="3790" customFormat="false" ht="15" hidden="false" customHeight="false" outlineLevel="0" collapsed="false">
      <c r="L3790" s="37" t="str">
        <f aca="false">IF(C3790="","",IF(C3790&lt;=5,"Night (00-05)",IF(C3790&lt;=11,"Morning (06-11)",IF(C3790&lt;=16,"Afternoon (12-16)",IF(C3790&lt;=20,"Evening (17-20)","Late (21-23)")))))</f>
        <v/>
      </c>
    </row>
    <row r="3791" customFormat="false" ht="15" hidden="false" customHeight="false" outlineLevel="0" collapsed="false">
      <c r="L3791" s="37" t="str">
        <f aca="false">IF(C3791="","",IF(C3791&lt;=5,"Night (00-05)",IF(C3791&lt;=11,"Morning (06-11)",IF(C3791&lt;=16,"Afternoon (12-16)",IF(C3791&lt;=20,"Evening (17-20)","Late (21-23)")))))</f>
        <v/>
      </c>
    </row>
    <row r="3792" customFormat="false" ht="15" hidden="false" customHeight="false" outlineLevel="0" collapsed="false">
      <c r="L3792" s="37" t="str">
        <f aca="false">IF(C3792="","",IF(C3792&lt;=5,"Night (00-05)",IF(C3792&lt;=11,"Morning (06-11)",IF(C3792&lt;=16,"Afternoon (12-16)",IF(C3792&lt;=20,"Evening (17-20)","Late (21-23)")))))</f>
        <v/>
      </c>
    </row>
    <row r="3793" customFormat="false" ht="15" hidden="false" customHeight="false" outlineLevel="0" collapsed="false">
      <c r="L3793" s="37" t="str">
        <f aca="false">IF(C3793="","",IF(C3793&lt;=5,"Night (00-05)",IF(C3793&lt;=11,"Morning (06-11)",IF(C3793&lt;=16,"Afternoon (12-16)",IF(C3793&lt;=20,"Evening (17-20)","Late (21-23)")))))</f>
        <v/>
      </c>
    </row>
    <row r="3794" customFormat="false" ht="15" hidden="false" customHeight="false" outlineLevel="0" collapsed="false">
      <c r="L3794" s="37" t="str">
        <f aca="false">IF(C3794="","",IF(C3794&lt;=5,"Night (00-05)",IF(C3794&lt;=11,"Morning (06-11)",IF(C3794&lt;=16,"Afternoon (12-16)",IF(C3794&lt;=20,"Evening (17-20)","Late (21-23)")))))</f>
        <v/>
      </c>
    </row>
    <row r="3795" customFormat="false" ht="15" hidden="false" customHeight="false" outlineLevel="0" collapsed="false">
      <c r="L3795" s="37" t="str">
        <f aca="false">IF(C3795="","",IF(C3795&lt;=5,"Night (00-05)",IF(C3795&lt;=11,"Morning (06-11)",IF(C3795&lt;=16,"Afternoon (12-16)",IF(C3795&lt;=20,"Evening (17-20)","Late (21-23)")))))</f>
        <v/>
      </c>
    </row>
    <row r="3796" customFormat="false" ht="15" hidden="false" customHeight="false" outlineLevel="0" collapsed="false">
      <c r="L3796" s="37" t="str">
        <f aca="false">IF(C3796="","",IF(C3796&lt;=5,"Night (00-05)",IF(C3796&lt;=11,"Morning (06-11)",IF(C3796&lt;=16,"Afternoon (12-16)",IF(C3796&lt;=20,"Evening (17-20)","Late (21-23)")))))</f>
        <v/>
      </c>
    </row>
    <row r="3797" customFormat="false" ht="15" hidden="false" customHeight="false" outlineLevel="0" collapsed="false">
      <c r="L3797" s="37" t="str">
        <f aca="false">IF(C3797="","",IF(C3797&lt;=5,"Night (00-05)",IF(C3797&lt;=11,"Morning (06-11)",IF(C3797&lt;=16,"Afternoon (12-16)",IF(C3797&lt;=20,"Evening (17-20)","Late (21-23)")))))</f>
        <v/>
      </c>
    </row>
    <row r="3798" customFormat="false" ht="15" hidden="false" customHeight="false" outlineLevel="0" collapsed="false">
      <c r="L3798" s="37" t="str">
        <f aca="false">IF(C3798="","",IF(C3798&lt;=5,"Night (00-05)",IF(C3798&lt;=11,"Morning (06-11)",IF(C3798&lt;=16,"Afternoon (12-16)",IF(C3798&lt;=20,"Evening (17-20)","Late (21-23)")))))</f>
        <v/>
      </c>
    </row>
    <row r="3799" customFormat="false" ht="15" hidden="false" customHeight="false" outlineLevel="0" collapsed="false">
      <c r="L3799" s="37" t="str">
        <f aca="false">IF(C3799="","",IF(C3799&lt;=5,"Night (00-05)",IF(C3799&lt;=11,"Morning (06-11)",IF(C3799&lt;=16,"Afternoon (12-16)",IF(C3799&lt;=20,"Evening (17-20)","Late (21-23)")))))</f>
        <v/>
      </c>
    </row>
    <row r="3800" customFormat="false" ht="15" hidden="false" customHeight="false" outlineLevel="0" collapsed="false">
      <c r="L3800" s="37" t="str">
        <f aca="false">IF(C3800="","",IF(C3800&lt;=5,"Night (00-05)",IF(C3800&lt;=11,"Morning (06-11)",IF(C3800&lt;=16,"Afternoon (12-16)",IF(C3800&lt;=20,"Evening (17-20)","Late (21-23)")))))</f>
        <v/>
      </c>
    </row>
    <row r="3801" customFormat="false" ht="15" hidden="false" customHeight="false" outlineLevel="0" collapsed="false">
      <c r="L3801" s="37" t="str">
        <f aca="false">IF(C3801="","",IF(C3801&lt;=5,"Night (00-05)",IF(C3801&lt;=11,"Morning (06-11)",IF(C3801&lt;=16,"Afternoon (12-16)",IF(C3801&lt;=20,"Evening (17-20)","Late (21-23)")))))</f>
        <v/>
      </c>
    </row>
    <row r="3802" customFormat="false" ht="15" hidden="false" customHeight="false" outlineLevel="0" collapsed="false">
      <c r="L3802" s="37" t="str">
        <f aca="false">IF(C3802="","",IF(C3802&lt;=5,"Night (00-05)",IF(C3802&lt;=11,"Morning (06-11)",IF(C3802&lt;=16,"Afternoon (12-16)",IF(C3802&lt;=20,"Evening (17-20)","Late (21-23)")))))</f>
        <v/>
      </c>
    </row>
    <row r="3803" customFormat="false" ht="15" hidden="false" customHeight="false" outlineLevel="0" collapsed="false">
      <c r="L3803" s="37" t="str">
        <f aca="false">IF(C3803="","",IF(C3803&lt;=5,"Night (00-05)",IF(C3803&lt;=11,"Morning (06-11)",IF(C3803&lt;=16,"Afternoon (12-16)",IF(C3803&lt;=20,"Evening (17-20)","Late (21-23)")))))</f>
        <v/>
      </c>
    </row>
    <row r="3804" customFormat="false" ht="15" hidden="false" customHeight="false" outlineLevel="0" collapsed="false">
      <c r="L3804" s="37" t="str">
        <f aca="false">IF(C3804="","",IF(C3804&lt;=5,"Night (00-05)",IF(C3804&lt;=11,"Morning (06-11)",IF(C3804&lt;=16,"Afternoon (12-16)",IF(C3804&lt;=20,"Evening (17-20)","Late (21-23)")))))</f>
        <v/>
      </c>
    </row>
    <row r="3805" customFormat="false" ht="15" hidden="false" customHeight="false" outlineLevel="0" collapsed="false">
      <c r="L3805" s="37" t="str">
        <f aca="false">IF(C3805="","",IF(C3805&lt;=5,"Night (00-05)",IF(C3805&lt;=11,"Morning (06-11)",IF(C3805&lt;=16,"Afternoon (12-16)",IF(C3805&lt;=20,"Evening (17-20)","Late (21-23)")))))</f>
        <v/>
      </c>
    </row>
    <row r="3806" customFormat="false" ht="15" hidden="false" customHeight="false" outlineLevel="0" collapsed="false">
      <c r="L3806" s="37" t="str">
        <f aca="false">IF(C3806="","",IF(C3806&lt;=5,"Night (00-05)",IF(C3806&lt;=11,"Morning (06-11)",IF(C3806&lt;=16,"Afternoon (12-16)",IF(C3806&lt;=20,"Evening (17-20)","Late (21-23)")))))</f>
        <v/>
      </c>
    </row>
    <row r="3807" customFormat="false" ht="15" hidden="false" customHeight="false" outlineLevel="0" collapsed="false">
      <c r="L3807" s="37" t="str">
        <f aca="false">IF(C3807="","",IF(C3807&lt;=5,"Night (00-05)",IF(C3807&lt;=11,"Morning (06-11)",IF(C3807&lt;=16,"Afternoon (12-16)",IF(C3807&lt;=20,"Evening (17-20)","Late (21-23)")))))</f>
        <v/>
      </c>
    </row>
    <row r="3808" customFormat="false" ht="15" hidden="false" customHeight="false" outlineLevel="0" collapsed="false">
      <c r="L3808" s="37" t="str">
        <f aca="false">IF(C3808="","",IF(C3808&lt;=5,"Night (00-05)",IF(C3808&lt;=11,"Morning (06-11)",IF(C3808&lt;=16,"Afternoon (12-16)",IF(C3808&lt;=20,"Evening (17-20)","Late (21-23)")))))</f>
        <v/>
      </c>
    </row>
    <row r="3809" customFormat="false" ht="15" hidden="false" customHeight="false" outlineLevel="0" collapsed="false">
      <c r="L3809" s="37" t="str">
        <f aca="false">IF(C3809="","",IF(C3809&lt;=5,"Night (00-05)",IF(C3809&lt;=11,"Morning (06-11)",IF(C3809&lt;=16,"Afternoon (12-16)",IF(C3809&lt;=20,"Evening (17-20)","Late (21-23)")))))</f>
        <v/>
      </c>
    </row>
    <row r="3810" customFormat="false" ht="15" hidden="false" customHeight="false" outlineLevel="0" collapsed="false">
      <c r="L3810" s="37" t="str">
        <f aca="false">IF(C3810="","",IF(C3810&lt;=5,"Night (00-05)",IF(C3810&lt;=11,"Morning (06-11)",IF(C3810&lt;=16,"Afternoon (12-16)",IF(C3810&lt;=20,"Evening (17-20)","Late (21-23)")))))</f>
        <v/>
      </c>
    </row>
    <row r="3811" customFormat="false" ht="15" hidden="false" customHeight="false" outlineLevel="0" collapsed="false">
      <c r="L3811" s="37" t="str">
        <f aca="false">IF(C3811="","",IF(C3811&lt;=5,"Night (00-05)",IF(C3811&lt;=11,"Morning (06-11)",IF(C3811&lt;=16,"Afternoon (12-16)",IF(C3811&lt;=20,"Evening (17-20)","Late (21-23)")))))</f>
        <v/>
      </c>
    </row>
    <row r="3812" customFormat="false" ht="15" hidden="false" customHeight="false" outlineLevel="0" collapsed="false">
      <c r="L3812" s="37" t="str">
        <f aca="false">IF(C3812="","",IF(C3812&lt;=5,"Night (00-05)",IF(C3812&lt;=11,"Morning (06-11)",IF(C3812&lt;=16,"Afternoon (12-16)",IF(C3812&lt;=20,"Evening (17-20)","Late (21-23)")))))</f>
        <v/>
      </c>
    </row>
    <row r="3813" customFormat="false" ht="15" hidden="false" customHeight="false" outlineLevel="0" collapsed="false">
      <c r="L3813" s="37" t="str">
        <f aca="false">IF(C3813="","",IF(C3813&lt;=5,"Night (00-05)",IF(C3813&lt;=11,"Morning (06-11)",IF(C3813&lt;=16,"Afternoon (12-16)",IF(C3813&lt;=20,"Evening (17-20)","Late (21-23)")))))</f>
        <v/>
      </c>
    </row>
    <row r="3814" customFormat="false" ht="15" hidden="false" customHeight="false" outlineLevel="0" collapsed="false">
      <c r="L3814" s="37" t="str">
        <f aca="false">IF(C3814="","",IF(C3814&lt;=5,"Night (00-05)",IF(C3814&lt;=11,"Morning (06-11)",IF(C3814&lt;=16,"Afternoon (12-16)",IF(C3814&lt;=20,"Evening (17-20)","Late (21-23)")))))</f>
        <v/>
      </c>
    </row>
    <row r="3815" customFormat="false" ht="15" hidden="false" customHeight="false" outlineLevel="0" collapsed="false">
      <c r="L3815" s="37" t="str">
        <f aca="false">IF(C3815="","",IF(C3815&lt;=5,"Night (00-05)",IF(C3815&lt;=11,"Morning (06-11)",IF(C3815&lt;=16,"Afternoon (12-16)",IF(C3815&lt;=20,"Evening (17-20)","Late (21-23)")))))</f>
        <v/>
      </c>
    </row>
    <row r="3816" customFormat="false" ht="15" hidden="false" customHeight="false" outlineLevel="0" collapsed="false">
      <c r="L3816" s="37" t="str">
        <f aca="false">IF(C3816="","",IF(C3816&lt;=5,"Night (00-05)",IF(C3816&lt;=11,"Morning (06-11)",IF(C3816&lt;=16,"Afternoon (12-16)",IF(C3816&lt;=20,"Evening (17-20)","Late (21-23)")))))</f>
        <v/>
      </c>
    </row>
    <row r="3817" customFormat="false" ht="15" hidden="false" customHeight="false" outlineLevel="0" collapsed="false">
      <c r="L3817" s="37" t="str">
        <f aca="false">IF(C3817="","",IF(C3817&lt;=5,"Night (00-05)",IF(C3817&lt;=11,"Morning (06-11)",IF(C3817&lt;=16,"Afternoon (12-16)",IF(C3817&lt;=20,"Evening (17-20)","Late (21-23)")))))</f>
        <v/>
      </c>
    </row>
    <row r="3818" customFormat="false" ht="15" hidden="false" customHeight="false" outlineLevel="0" collapsed="false">
      <c r="L3818" s="37" t="str">
        <f aca="false">IF(C3818="","",IF(C3818&lt;=5,"Night (00-05)",IF(C3818&lt;=11,"Morning (06-11)",IF(C3818&lt;=16,"Afternoon (12-16)",IF(C3818&lt;=20,"Evening (17-20)","Late (21-23)")))))</f>
        <v/>
      </c>
    </row>
    <row r="3819" customFormat="false" ht="15" hidden="false" customHeight="false" outlineLevel="0" collapsed="false">
      <c r="L3819" s="37" t="str">
        <f aca="false">IF(C3819="","",IF(C3819&lt;=5,"Night (00-05)",IF(C3819&lt;=11,"Morning (06-11)",IF(C3819&lt;=16,"Afternoon (12-16)",IF(C3819&lt;=20,"Evening (17-20)","Late (21-23)")))))</f>
        <v/>
      </c>
    </row>
    <row r="3820" customFormat="false" ht="15" hidden="false" customHeight="false" outlineLevel="0" collapsed="false">
      <c r="L3820" s="37" t="str">
        <f aca="false">IF(C3820="","",IF(C3820&lt;=5,"Night (00-05)",IF(C3820&lt;=11,"Morning (06-11)",IF(C3820&lt;=16,"Afternoon (12-16)",IF(C3820&lt;=20,"Evening (17-20)","Late (21-23)")))))</f>
        <v/>
      </c>
    </row>
    <row r="3821" customFormat="false" ht="15" hidden="false" customHeight="false" outlineLevel="0" collapsed="false">
      <c r="L3821" s="37" t="str">
        <f aca="false">IF(C3821="","",IF(C3821&lt;=5,"Night (00-05)",IF(C3821&lt;=11,"Morning (06-11)",IF(C3821&lt;=16,"Afternoon (12-16)",IF(C3821&lt;=20,"Evening (17-20)","Late (21-23)")))))</f>
        <v/>
      </c>
    </row>
    <row r="3822" customFormat="false" ht="15" hidden="false" customHeight="false" outlineLevel="0" collapsed="false">
      <c r="L3822" s="37" t="str">
        <f aca="false">IF(C3822="","",IF(C3822&lt;=5,"Night (00-05)",IF(C3822&lt;=11,"Morning (06-11)",IF(C3822&lt;=16,"Afternoon (12-16)",IF(C3822&lt;=20,"Evening (17-20)","Late (21-23)")))))</f>
        <v/>
      </c>
    </row>
    <row r="3823" customFormat="false" ht="15" hidden="false" customHeight="false" outlineLevel="0" collapsed="false">
      <c r="L3823" s="37" t="str">
        <f aca="false">IF(C3823="","",IF(C3823&lt;=5,"Night (00-05)",IF(C3823&lt;=11,"Morning (06-11)",IF(C3823&lt;=16,"Afternoon (12-16)",IF(C3823&lt;=20,"Evening (17-20)","Late (21-23)")))))</f>
        <v/>
      </c>
    </row>
    <row r="3824" customFormat="false" ht="15" hidden="false" customHeight="false" outlineLevel="0" collapsed="false">
      <c r="L3824" s="37" t="str">
        <f aca="false">IF(C3824="","",IF(C3824&lt;=5,"Night (00-05)",IF(C3824&lt;=11,"Morning (06-11)",IF(C3824&lt;=16,"Afternoon (12-16)",IF(C3824&lt;=20,"Evening (17-20)","Late (21-23)")))))</f>
        <v/>
      </c>
    </row>
    <row r="3825" customFormat="false" ht="15" hidden="false" customHeight="false" outlineLevel="0" collapsed="false">
      <c r="L3825" s="37" t="str">
        <f aca="false">IF(C3825="","",IF(C3825&lt;=5,"Night (00-05)",IF(C3825&lt;=11,"Morning (06-11)",IF(C3825&lt;=16,"Afternoon (12-16)",IF(C3825&lt;=20,"Evening (17-20)","Late (21-23)")))))</f>
        <v/>
      </c>
    </row>
    <row r="3826" customFormat="false" ht="15" hidden="false" customHeight="false" outlineLevel="0" collapsed="false">
      <c r="L3826" s="37" t="str">
        <f aca="false">IF(C3826="","",IF(C3826&lt;=5,"Night (00-05)",IF(C3826&lt;=11,"Morning (06-11)",IF(C3826&lt;=16,"Afternoon (12-16)",IF(C3826&lt;=20,"Evening (17-20)","Late (21-23)")))))</f>
        <v/>
      </c>
    </row>
    <row r="3827" customFormat="false" ht="15" hidden="false" customHeight="false" outlineLevel="0" collapsed="false">
      <c r="L3827" s="37" t="str">
        <f aca="false">IF(C3827="","",IF(C3827&lt;=5,"Night (00-05)",IF(C3827&lt;=11,"Morning (06-11)",IF(C3827&lt;=16,"Afternoon (12-16)",IF(C3827&lt;=20,"Evening (17-20)","Late (21-23)")))))</f>
        <v/>
      </c>
    </row>
    <row r="3828" customFormat="false" ht="15" hidden="false" customHeight="false" outlineLevel="0" collapsed="false">
      <c r="L3828" s="37" t="str">
        <f aca="false">IF(C3828="","",IF(C3828&lt;=5,"Night (00-05)",IF(C3828&lt;=11,"Morning (06-11)",IF(C3828&lt;=16,"Afternoon (12-16)",IF(C3828&lt;=20,"Evening (17-20)","Late (21-23)")))))</f>
        <v/>
      </c>
    </row>
    <row r="3829" customFormat="false" ht="15" hidden="false" customHeight="false" outlineLevel="0" collapsed="false">
      <c r="L3829" s="37" t="str">
        <f aca="false">IF(C3829="","",IF(C3829&lt;=5,"Night (00-05)",IF(C3829&lt;=11,"Morning (06-11)",IF(C3829&lt;=16,"Afternoon (12-16)",IF(C3829&lt;=20,"Evening (17-20)","Late (21-23)")))))</f>
        <v/>
      </c>
    </row>
    <row r="3830" customFormat="false" ht="15" hidden="false" customHeight="false" outlineLevel="0" collapsed="false">
      <c r="L3830" s="37" t="str">
        <f aca="false">IF(C3830="","",IF(C3830&lt;=5,"Night (00-05)",IF(C3830&lt;=11,"Morning (06-11)",IF(C3830&lt;=16,"Afternoon (12-16)",IF(C3830&lt;=20,"Evening (17-20)","Late (21-23)")))))</f>
        <v/>
      </c>
    </row>
    <row r="3831" customFormat="false" ht="15" hidden="false" customHeight="false" outlineLevel="0" collapsed="false">
      <c r="L3831" s="37" t="str">
        <f aca="false">IF(C3831="","",IF(C3831&lt;=5,"Night (00-05)",IF(C3831&lt;=11,"Morning (06-11)",IF(C3831&lt;=16,"Afternoon (12-16)",IF(C3831&lt;=20,"Evening (17-20)","Late (21-23)")))))</f>
        <v/>
      </c>
    </row>
    <row r="3832" customFormat="false" ht="15" hidden="false" customHeight="false" outlineLevel="0" collapsed="false">
      <c r="L3832" s="37" t="str">
        <f aca="false">IF(C3832="","",IF(C3832&lt;=5,"Night (00-05)",IF(C3832&lt;=11,"Morning (06-11)",IF(C3832&lt;=16,"Afternoon (12-16)",IF(C3832&lt;=20,"Evening (17-20)","Late (21-23)")))))</f>
        <v/>
      </c>
    </row>
    <row r="3833" customFormat="false" ht="15" hidden="false" customHeight="false" outlineLevel="0" collapsed="false">
      <c r="L3833" s="37" t="str">
        <f aca="false">IF(C3833="","",IF(C3833&lt;=5,"Night (00-05)",IF(C3833&lt;=11,"Morning (06-11)",IF(C3833&lt;=16,"Afternoon (12-16)",IF(C3833&lt;=20,"Evening (17-20)","Late (21-23)")))))</f>
        <v/>
      </c>
    </row>
    <row r="3834" customFormat="false" ht="15" hidden="false" customHeight="false" outlineLevel="0" collapsed="false">
      <c r="L3834" s="37" t="str">
        <f aca="false">IF(C3834="","",IF(C3834&lt;=5,"Night (00-05)",IF(C3834&lt;=11,"Morning (06-11)",IF(C3834&lt;=16,"Afternoon (12-16)",IF(C3834&lt;=20,"Evening (17-20)","Late (21-23)")))))</f>
        <v/>
      </c>
    </row>
    <row r="3835" customFormat="false" ht="15" hidden="false" customHeight="false" outlineLevel="0" collapsed="false">
      <c r="L3835" s="37" t="str">
        <f aca="false">IF(C3835="","",IF(C3835&lt;=5,"Night (00-05)",IF(C3835&lt;=11,"Morning (06-11)",IF(C3835&lt;=16,"Afternoon (12-16)",IF(C3835&lt;=20,"Evening (17-20)","Late (21-23)")))))</f>
        <v/>
      </c>
    </row>
    <row r="3836" customFormat="false" ht="15" hidden="false" customHeight="false" outlineLevel="0" collapsed="false">
      <c r="L3836" s="37" t="str">
        <f aca="false">IF(C3836="","",IF(C3836&lt;=5,"Night (00-05)",IF(C3836&lt;=11,"Morning (06-11)",IF(C3836&lt;=16,"Afternoon (12-16)",IF(C3836&lt;=20,"Evening (17-20)","Late (21-23)")))))</f>
        <v/>
      </c>
    </row>
    <row r="3837" customFormat="false" ht="15" hidden="false" customHeight="false" outlineLevel="0" collapsed="false">
      <c r="L3837" s="37" t="str">
        <f aca="false">IF(C3837="","",IF(C3837&lt;=5,"Night (00-05)",IF(C3837&lt;=11,"Morning (06-11)",IF(C3837&lt;=16,"Afternoon (12-16)",IF(C3837&lt;=20,"Evening (17-20)","Late (21-23)")))))</f>
        <v/>
      </c>
    </row>
    <row r="3838" customFormat="false" ht="15" hidden="false" customHeight="false" outlineLevel="0" collapsed="false">
      <c r="L3838" s="37" t="str">
        <f aca="false">IF(C3838="","",IF(C3838&lt;=5,"Night (00-05)",IF(C3838&lt;=11,"Morning (06-11)",IF(C3838&lt;=16,"Afternoon (12-16)",IF(C3838&lt;=20,"Evening (17-20)","Late (21-23)")))))</f>
        <v/>
      </c>
    </row>
    <row r="3839" customFormat="false" ht="15" hidden="false" customHeight="false" outlineLevel="0" collapsed="false">
      <c r="L3839" s="37" t="str">
        <f aca="false">IF(C3839="","",IF(C3839&lt;=5,"Night (00-05)",IF(C3839&lt;=11,"Morning (06-11)",IF(C3839&lt;=16,"Afternoon (12-16)",IF(C3839&lt;=20,"Evening (17-20)","Late (21-23)")))))</f>
        <v/>
      </c>
    </row>
    <row r="3840" customFormat="false" ht="15" hidden="false" customHeight="false" outlineLevel="0" collapsed="false">
      <c r="L3840" s="37" t="str">
        <f aca="false">IF(C3840="","",IF(C3840&lt;=5,"Night (00-05)",IF(C3840&lt;=11,"Morning (06-11)",IF(C3840&lt;=16,"Afternoon (12-16)",IF(C3840&lt;=20,"Evening (17-20)","Late (21-23)")))))</f>
        <v/>
      </c>
    </row>
    <row r="3841" customFormat="false" ht="15" hidden="false" customHeight="false" outlineLevel="0" collapsed="false">
      <c r="L3841" s="37" t="str">
        <f aca="false">IF(C3841="","",IF(C3841&lt;=5,"Night (00-05)",IF(C3841&lt;=11,"Morning (06-11)",IF(C3841&lt;=16,"Afternoon (12-16)",IF(C3841&lt;=20,"Evening (17-20)","Late (21-23)")))))</f>
        <v/>
      </c>
    </row>
    <row r="3842" customFormat="false" ht="15" hidden="false" customHeight="false" outlineLevel="0" collapsed="false">
      <c r="L3842" s="37" t="str">
        <f aca="false">IF(C3842="","",IF(C3842&lt;=5,"Night (00-05)",IF(C3842&lt;=11,"Morning (06-11)",IF(C3842&lt;=16,"Afternoon (12-16)",IF(C3842&lt;=20,"Evening (17-20)","Late (21-23)")))))</f>
        <v/>
      </c>
    </row>
    <row r="3843" customFormat="false" ht="15" hidden="false" customHeight="false" outlineLevel="0" collapsed="false">
      <c r="L3843" s="37" t="str">
        <f aca="false">IF(C3843="","",IF(C3843&lt;=5,"Night (00-05)",IF(C3843&lt;=11,"Morning (06-11)",IF(C3843&lt;=16,"Afternoon (12-16)",IF(C3843&lt;=20,"Evening (17-20)","Late (21-23)")))))</f>
        <v/>
      </c>
    </row>
    <row r="3844" customFormat="false" ht="15" hidden="false" customHeight="false" outlineLevel="0" collapsed="false">
      <c r="L3844" s="37" t="str">
        <f aca="false">IF(C3844="","",IF(C3844&lt;=5,"Night (00-05)",IF(C3844&lt;=11,"Morning (06-11)",IF(C3844&lt;=16,"Afternoon (12-16)",IF(C3844&lt;=20,"Evening (17-20)","Late (21-23)")))))</f>
        <v/>
      </c>
    </row>
    <row r="3845" customFormat="false" ht="15" hidden="false" customHeight="false" outlineLevel="0" collapsed="false">
      <c r="L3845" s="37" t="str">
        <f aca="false">IF(C3845="","",IF(C3845&lt;=5,"Night (00-05)",IF(C3845&lt;=11,"Morning (06-11)",IF(C3845&lt;=16,"Afternoon (12-16)",IF(C3845&lt;=20,"Evening (17-20)","Late (21-23)")))))</f>
        <v/>
      </c>
    </row>
    <row r="3846" customFormat="false" ht="15" hidden="false" customHeight="false" outlineLevel="0" collapsed="false">
      <c r="L3846" s="37" t="str">
        <f aca="false">IF(C3846="","",IF(C3846&lt;=5,"Night (00-05)",IF(C3846&lt;=11,"Morning (06-11)",IF(C3846&lt;=16,"Afternoon (12-16)",IF(C3846&lt;=20,"Evening (17-20)","Late (21-23)")))))</f>
        <v/>
      </c>
    </row>
    <row r="3847" customFormat="false" ht="15" hidden="false" customHeight="false" outlineLevel="0" collapsed="false">
      <c r="L3847" s="37" t="str">
        <f aca="false">IF(C3847="","",IF(C3847&lt;=5,"Night (00-05)",IF(C3847&lt;=11,"Morning (06-11)",IF(C3847&lt;=16,"Afternoon (12-16)",IF(C3847&lt;=20,"Evening (17-20)","Late (21-23)")))))</f>
        <v/>
      </c>
    </row>
    <row r="3848" customFormat="false" ht="15" hidden="false" customHeight="false" outlineLevel="0" collapsed="false">
      <c r="L3848" s="37" t="str">
        <f aca="false">IF(C3848="","",IF(C3848&lt;=5,"Night (00-05)",IF(C3848&lt;=11,"Morning (06-11)",IF(C3848&lt;=16,"Afternoon (12-16)",IF(C3848&lt;=20,"Evening (17-20)","Late (21-23)")))))</f>
        <v/>
      </c>
    </row>
    <row r="3849" customFormat="false" ht="15" hidden="false" customHeight="false" outlineLevel="0" collapsed="false">
      <c r="L3849" s="37" t="str">
        <f aca="false">IF(C3849="","",IF(C3849&lt;=5,"Night (00-05)",IF(C3849&lt;=11,"Morning (06-11)",IF(C3849&lt;=16,"Afternoon (12-16)",IF(C3849&lt;=20,"Evening (17-20)","Late (21-23)")))))</f>
        <v/>
      </c>
    </row>
    <row r="3850" customFormat="false" ht="15" hidden="false" customHeight="false" outlineLevel="0" collapsed="false">
      <c r="L3850" s="37" t="str">
        <f aca="false">IF(C3850="","",IF(C3850&lt;=5,"Night (00-05)",IF(C3850&lt;=11,"Morning (06-11)",IF(C3850&lt;=16,"Afternoon (12-16)",IF(C3850&lt;=20,"Evening (17-20)","Late (21-23)")))))</f>
        <v/>
      </c>
    </row>
    <row r="3851" customFormat="false" ht="15" hidden="false" customHeight="false" outlineLevel="0" collapsed="false">
      <c r="L3851" s="37" t="str">
        <f aca="false">IF(C3851="","",IF(C3851&lt;=5,"Night (00-05)",IF(C3851&lt;=11,"Morning (06-11)",IF(C3851&lt;=16,"Afternoon (12-16)",IF(C3851&lt;=20,"Evening (17-20)","Late (21-23)")))))</f>
        <v/>
      </c>
    </row>
    <row r="3852" customFormat="false" ht="15" hidden="false" customHeight="false" outlineLevel="0" collapsed="false">
      <c r="L3852" s="37" t="str">
        <f aca="false">IF(C3852="","",IF(C3852&lt;=5,"Night (00-05)",IF(C3852&lt;=11,"Morning (06-11)",IF(C3852&lt;=16,"Afternoon (12-16)",IF(C3852&lt;=20,"Evening (17-20)","Late (21-23)")))))</f>
        <v/>
      </c>
    </row>
    <row r="3853" customFormat="false" ht="15" hidden="false" customHeight="false" outlineLevel="0" collapsed="false">
      <c r="L3853" s="37" t="str">
        <f aca="false">IF(C3853="","",IF(C3853&lt;=5,"Night (00-05)",IF(C3853&lt;=11,"Morning (06-11)",IF(C3853&lt;=16,"Afternoon (12-16)",IF(C3853&lt;=20,"Evening (17-20)","Late (21-23)")))))</f>
        <v/>
      </c>
    </row>
    <row r="3854" customFormat="false" ht="15" hidden="false" customHeight="false" outlineLevel="0" collapsed="false">
      <c r="L3854" s="37" t="str">
        <f aca="false">IF(C3854="","",IF(C3854&lt;=5,"Night (00-05)",IF(C3854&lt;=11,"Morning (06-11)",IF(C3854&lt;=16,"Afternoon (12-16)",IF(C3854&lt;=20,"Evening (17-20)","Late (21-23)")))))</f>
        <v/>
      </c>
    </row>
    <row r="3855" customFormat="false" ht="15" hidden="false" customHeight="false" outlineLevel="0" collapsed="false">
      <c r="L3855" s="37" t="str">
        <f aca="false">IF(C3855="","",IF(C3855&lt;=5,"Night (00-05)",IF(C3855&lt;=11,"Morning (06-11)",IF(C3855&lt;=16,"Afternoon (12-16)",IF(C3855&lt;=20,"Evening (17-20)","Late (21-23)")))))</f>
        <v/>
      </c>
    </row>
    <row r="3856" customFormat="false" ht="15" hidden="false" customHeight="false" outlineLevel="0" collapsed="false">
      <c r="L3856" s="37" t="str">
        <f aca="false">IF(C3856="","",IF(C3856&lt;=5,"Night (00-05)",IF(C3856&lt;=11,"Morning (06-11)",IF(C3856&lt;=16,"Afternoon (12-16)",IF(C3856&lt;=20,"Evening (17-20)","Late (21-23)")))))</f>
        <v/>
      </c>
    </row>
    <row r="3857" customFormat="false" ht="15" hidden="false" customHeight="false" outlineLevel="0" collapsed="false">
      <c r="L3857" s="37" t="str">
        <f aca="false">IF(C3857="","",IF(C3857&lt;=5,"Night (00-05)",IF(C3857&lt;=11,"Morning (06-11)",IF(C3857&lt;=16,"Afternoon (12-16)",IF(C3857&lt;=20,"Evening (17-20)","Late (21-23)")))))</f>
        <v/>
      </c>
    </row>
    <row r="3858" customFormat="false" ht="15" hidden="false" customHeight="false" outlineLevel="0" collapsed="false">
      <c r="L3858" s="37" t="str">
        <f aca="false">IF(C3858="","",IF(C3858&lt;=5,"Night (00-05)",IF(C3858&lt;=11,"Morning (06-11)",IF(C3858&lt;=16,"Afternoon (12-16)",IF(C3858&lt;=20,"Evening (17-20)","Late (21-23)")))))</f>
        <v/>
      </c>
    </row>
    <row r="3859" customFormat="false" ht="15" hidden="false" customHeight="false" outlineLevel="0" collapsed="false">
      <c r="L3859" s="37" t="str">
        <f aca="false">IF(C3859="","",IF(C3859&lt;=5,"Night (00-05)",IF(C3859&lt;=11,"Morning (06-11)",IF(C3859&lt;=16,"Afternoon (12-16)",IF(C3859&lt;=20,"Evening (17-20)","Late (21-23)")))))</f>
        <v/>
      </c>
    </row>
    <row r="3860" customFormat="false" ht="15" hidden="false" customHeight="false" outlineLevel="0" collapsed="false">
      <c r="L3860" s="37" t="str">
        <f aca="false">IF(C3860="","",IF(C3860&lt;=5,"Night (00-05)",IF(C3860&lt;=11,"Morning (06-11)",IF(C3860&lt;=16,"Afternoon (12-16)",IF(C3860&lt;=20,"Evening (17-20)","Late (21-23)")))))</f>
        <v/>
      </c>
    </row>
    <row r="3861" customFormat="false" ht="15" hidden="false" customHeight="false" outlineLevel="0" collapsed="false">
      <c r="L3861" s="37" t="str">
        <f aca="false">IF(C3861="","",IF(C3861&lt;=5,"Night (00-05)",IF(C3861&lt;=11,"Morning (06-11)",IF(C3861&lt;=16,"Afternoon (12-16)",IF(C3861&lt;=20,"Evening (17-20)","Late (21-23)")))))</f>
        <v/>
      </c>
    </row>
    <row r="3862" customFormat="false" ht="15" hidden="false" customHeight="false" outlineLevel="0" collapsed="false">
      <c r="L3862" s="37" t="str">
        <f aca="false">IF(C3862="","",IF(C3862&lt;=5,"Night (00-05)",IF(C3862&lt;=11,"Morning (06-11)",IF(C3862&lt;=16,"Afternoon (12-16)",IF(C3862&lt;=20,"Evening (17-20)","Late (21-23)")))))</f>
        <v/>
      </c>
    </row>
    <row r="3863" customFormat="false" ht="15" hidden="false" customHeight="false" outlineLevel="0" collapsed="false">
      <c r="L3863" s="37" t="str">
        <f aca="false">IF(C3863="","",IF(C3863&lt;=5,"Night (00-05)",IF(C3863&lt;=11,"Morning (06-11)",IF(C3863&lt;=16,"Afternoon (12-16)",IF(C3863&lt;=20,"Evening (17-20)","Late (21-23)")))))</f>
        <v/>
      </c>
    </row>
    <row r="3864" customFormat="false" ht="15" hidden="false" customHeight="false" outlineLevel="0" collapsed="false">
      <c r="L3864" s="37" t="str">
        <f aca="false">IF(C3864="","",IF(C3864&lt;=5,"Night (00-05)",IF(C3864&lt;=11,"Morning (06-11)",IF(C3864&lt;=16,"Afternoon (12-16)",IF(C3864&lt;=20,"Evening (17-20)","Late (21-23)")))))</f>
        <v/>
      </c>
    </row>
    <row r="3865" customFormat="false" ht="15" hidden="false" customHeight="false" outlineLevel="0" collapsed="false">
      <c r="L3865" s="37" t="str">
        <f aca="false">IF(C3865="","",IF(C3865&lt;=5,"Night (00-05)",IF(C3865&lt;=11,"Morning (06-11)",IF(C3865&lt;=16,"Afternoon (12-16)",IF(C3865&lt;=20,"Evening (17-20)","Late (21-23)")))))</f>
        <v/>
      </c>
    </row>
    <row r="3866" customFormat="false" ht="15" hidden="false" customHeight="false" outlineLevel="0" collapsed="false">
      <c r="L3866" s="37" t="str">
        <f aca="false">IF(C3866="","",IF(C3866&lt;=5,"Night (00-05)",IF(C3866&lt;=11,"Morning (06-11)",IF(C3866&lt;=16,"Afternoon (12-16)",IF(C3866&lt;=20,"Evening (17-20)","Late (21-23)")))))</f>
        <v/>
      </c>
    </row>
    <row r="3867" customFormat="false" ht="15" hidden="false" customHeight="false" outlineLevel="0" collapsed="false">
      <c r="L3867" s="37" t="str">
        <f aca="false">IF(C3867="","",IF(C3867&lt;=5,"Night (00-05)",IF(C3867&lt;=11,"Morning (06-11)",IF(C3867&lt;=16,"Afternoon (12-16)",IF(C3867&lt;=20,"Evening (17-20)","Late (21-23)")))))</f>
        <v/>
      </c>
    </row>
    <row r="3868" customFormat="false" ht="15" hidden="false" customHeight="false" outlineLevel="0" collapsed="false">
      <c r="L3868" s="37" t="str">
        <f aca="false">IF(C3868="","",IF(C3868&lt;=5,"Night (00-05)",IF(C3868&lt;=11,"Morning (06-11)",IF(C3868&lt;=16,"Afternoon (12-16)",IF(C3868&lt;=20,"Evening (17-20)","Late (21-23)")))))</f>
        <v/>
      </c>
    </row>
    <row r="3869" customFormat="false" ht="15" hidden="false" customHeight="false" outlineLevel="0" collapsed="false">
      <c r="L3869" s="37" t="str">
        <f aca="false">IF(C3869="","",IF(C3869&lt;=5,"Night (00-05)",IF(C3869&lt;=11,"Morning (06-11)",IF(C3869&lt;=16,"Afternoon (12-16)",IF(C3869&lt;=20,"Evening (17-20)","Late (21-23)")))))</f>
        <v/>
      </c>
    </row>
    <row r="3870" customFormat="false" ht="15" hidden="false" customHeight="false" outlineLevel="0" collapsed="false">
      <c r="L3870" s="37" t="str">
        <f aca="false">IF(C3870="","",IF(C3870&lt;=5,"Night (00-05)",IF(C3870&lt;=11,"Morning (06-11)",IF(C3870&lt;=16,"Afternoon (12-16)",IF(C3870&lt;=20,"Evening (17-20)","Late (21-23)")))))</f>
        <v/>
      </c>
    </row>
    <row r="3871" customFormat="false" ht="15" hidden="false" customHeight="false" outlineLevel="0" collapsed="false">
      <c r="L3871" s="37" t="str">
        <f aca="false">IF(C3871="","",IF(C3871&lt;=5,"Night (00-05)",IF(C3871&lt;=11,"Morning (06-11)",IF(C3871&lt;=16,"Afternoon (12-16)",IF(C3871&lt;=20,"Evening (17-20)","Late (21-23)")))))</f>
        <v/>
      </c>
    </row>
    <row r="3872" customFormat="false" ht="15" hidden="false" customHeight="false" outlineLevel="0" collapsed="false">
      <c r="L3872" s="37" t="str">
        <f aca="false">IF(C3872="","",IF(C3872&lt;=5,"Night (00-05)",IF(C3872&lt;=11,"Morning (06-11)",IF(C3872&lt;=16,"Afternoon (12-16)",IF(C3872&lt;=20,"Evening (17-20)","Late (21-23)")))))</f>
        <v/>
      </c>
    </row>
    <row r="3873" customFormat="false" ht="15" hidden="false" customHeight="false" outlineLevel="0" collapsed="false">
      <c r="L3873" s="37" t="str">
        <f aca="false">IF(C3873="","",IF(C3873&lt;=5,"Night (00-05)",IF(C3873&lt;=11,"Morning (06-11)",IF(C3873&lt;=16,"Afternoon (12-16)",IF(C3873&lt;=20,"Evening (17-20)","Late (21-23)")))))</f>
        <v/>
      </c>
    </row>
    <row r="3874" customFormat="false" ht="15" hidden="false" customHeight="false" outlineLevel="0" collapsed="false">
      <c r="L3874" s="37" t="str">
        <f aca="false">IF(C3874="","",IF(C3874&lt;=5,"Night (00-05)",IF(C3874&lt;=11,"Morning (06-11)",IF(C3874&lt;=16,"Afternoon (12-16)",IF(C3874&lt;=20,"Evening (17-20)","Late (21-23)")))))</f>
        <v/>
      </c>
    </row>
    <row r="3875" customFormat="false" ht="15" hidden="false" customHeight="false" outlineLevel="0" collapsed="false">
      <c r="L3875" s="37" t="str">
        <f aca="false">IF(C3875="","",IF(C3875&lt;=5,"Night (00-05)",IF(C3875&lt;=11,"Morning (06-11)",IF(C3875&lt;=16,"Afternoon (12-16)",IF(C3875&lt;=20,"Evening (17-20)","Late (21-23)")))))</f>
        <v/>
      </c>
    </row>
    <row r="3876" customFormat="false" ht="15" hidden="false" customHeight="false" outlineLevel="0" collapsed="false">
      <c r="L3876" s="37" t="str">
        <f aca="false">IF(C3876="","",IF(C3876&lt;=5,"Night (00-05)",IF(C3876&lt;=11,"Morning (06-11)",IF(C3876&lt;=16,"Afternoon (12-16)",IF(C3876&lt;=20,"Evening (17-20)","Late (21-23)")))))</f>
        <v/>
      </c>
    </row>
    <row r="3877" customFormat="false" ht="15" hidden="false" customHeight="false" outlineLevel="0" collapsed="false">
      <c r="L3877" s="37" t="str">
        <f aca="false">IF(C3877="","",IF(C3877&lt;=5,"Night (00-05)",IF(C3877&lt;=11,"Morning (06-11)",IF(C3877&lt;=16,"Afternoon (12-16)",IF(C3877&lt;=20,"Evening (17-20)","Late (21-23)")))))</f>
        <v/>
      </c>
    </row>
    <row r="3878" customFormat="false" ht="15" hidden="false" customHeight="false" outlineLevel="0" collapsed="false">
      <c r="L3878" s="37" t="str">
        <f aca="false">IF(C3878="","",IF(C3878&lt;=5,"Night (00-05)",IF(C3878&lt;=11,"Morning (06-11)",IF(C3878&lt;=16,"Afternoon (12-16)",IF(C3878&lt;=20,"Evening (17-20)","Late (21-23)")))))</f>
        <v/>
      </c>
    </row>
    <row r="3879" customFormat="false" ht="15" hidden="false" customHeight="false" outlineLevel="0" collapsed="false">
      <c r="L3879" s="37" t="str">
        <f aca="false">IF(C3879="","",IF(C3879&lt;=5,"Night (00-05)",IF(C3879&lt;=11,"Morning (06-11)",IF(C3879&lt;=16,"Afternoon (12-16)",IF(C3879&lt;=20,"Evening (17-20)","Late (21-23)")))))</f>
        <v/>
      </c>
    </row>
    <row r="3880" customFormat="false" ht="15" hidden="false" customHeight="false" outlineLevel="0" collapsed="false">
      <c r="L3880" s="37" t="str">
        <f aca="false">IF(C3880="","",IF(C3880&lt;=5,"Night (00-05)",IF(C3880&lt;=11,"Morning (06-11)",IF(C3880&lt;=16,"Afternoon (12-16)",IF(C3880&lt;=20,"Evening (17-20)","Late (21-23)")))))</f>
        <v/>
      </c>
    </row>
    <row r="3881" customFormat="false" ht="15" hidden="false" customHeight="false" outlineLevel="0" collapsed="false">
      <c r="L3881" s="37" t="str">
        <f aca="false">IF(C3881="","",IF(C3881&lt;=5,"Night (00-05)",IF(C3881&lt;=11,"Morning (06-11)",IF(C3881&lt;=16,"Afternoon (12-16)",IF(C3881&lt;=20,"Evening (17-20)","Late (21-23)")))))</f>
        <v/>
      </c>
    </row>
    <row r="3882" customFormat="false" ht="15" hidden="false" customHeight="false" outlineLevel="0" collapsed="false">
      <c r="L3882" s="37" t="str">
        <f aca="false">IF(C3882="","",IF(C3882&lt;=5,"Night (00-05)",IF(C3882&lt;=11,"Morning (06-11)",IF(C3882&lt;=16,"Afternoon (12-16)",IF(C3882&lt;=20,"Evening (17-20)","Late (21-23)")))))</f>
        <v/>
      </c>
    </row>
    <row r="3883" customFormat="false" ht="15" hidden="false" customHeight="false" outlineLevel="0" collapsed="false">
      <c r="L3883" s="37" t="str">
        <f aca="false">IF(C3883="","",IF(C3883&lt;=5,"Night (00-05)",IF(C3883&lt;=11,"Morning (06-11)",IF(C3883&lt;=16,"Afternoon (12-16)",IF(C3883&lt;=20,"Evening (17-20)","Late (21-23)")))))</f>
        <v/>
      </c>
    </row>
    <row r="3884" customFormat="false" ht="15" hidden="false" customHeight="false" outlineLevel="0" collapsed="false">
      <c r="L3884" s="37" t="str">
        <f aca="false">IF(C3884="","",IF(C3884&lt;=5,"Night (00-05)",IF(C3884&lt;=11,"Morning (06-11)",IF(C3884&lt;=16,"Afternoon (12-16)",IF(C3884&lt;=20,"Evening (17-20)","Late (21-23)")))))</f>
        <v/>
      </c>
    </row>
    <row r="3885" customFormat="false" ht="15" hidden="false" customHeight="false" outlineLevel="0" collapsed="false">
      <c r="L3885" s="37" t="str">
        <f aca="false">IF(C3885="","",IF(C3885&lt;=5,"Night (00-05)",IF(C3885&lt;=11,"Morning (06-11)",IF(C3885&lt;=16,"Afternoon (12-16)",IF(C3885&lt;=20,"Evening (17-20)","Late (21-23)")))))</f>
        <v/>
      </c>
    </row>
    <row r="3886" customFormat="false" ht="15" hidden="false" customHeight="false" outlineLevel="0" collapsed="false">
      <c r="L3886" s="37" t="str">
        <f aca="false">IF(C3886="","",IF(C3886&lt;=5,"Night (00-05)",IF(C3886&lt;=11,"Morning (06-11)",IF(C3886&lt;=16,"Afternoon (12-16)",IF(C3886&lt;=20,"Evening (17-20)","Late (21-23)")))))</f>
        <v/>
      </c>
    </row>
    <row r="3887" customFormat="false" ht="15" hidden="false" customHeight="false" outlineLevel="0" collapsed="false">
      <c r="L3887" s="37" t="str">
        <f aca="false">IF(C3887="","",IF(C3887&lt;=5,"Night (00-05)",IF(C3887&lt;=11,"Morning (06-11)",IF(C3887&lt;=16,"Afternoon (12-16)",IF(C3887&lt;=20,"Evening (17-20)","Late (21-23)")))))</f>
        <v/>
      </c>
    </row>
    <row r="3888" customFormat="false" ht="15" hidden="false" customHeight="false" outlineLevel="0" collapsed="false">
      <c r="L3888" s="37" t="str">
        <f aca="false">IF(C3888="","",IF(C3888&lt;=5,"Night (00-05)",IF(C3888&lt;=11,"Morning (06-11)",IF(C3888&lt;=16,"Afternoon (12-16)",IF(C3888&lt;=20,"Evening (17-20)","Late (21-23)")))))</f>
        <v/>
      </c>
    </row>
    <row r="3889" customFormat="false" ht="15" hidden="false" customHeight="false" outlineLevel="0" collapsed="false">
      <c r="L3889" s="37" t="str">
        <f aca="false">IF(C3889="","",IF(C3889&lt;=5,"Night (00-05)",IF(C3889&lt;=11,"Morning (06-11)",IF(C3889&lt;=16,"Afternoon (12-16)",IF(C3889&lt;=20,"Evening (17-20)","Late (21-23)")))))</f>
        <v/>
      </c>
    </row>
    <row r="3890" customFormat="false" ht="15" hidden="false" customHeight="false" outlineLevel="0" collapsed="false">
      <c r="L3890" s="37" t="str">
        <f aca="false">IF(C3890="","",IF(C3890&lt;=5,"Night (00-05)",IF(C3890&lt;=11,"Morning (06-11)",IF(C3890&lt;=16,"Afternoon (12-16)",IF(C3890&lt;=20,"Evening (17-20)","Late (21-23)")))))</f>
        <v/>
      </c>
    </row>
    <row r="3891" customFormat="false" ht="15" hidden="false" customHeight="false" outlineLevel="0" collapsed="false">
      <c r="L3891" s="37" t="str">
        <f aca="false">IF(C3891="","",IF(C3891&lt;=5,"Night (00-05)",IF(C3891&lt;=11,"Morning (06-11)",IF(C3891&lt;=16,"Afternoon (12-16)",IF(C3891&lt;=20,"Evening (17-20)","Late (21-23)")))))</f>
        <v/>
      </c>
    </row>
    <row r="3892" customFormat="false" ht="15" hidden="false" customHeight="false" outlineLevel="0" collapsed="false">
      <c r="L3892" s="37" t="str">
        <f aca="false">IF(C3892="","",IF(C3892&lt;=5,"Night (00-05)",IF(C3892&lt;=11,"Morning (06-11)",IF(C3892&lt;=16,"Afternoon (12-16)",IF(C3892&lt;=20,"Evening (17-20)","Late (21-23)")))))</f>
        <v/>
      </c>
    </row>
    <row r="3893" customFormat="false" ht="15" hidden="false" customHeight="false" outlineLevel="0" collapsed="false">
      <c r="L3893" s="37" t="str">
        <f aca="false">IF(C3893="","",IF(C3893&lt;=5,"Night (00-05)",IF(C3893&lt;=11,"Morning (06-11)",IF(C3893&lt;=16,"Afternoon (12-16)",IF(C3893&lt;=20,"Evening (17-20)","Late (21-23)")))))</f>
        <v/>
      </c>
    </row>
    <row r="3894" customFormat="false" ht="15" hidden="false" customHeight="false" outlineLevel="0" collapsed="false">
      <c r="L3894" s="37" t="str">
        <f aca="false">IF(C3894="","",IF(C3894&lt;=5,"Night (00-05)",IF(C3894&lt;=11,"Morning (06-11)",IF(C3894&lt;=16,"Afternoon (12-16)",IF(C3894&lt;=20,"Evening (17-20)","Late (21-23)")))))</f>
        <v/>
      </c>
    </row>
    <row r="3895" customFormat="false" ht="15" hidden="false" customHeight="false" outlineLevel="0" collapsed="false">
      <c r="L3895" s="37" t="str">
        <f aca="false">IF(C3895="","",IF(C3895&lt;=5,"Night (00-05)",IF(C3895&lt;=11,"Morning (06-11)",IF(C3895&lt;=16,"Afternoon (12-16)",IF(C3895&lt;=20,"Evening (17-20)","Late (21-23)")))))</f>
        <v/>
      </c>
    </row>
    <row r="3896" customFormat="false" ht="15" hidden="false" customHeight="false" outlineLevel="0" collapsed="false">
      <c r="L3896" s="37" t="str">
        <f aca="false">IF(C3896="","",IF(C3896&lt;=5,"Night (00-05)",IF(C3896&lt;=11,"Morning (06-11)",IF(C3896&lt;=16,"Afternoon (12-16)",IF(C3896&lt;=20,"Evening (17-20)","Late (21-23)")))))</f>
        <v/>
      </c>
    </row>
    <row r="3897" customFormat="false" ht="15" hidden="false" customHeight="false" outlineLevel="0" collapsed="false">
      <c r="L3897" s="37" t="str">
        <f aca="false">IF(C3897="","",IF(C3897&lt;=5,"Night (00-05)",IF(C3897&lt;=11,"Morning (06-11)",IF(C3897&lt;=16,"Afternoon (12-16)",IF(C3897&lt;=20,"Evening (17-20)","Late (21-23)")))))</f>
        <v/>
      </c>
    </row>
    <row r="3898" customFormat="false" ht="15" hidden="false" customHeight="false" outlineLevel="0" collapsed="false">
      <c r="L3898" s="37" t="str">
        <f aca="false">IF(C3898="","",IF(C3898&lt;=5,"Night (00-05)",IF(C3898&lt;=11,"Morning (06-11)",IF(C3898&lt;=16,"Afternoon (12-16)",IF(C3898&lt;=20,"Evening (17-20)","Late (21-23)")))))</f>
        <v/>
      </c>
    </row>
    <row r="3899" customFormat="false" ht="15" hidden="false" customHeight="false" outlineLevel="0" collapsed="false">
      <c r="L3899" s="37" t="str">
        <f aca="false">IF(C3899="","",IF(C3899&lt;=5,"Night (00-05)",IF(C3899&lt;=11,"Morning (06-11)",IF(C3899&lt;=16,"Afternoon (12-16)",IF(C3899&lt;=20,"Evening (17-20)","Late (21-23)")))))</f>
        <v/>
      </c>
    </row>
    <row r="3900" customFormat="false" ht="15" hidden="false" customHeight="false" outlineLevel="0" collapsed="false">
      <c r="L3900" s="37" t="str">
        <f aca="false">IF(C3900="","",IF(C3900&lt;=5,"Night (00-05)",IF(C3900&lt;=11,"Morning (06-11)",IF(C3900&lt;=16,"Afternoon (12-16)",IF(C3900&lt;=20,"Evening (17-20)","Late (21-23)")))))</f>
        <v/>
      </c>
    </row>
    <row r="3901" customFormat="false" ht="15" hidden="false" customHeight="false" outlineLevel="0" collapsed="false">
      <c r="L3901" s="37" t="str">
        <f aca="false">IF(C3901="","",IF(C3901&lt;=5,"Night (00-05)",IF(C3901&lt;=11,"Morning (06-11)",IF(C3901&lt;=16,"Afternoon (12-16)",IF(C3901&lt;=20,"Evening (17-20)","Late (21-23)")))))</f>
        <v/>
      </c>
    </row>
    <row r="3902" customFormat="false" ht="15" hidden="false" customHeight="false" outlineLevel="0" collapsed="false">
      <c r="L3902" s="37" t="str">
        <f aca="false">IF(C3902="","",IF(C3902&lt;=5,"Night (00-05)",IF(C3902&lt;=11,"Morning (06-11)",IF(C3902&lt;=16,"Afternoon (12-16)",IF(C3902&lt;=20,"Evening (17-20)","Late (21-23)")))))</f>
        <v/>
      </c>
    </row>
    <row r="3903" customFormat="false" ht="15" hidden="false" customHeight="false" outlineLevel="0" collapsed="false">
      <c r="L3903" s="37" t="str">
        <f aca="false">IF(C3903="","",IF(C3903&lt;=5,"Night (00-05)",IF(C3903&lt;=11,"Morning (06-11)",IF(C3903&lt;=16,"Afternoon (12-16)",IF(C3903&lt;=20,"Evening (17-20)","Late (21-23)")))))</f>
        <v/>
      </c>
    </row>
    <row r="3904" customFormat="false" ht="15" hidden="false" customHeight="false" outlineLevel="0" collapsed="false">
      <c r="L3904" s="37" t="str">
        <f aca="false">IF(C3904="","",IF(C3904&lt;=5,"Night (00-05)",IF(C3904&lt;=11,"Morning (06-11)",IF(C3904&lt;=16,"Afternoon (12-16)",IF(C3904&lt;=20,"Evening (17-20)","Late (21-23)")))))</f>
        <v/>
      </c>
    </row>
    <row r="3905" customFormat="false" ht="15" hidden="false" customHeight="false" outlineLevel="0" collapsed="false">
      <c r="L3905" s="37" t="str">
        <f aca="false">IF(C3905="","",IF(C3905&lt;=5,"Night (00-05)",IF(C3905&lt;=11,"Morning (06-11)",IF(C3905&lt;=16,"Afternoon (12-16)",IF(C3905&lt;=20,"Evening (17-20)","Late (21-23)")))))</f>
        <v/>
      </c>
    </row>
    <row r="3906" customFormat="false" ht="15" hidden="false" customHeight="false" outlineLevel="0" collapsed="false">
      <c r="L3906" s="37" t="str">
        <f aca="false">IF(C3906="","",IF(C3906&lt;=5,"Night (00-05)",IF(C3906&lt;=11,"Morning (06-11)",IF(C3906&lt;=16,"Afternoon (12-16)",IF(C3906&lt;=20,"Evening (17-20)","Late (21-23)")))))</f>
        <v/>
      </c>
    </row>
    <row r="3907" customFormat="false" ht="15" hidden="false" customHeight="false" outlineLevel="0" collapsed="false">
      <c r="L3907" s="37" t="str">
        <f aca="false">IF(C3907="","",IF(C3907&lt;=5,"Night (00-05)",IF(C3907&lt;=11,"Morning (06-11)",IF(C3907&lt;=16,"Afternoon (12-16)",IF(C3907&lt;=20,"Evening (17-20)","Late (21-23)")))))</f>
        <v/>
      </c>
    </row>
    <row r="3908" customFormat="false" ht="15" hidden="false" customHeight="false" outlineLevel="0" collapsed="false">
      <c r="L3908" s="37" t="str">
        <f aca="false">IF(C3908="","",IF(C3908&lt;=5,"Night (00-05)",IF(C3908&lt;=11,"Morning (06-11)",IF(C3908&lt;=16,"Afternoon (12-16)",IF(C3908&lt;=20,"Evening (17-20)","Late (21-23)")))))</f>
        <v/>
      </c>
    </row>
    <row r="3909" customFormat="false" ht="15" hidden="false" customHeight="false" outlineLevel="0" collapsed="false">
      <c r="L3909" s="37" t="str">
        <f aca="false">IF(C3909="","",IF(C3909&lt;=5,"Night (00-05)",IF(C3909&lt;=11,"Morning (06-11)",IF(C3909&lt;=16,"Afternoon (12-16)",IF(C3909&lt;=20,"Evening (17-20)","Late (21-23)")))))</f>
        <v/>
      </c>
    </row>
    <row r="3910" customFormat="false" ht="15" hidden="false" customHeight="false" outlineLevel="0" collapsed="false">
      <c r="L3910" s="37" t="str">
        <f aca="false">IF(C3910="","",IF(C3910&lt;=5,"Night (00-05)",IF(C3910&lt;=11,"Morning (06-11)",IF(C3910&lt;=16,"Afternoon (12-16)",IF(C3910&lt;=20,"Evening (17-20)","Late (21-23)")))))</f>
        <v/>
      </c>
    </row>
    <row r="3911" customFormat="false" ht="15" hidden="false" customHeight="false" outlineLevel="0" collapsed="false">
      <c r="L3911" s="37" t="str">
        <f aca="false">IF(C3911="","",IF(C3911&lt;=5,"Night (00-05)",IF(C3911&lt;=11,"Morning (06-11)",IF(C3911&lt;=16,"Afternoon (12-16)",IF(C3911&lt;=20,"Evening (17-20)","Late (21-23)")))))</f>
        <v/>
      </c>
    </row>
    <row r="3912" customFormat="false" ht="15" hidden="false" customHeight="false" outlineLevel="0" collapsed="false">
      <c r="L3912" s="37" t="str">
        <f aca="false">IF(C3912="","",IF(C3912&lt;=5,"Night (00-05)",IF(C3912&lt;=11,"Morning (06-11)",IF(C3912&lt;=16,"Afternoon (12-16)",IF(C3912&lt;=20,"Evening (17-20)","Late (21-23)")))))</f>
        <v/>
      </c>
    </row>
    <row r="3913" customFormat="false" ht="15" hidden="false" customHeight="false" outlineLevel="0" collapsed="false">
      <c r="L3913" s="37" t="str">
        <f aca="false">IF(C3913="","",IF(C3913&lt;=5,"Night (00-05)",IF(C3913&lt;=11,"Morning (06-11)",IF(C3913&lt;=16,"Afternoon (12-16)",IF(C3913&lt;=20,"Evening (17-20)","Late (21-23)")))))</f>
        <v/>
      </c>
    </row>
    <row r="3914" customFormat="false" ht="15" hidden="false" customHeight="false" outlineLevel="0" collapsed="false">
      <c r="L3914" s="37" t="str">
        <f aca="false">IF(C3914="","",IF(C3914&lt;=5,"Night (00-05)",IF(C3914&lt;=11,"Morning (06-11)",IF(C3914&lt;=16,"Afternoon (12-16)",IF(C3914&lt;=20,"Evening (17-20)","Late (21-23)")))))</f>
        <v/>
      </c>
    </row>
    <row r="3915" customFormat="false" ht="15" hidden="false" customHeight="false" outlineLevel="0" collapsed="false">
      <c r="L3915" s="37" t="str">
        <f aca="false">IF(C3915="","",IF(C3915&lt;=5,"Night (00-05)",IF(C3915&lt;=11,"Morning (06-11)",IF(C3915&lt;=16,"Afternoon (12-16)",IF(C3915&lt;=20,"Evening (17-20)","Late (21-23)")))))</f>
        <v/>
      </c>
    </row>
    <row r="3916" customFormat="false" ht="15" hidden="false" customHeight="false" outlineLevel="0" collapsed="false">
      <c r="L3916" s="37" t="str">
        <f aca="false">IF(C3916="","",IF(C3916&lt;=5,"Night (00-05)",IF(C3916&lt;=11,"Morning (06-11)",IF(C3916&lt;=16,"Afternoon (12-16)",IF(C3916&lt;=20,"Evening (17-20)","Late (21-23)")))))</f>
        <v/>
      </c>
    </row>
    <row r="3917" customFormat="false" ht="15" hidden="false" customHeight="false" outlineLevel="0" collapsed="false">
      <c r="L3917" s="37" t="str">
        <f aca="false">IF(C3917="","",IF(C3917&lt;=5,"Night (00-05)",IF(C3917&lt;=11,"Morning (06-11)",IF(C3917&lt;=16,"Afternoon (12-16)",IF(C3917&lt;=20,"Evening (17-20)","Late (21-23)")))))</f>
        <v/>
      </c>
    </row>
    <row r="3918" customFormat="false" ht="15" hidden="false" customHeight="false" outlineLevel="0" collapsed="false">
      <c r="L3918" s="37" t="str">
        <f aca="false">IF(C3918="","",IF(C3918&lt;=5,"Night (00-05)",IF(C3918&lt;=11,"Morning (06-11)",IF(C3918&lt;=16,"Afternoon (12-16)",IF(C3918&lt;=20,"Evening (17-20)","Late (21-23)")))))</f>
        <v/>
      </c>
    </row>
    <row r="3919" customFormat="false" ht="15" hidden="false" customHeight="false" outlineLevel="0" collapsed="false">
      <c r="L3919" s="37" t="str">
        <f aca="false">IF(C3919="","",IF(C3919&lt;=5,"Night (00-05)",IF(C3919&lt;=11,"Morning (06-11)",IF(C3919&lt;=16,"Afternoon (12-16)",IF(C3919&lt;=20,"Evening (17-20)","Late (21-23)")))))</f>
        <v/>
      </c>
    </row>
    <row r="3920" customFormat="false" ht="15" hidden="false" customHeight="false" outlineLevel="0" collapsed="false">
      <c r="L3920" s="37" t="str">
        <f aca="false">IF(C3920="","",IF(C3920&lt;=5,"Night (00-05)",IF(C3920&lt;=11,"Morning (06-11)",IF(C3920&lt;=16,"Afternoon (12-16)",IF(C3920&lt;=20,"Evening (17-20)","Late (21-23)")))))</f>
        <v/>
      </c>
    </row>
    <row r="3921" customFormat="false" ht="15" hidden="false" customHeight="false" outlineLevel="0" collapsed="false">
      <c r="L3921" s="37" t="str">
        <f aca="false">IF(C3921="","",IF(C3921&lt;=5,"Night (00-05)",IF(C3921&lt;=11,"Morning (06-11)",IF(C3921&lt;=16,"Afternoon (12-16)",IF(C3921&lt;=20,"Evening (17-20)","Late (21-23)")))))</f>
        <v/>
      </c>
    </row>
    <row r="3922" customFormat="false" ht="15" hidden="false" customHeight="false" outlineLevel="0" collapsed="false">
      <c r="L3922" s="37" t="str">
        <f aca="false">IF(C3922="","",IF(C3922&lt;=5,"Night (00-05)",IF(C3922&lt;=11,"Morning (06-11)",IF(C3922&lt;=16,"Afternoon (12-16)",IF(C3922&lt;=20,"Evening (17-20)","Late (21-23)")))))</f>
        <v/>
      </c>
    </row>
    <row r="3923" customFormat="false" ht="15" hidden="false" customHeight="false" outlineLevel="0" collapsed="false">
      <c r="L3923" s="37" t="str">
        <f aca="false">IF(C3923="","",IF(C3923&lt;=5,"Night (00-05)",IF(C3923&lt;=11,"Morning (06-11)",IF(C3923&lt;=16,"Afternoon (12-16)",IF(C3923&lt;=20,"Evening (17-20)","Late (21-23)")))))</f>
        <v/>
      </c>
    </row>
    <row r="3924" customFormat="false" ht="15" hidden="false" customHeight="false" outlineLevel="0" collapsed="false">
      <c r="L3924" s="37" t="str">
        <f aca="false">IF(C3924="","",IF(C3924&lt;=5,"Night (00-05)",IF(C3924&lt;=11,"Morning (06-11)",IF(C3924&lt;=16,"Afternoon (12-16)",IF(C3924&lt;=20,"Evening (17-20)","Late (21-23)")))))</f>
        <v/>
      </c>
    </row>
    <row r="3925" customFormat="false" ht="15" hidden="false" customHeight="false" outlineLevel="0" collapsed="false">
      <c r="L3925" s="37" t="str">
        <f aca="false">IF(C3925="","",IF(C3925&lt;=5,"Night (00-05)",IF(C3925&lt;=11,"Morning (06-11)",IF(C3925&lt;=16,"Afternoon (12-16)",IF(C3925&lt;=20,"Evening (17-20)","Late (21-23)")))))</f>
        <v/>
      </c>
    </row>
    <row r="3926" customFormat="false" ht="15" hidden="false" customHeight="false" outlineLevel="0" collapsed="false">
      <c r="L3926" s="37" t="str">
        <f aca="false">IF(C3926="","",IF(C3926&lt;=5,"Night (00-05)",IF(C3926&lt;=11,"Morning (06-11)",IF(C3926&lt;=16,"Afternoon (12-16)",IF(C3926&lt;=20,"Evening (17-20)","Late (21-23)")))))</f>
        <v/>
      </c>
    </row>
    <row r="3927" customFormat="false" ht="15" hidden="false" customHeight="false" outlineLevel="0" collapsed="false">
      <c r="L3927" s="37" t="str">
        <f aca="false">IF(C3927="","",IF(C3927&lt;=5,"Night (00-05)",IF(C3927&lt;=11,"Morning (06-11)",IF(C3927&lt;=16,"Afternoon (12-16)",IF(C3927&lt;=20,"Evening (17-20)","Late (21-23)")))))</f>
        <v/>
      </c>
    </row>
    <row r="3928" customFormat="false" ht="15" hidden="false" customHeight="false" outlineLevel="0" collapsed="false">
      <c r="L3928" s="37" t="str">
        <f aca="false">IF(C3928="","",IF(C3928&lt;=5,"Night (00-05)",IF(C3928&lt;=11,"Morning (06-11)",IF(C3928&lt;=16,"Afternoon (12-16)",IF(C3928&lt;=20,"Evening (17-20)","Late (21-23)")))))</f>
        <v/>
      </c>
    </row>
    <row r="3929" customFormat="false" ht="15" hidden="false" customHeight="false" outlineLevel="0" collapsed="false">
      <c r="L3929" s="37" t="str">
        <f aca="false">IF(C3929="","",IF(C3929&lt;=5,"Night (00-05)",IF(C3929&lt;=11,"Morning (06-11)",IF(C3929&lt;=16,"Afternoon (12-16)",IF(C3929&lt;=20,"Evening (17-20)","Late (21-23)")))))</f>
        <v/>
      </c>
    </row>
    <row r="3930" customFormat="false" ht="15" hidden="false" customHeight="false" outlineLevel="0" collapsed="false">
      <c r="L3930" s="37" t="str">
        <f aca="false">IF(C3930="","",IF(C3930&lt;=5,"Night (00-05)",IF(C3930&lt;=11,"Morning (06-11)",IF(C3930&lt;=16,"Afternoon (12-16)",IF(C3930&lt;=20,"Evening (17-20)","Late (21-23)")))))</f>
        <v/>
      </c>
    </row>
    <row r="3931" customFormat="false" ht="15" hidden="false" customHeight="false" outlineLevel="0" collapsed="false">
      <c r="L3931" s="37" t="str">
        <f aca="false">IF(C3931="","",IF(C3931&lt;=5,"Night (00-05)",IF(C3931&lt;=11,"Morning (06-11)",IF(C3931&lt;=16,"Afternoon (12-16)",IF(C3931&lt;=20,"Evening (17-20)","Late (21-23)")))))</f>
        <v/>
      </c>
    </row>
    <row r="3932" customFormat="false" ht="15" hidden="false" customHeight="false" outlineLevel="0" collapsed="false">
      <c r="L3932" s="37" t="str">
        <f aca="false">IF(C3932="","",IF(C3932&lt;=5,"Night (00-05)",IF(C3932&lt;=11,"Morning (06-11)",IF(C3932&lt;=16,"Afternoon (12-16)",IF(C3932&lt;=20,"Evening (17-20)","Late (21-23)")))))</f>
        <v/>
      </c>
    </row>
    <row r="3933" customFormat="false" ht="15" hidden="false" customHeight="false" outlineLevel="0" collapsed="false">
      <c r="L3933" s="37" t="str">
        <f aca="false">IF(C3933="","",IF(C3933&lt;=5,"Night (00-05)",IF(C3933&lt;=11,"Morning (06-11)",IF(C3933&lt;=16,"Afternoon (12-16)",IF(C3933&lt;=20,"Evening (17-20)","Late (21-23)")))))</f>
        <v/>
      </c>
    </row>
    <row r="3934" customFormat="false" ht="15" hidden="false" customHeight="false" outlineLevel="0" collapsed="false">
      <c r="L3934" s="37" t="str">
        <f aca="false">IF(C3934="","",IF(C3934&lt;=5,"Night (00-05)",IF(C3934&lt;=11,"Morning (06-11)",IF(C3934&lt;=16,"Afternoon (12-16)",IF(C3934&lt;=20,"Evening (17-20)","Late (21-23)")))))</f>
        <v/>
      </c>
    </row>
    <row r="3935" customFormat="false" ht="15" hidden="false" customHeight="false" outlineLevel="0" collapsed="false">
      <c r="L3935" s="37" t="str">
        <f aca="false">IF(C3935="","",IF(C3935&lt;=5,"Night (00-05)",IF(C3935&lt;=11,"Morning (06-11)",IF(C3935&lt;=16,"Afternoon (12-16)",IF(C3935&lt;=20,"Evening (17-20)","Late (21-23)")))))</f>
        <v/>
      </c>
    </row>
    <row r="3936" customFormat="false" ht="15" hidden="false" customHeight="false" outlineLevel="0" collapsed="false">
      <c r="L3936" s="37" t="str">
        <f aca="false">IF(C3936="","",IF(C3936&lt;=5,"Night (00-05)",IF(C3936&lt;=11,"Morning (06-11)",IF(C3936&lt;=16,"Afternoon (12-16)",IF(C3936&lt;=20,"Evening (17-20)","Late (21-23)")))))</f>
        <v/>
      </c>
    </row>
    <row r="3937" customFormat="false" ht="15" hidden="false" customHeight="false" outlineLevel="0" collapsed="false">
      <c r="L3937" s="37" t="str">
        <f aca="false">IF(C3937="","",IF(C3937&lt;=5,"Night (00-05)",IF(C3937&lt;=11,"Morning (06-11)",IF(C3937&lt;=16,"Afternoon (12-16)",IF(C3937&lt;=20,"Evening (17-20)","Late (21-23)")))))</f>
        <v/>
      </c>
    </row>
    <row r="3938" customFormat="false" ht="15" hidden="false" customHeight="false" outlineLevel="0" collapsed="false">
      <c r="L3938" s="37" t="str">
        <f aca="false">IF(C3938="","",IF(C3938&lt;=5,"Night (00-05)",IF(C3938&lt;=11,"Morning (06-11)",IF(C3938&lt;=16,"Afternoon (12-16)",IF(C3938&lt;=20,"Evening (17-20)","Late (21-23)")))))</f>
        <v/>
      </c>
    </row>
    <row r="3939" customFormat="false" ht="15" hidden="false" customHeight="false" outlineLevel="0" collapsed="false">
      <c r="L3939" s="37" t="str">
        <f aca="false">IF(C3939="","",IF(C3939&lt;=5,"Night (00-05)",IF(C3939&lt;=11,"Morning (06-11)",IF(C3939&lt;=16,"Afternoon (12-16)",IF(C3939&lt;=20,"Evening (17-20)","Late (21-23)")))))</f>
        <v/>
      </c>
    </row>
    <row r="3940" customFormat="false" ht="15" hidden="false" customHeight="false" outlineLevel="0" collapsed="false">
      <c r="L3940" s="37" t="str">
        <f aca="false">IF(C3940="","",IF(C3940&lt;=5,"Night (00-05)",IF(C3940&lt;=11,"Morning (06-11)",IF(C3940&lt;=16,"Afternoon (12-16)",IF(C3940&lt;=20,"Evening (17-20)","Late (21-23)")))))</f>
        <v/>
      </c>
    </row>
    <row r="3941" customFormat="false" ht="15" hidden="false" customHeight="false" outlineLevel="0" collapsed="false">
      <c r="L3941" s="37" t="str">
        <f aca="false">IF(C3941="","",IF(C3941&lt;=5,"Night (00-05)",IF(C3941&lt;=11,"Morning (06-11)",IF(C3941&lt;=16,"Afternoon (12-16)",IF(C3941&lt;=20,"Evening (17-20)","Late (21-23)")))))</f>
        <v/>
      </c>
    </row>
    <row r="3942" customFormat="false" ht="15" hidden="false" customHeight="false" outlineLevel="0" collapsed="false">
      <c r="L3942" s="37" t="str">
        <f aca="false">IF(C3942="","",IF(C3942&lt;=5,"Night (00-05)",IF(C3942&lt;=11,"Morning (06-11)",IF(C3942&lt;=16,"Afternoon (12-16)",IF(C3942&lt;=20,"Evening (17-20)","Late (21-23)")))))</f>
        <v/>
      </c>
    </row>
    <row r="3943" customFormat="false" ht="15" hidden="false" customHeight="false" outlineLevel="0" collapsed="false">
      <c r="L3943" s="37" t="str">
        <f aca="false">IF(C3943="","",IF(C3943&lt;=5,"Night (00-05)",IF(C3943&lt;=11,"Morning (06-11)",IF(C3943&lt;=16,"Afternoon (12-16)",IF(C3943&lt;=20,"Evening (17-20)","Late (21-23)")))))</f>
        <v/>
      </c>
    </row>
    <row r="3944" customFormat="false" ht="15" hidden="false" customHeight="false" outlineLevel="0" collapsed="false">
      <c r="L3944" s="37" t="str">
        <f aca="false">IF(C3944="","",IF(C3944&lt;=5,"Night (00-05)",IF(C3944&lt;=11,"Morning (06-11)",IF(C3944&lt;=16,"Afternoon (12-16)",IF(C3944&lt;=20,"Evening (17-20)","Late (21-23)")))))</f>
        <v/>
      </c>
    </row>
    <row r="3945" customFormat="false" ht="15" hidden="false" customHeight="false" outlineLevel="0" collapsed="false">
      <c r="L3945" s="37" t="str">
        <f aca="false">IF(C3945="","",IF(C3945&lt;=5,"Night (00-05)",IF(C3945&lt;=11,"Morning (06-11)",IF(C3945&lt;=16,"Afternoon (12-16)",IF(C3945&lt;=20,"Evening (17-20)","Late (21-23)")))))</f>
        <v/>
      </c>
    </row>
    <row r="3946" customFormat="false" ht="15" hidden="false" customHeight="false" outlineLevel="0" collapsed="false">
      <c r="L3946" s="37" t="str">
        <f aca="false">IF(C3946="","",IF(C3946&lt;=5,"Night (00-05)",IF(C3946&lt;=11,"Morning (06-11)",IF(C3946&lt;=16,"Afternoon (12-16)",IF(C3946&lt;=20,"Evening (17-20)","Late (21-23)")))))</f>
        <v/>
      </c>
    </row>
    <row r="3947" customFormat="false" ht="15" hidden="false" customHeight="false" outlineLevel="0" collapsed="false">
      <c r="L3947" s="37" t="str">
        <f aca="false">IF(C3947="","",IF(C3947&lt;=5,"Night (00-05)",IF(C3947&lt;=11,"Morning (06-11)",IF(C3947&lt;=16,"Afternoon (12-16)",IF(C3947&lt;=20,"Evening (17-20)","Late (21-23)")))))</f>
        <v/>
      </c>
    </row>
    <row r="3948" customFormat="false" ht="15" hidden="false" customHeight="false" outlineLevel="0" collapsed="false">
      <c r="L3948" s="37" t="str">
        <f aca="false">IF(C3948="","",IF(C3948&lt;=5,"Night (00-05)",IF(C3948&lt;=11,"Morning (06-11)",IF(C3948&lt;=16,"Afternoon (12-16)",IF(C3948&lt;=20,"Evening (17-20)","Late (21-23)")))))</f>
        <v/>
      </c>
    </row>
    <row r="3949" customFormat="false" ht="15" hidden="false" customHeight="false" outlineLevel="0" collapsed="false">
      <c r="L3949" s="37" t="str">
        <f aca="false">IF(C3949="","",IF(C3949&lt;=5,"Night (00-05)",IF(C3949&lt;=11,"Morning (06-11)",IF(C3949&lt;=16,"Afternoon (12-16)",IF(C3949&lt;=20,"Evening (17-20)","Late (21-23)")))))</f>
        <v/>
      </c>
    </row>
    <row r="3950" customFormat="false" ht="15" hidden="false" customHeight="false" outlineLevel="0" collapsed="false">
      <c r="L3950" s="37" t="str">
        <f aca="false">IF(C3950="","",IF(C3950&lt;=5,"Night (00-05)",IF(C3950&lt;=11,"Morning (06-11)",IF(C3950&lt;=16,"Afternoon (12-16)",IF(C3950&lt;=20,"Evening (17-20)","Late (21-23)")))))</f>
        <v/>
      </c>
    </row>
    <row r="3951" customFormat="false" ht="15" hidden="false" customHeight="false" outlineLevel="0" collapsed="false">
      <c r="L3951" s="37" t="str">
        <f aca="false">IF(C3951="","",IF(C3951&lt;=5,"Night (00-05)",IF(C3951&lt;=11,"Morning (06-11)",IF(C3951&lt;=16,"Afternoon (12-16)",IF(C3951&lt;=20,"Evening (17-20)","Late (21-23)")))))</f>
        <v/>
      </c>
    </row>
    <row r="3952" customFormat="false" ht="15" hidden="false" customHeight="false" outlineLevel="0" collapsed="false">
      <c r="L3952" s="37" t="str">
        <f aca="false">IF(C3952="","",IF(C3952&lt;=5,"Night (00-05)",IF(C3952&lt;=11,"Morning (06-11)",IF(C3952&lt;=16,"Afternoon (12-16)",IF(C3952&lt;=20,"Evening (17-20)","Late (21-23)")))))</f>
        <v/>
      </c>
    </row>
    <row r="3953" customFormat="false" ht="15" hidden="false" customHeight="false" outlineLevel="0" collapsed="false">
      <c r="L3953" s="37" t="str">
        <f aca="false">IF(C3953="","",IF(C3953&lt;=5,"Night (00-05)",IF(C3953&lt;=11,"Morning (06-11)",IF(C3953&lt;=16,"Afternoon (12-16)",IF(C3953&lt;=20,"Evening (17-20)","Late (21-23)")))))</f>
        <v/>
      </c>
    </row>
    <row r="3954" customFormat="false" ht="15" hidden="false" customHeight="false" outlineLevel="0" collapsed="false">
      <c r="L3954" s="37" t="str">
        <f aca="false">IF(C3954="","",IF(C3954&lt;=5,"Night (00-05)",IF(C3954&lt;=11,"Morning (06-11)",IF(C3954&lt;=16,"Afternoon (12-16)",IF(C3954&lt;=20,"Evening (17-20)","Late (21-23)")))))</f>
        <v/>
      </c>
    </row>
    <row r="3955" customFormat="false" ht="15" hidden="false" customHeight="false" outlineLevel="0" collapsed="false">
      <c r="L3955" s="37" t="str">
        <f aca="false">IF(C3955="","",IF(C3955&lt;=5,"Night (00-05)",IF(C3955&lt;=11,"Morning (06-11)",IF(C3955&lt;=16,"Afternoon (12-16)",IF(C3955&lt;=20,"Evening (17-20)","Late (21-23)")))))</f>
        <v/>
      </c>
    </row>
    <row r="3956" customFormat="false" ht="15" hidden="false" customHeight="false" outlineLevel="0" collapsed="false">
      <c r="L3956" s="37" t="str">
        <f aca="false">IF(C3956="","",IF(C3956&lt;=5,"Night (00-05)",IF(C3956&lt;=11,"Morning (06-11)",IF(C3956&lt;=16,"Afternoon (12-16)",IF(C3956&lt;=20,"Evening (17-20)","Late (21-23)")))))</f>
        <v/>
      </c>
    </row>
    <row r="3957" customFormat="false" ht="15" hidden="false" customHeight="false" outlineLevel="0" collapsed="false">
      <c r="L3957" s="37" t="str">
        <f aca="false">IF(C3957="","",IF(C3957&lt;=5,"Night (00-05)",IF(C3957&lt;=11,"Morning (06-11)",IF(C3957&lt;=16,"Afternoon (12-16)",IF(C3957&lt;=20,"Evening (17-20)","Late (21-23)")))))</f>
        <v/>
      </c>
    </row>
    <row r="3958" customFormat="false" ht="15" hidden="false" customHeight="false" outlineLevel="0" collapsed="false">
      <c r="L3958" s="37" t="str">
        <f aca="false">IF(C3958="","",IF(C3958&lt;=5,"Night (00-05)",IF(C3958&lt;=11,"Morning (06-11)",IF(C3958&lt;=16,"Afternoon (12-16)",IF(C3958&lt;=20,"Evening (17-20)","Late (21-23)")))))</f>
        <v/>
      </c>
    </row>
    <row r="3959" customFormat="false" ht="15" hidden="false" customHeight="false" outlineLevel="0" collapsed="false">
      <c r="L3959" s="37" t="str">
        <f aca="false">IF(C3959="","",IF(C3959&lt;=5,"Night (00-05)",IF(C3959&lt;=11,"Morning (06-11)",IF(C3959&lt;=16,"Afternoon (12-16)",IF(C3959&lt;=20,"Evening (17-20)","Late (21-23)")))))</f>
        <v/>
      </c>
    </row>
    <row r="3960" customFormat="false" ht="15" hidden="false" customHeight="false" outlineLevel="0" collapsed="false">
      <c r="L3960" s="37" t="str">
        <f aca="false">IF(C3960="","",IF(C3960&lt;=5,"Night (00-05)",IF(C3960&lt;=11,"Morning (06-11)",IF(C3960&lt;=16,"Afternoon (12-16)",IF(C3960&lt;=20,"Evening (17-20)","Late (21-23)")))))</f>
        <v/>
      </c>
    </row>
    <row r="3961" customFormat="false" ht="15" hidden="false" customHeight="false" outlineLevel="0" collapsed="false">
      <c r="L3961" s="37" t="str">
        <f aca="false">IF(C3961="","",IF(C3961&lt;=5,"Night (00-05)",IF(C3961&lt;=11,"Morning (06-11)",IF(C3961&lt;=16,"Afternoon (12-16)",IF(C3961&lt;=20,"Evening (17-20)","Late (21-23)")))))</f>
        <v/>
      </c>
    </row>
    <row r="3962" customFormat="false" ht="15" hidden="false" customHeight="false" outlineLevel="0" collapsed="false">
      <c r="L3962" s="37" t="str">
        <f aca="false">IF(C3962="","",IF(C3962&lt;=5,"Night (00-05)",IF(C3962&lt;=11,"Morning (06-11)",IF(C3962&lt;=16,"Afternoon (12-16)",IF(C3962&lt;=20,"Evening (17-20)","Late (21-23)")))))</f>
        <v/>
      </c>
    </row>
    <row r="3963" customFormat="false" ht="15" hidden="false" customHeight="false" outlineLevel="0" collapsed="false">
      <c r="L3963" s="37" t="str">
        <f aca="false">IF(C3963="","",IF(C3963&lt;=5,"Night (00-05)",IF(C3963&lt;=11,"Morning (06-11)",IF(C3963&lt;=16,"Afternoon (12-16)",IF(C3963&lt;=20,"Evening (17-20)","Late (21-23)")))))</f>
        <v/>
      </c>
    </row>
    <row r="3964" customFormat="false" ht="15" hidden="false" customHeight="false" outlineLevel="0" collapsed="false">
      <c r="L3964" s="37" t="str">
        <f aca="false">IF(C3964="","",IF(C3964&lt;=5,"Night (00-05)",IF(C3964&lt;=11,"Morning (06-11)",IF(C3964&lt;=16,"Afternoon (12-16)",IF(C3964&lt;=20,"Evening (17-20)","Late (21-23)")))))</f>
        <v/>
      </c>
    </row>
    <row r="3965" customFormat="false" ht="15" hidden="false" customHeight="false" outlineLevel="0" collapsed="false">
      <c r="L3965" s="37" t="str">
        <f aca="false">IF(C3965="","",IF(C3965&lt;=5,"Night (00-05)",IF(C3965&lt;=11,"Morning (06-11)",IF(C3965&lt;=16,"Afternoon (12-16)",IF(C3965&lt;=20,"Evening (17-20)","Late (21-23)")))))</f>
        <v/>
      </c>
    </row>
    <row r="3966" customFormat="false" ht="15" hidden="false" customHeight="false" outlineLevel="0" collapsed="false">
      <c r="L3966" s="37" t="str">
        <f aca="false">IF(C3966="","",IF(C3966&lt;=5,"Night (00-05)",IF(C3966&lt;=11,"Morning (06-11)",IF(C3966&lt;=16,"Afternoon (12-16)",IF(C3966&lt;=20,"Evening (17-20)","Late (21-23)")))))</f>
        <v/>
      </c>
    </row>
    <row r="3967" customFormat="false" ht="15" hidden="false" customHeight="false" outlineLevel="0" collapsed="false">
      <c r="L3967" s="37" t="str">
        <f aca="false">IF(C3967="","",IF(C3967&lt;=5,"Night (00-05)",IF(C3967&lt;=11,"Morning (06-11)",IF(C3967&lt;=16,"Afternoon (12-16)",IF(C3967&lt;=20,"Evening (17-20)","Late (21-23)")))))</f>
        <v/>
      </c>
    </row>
    <row r="3968" customFormat="false" ht="15" hidden="false" customHeight="false" outlineLevel="0" collapsed="false">
      <c r="L3968" s="37" t="str">
        <f aca="false">IF(C3968="","",IF(C3968&lt;=5,"Night (00-05)",IF(C3968&lt;=11,"Morning (06-11)",IF(C3968&lt;=16,"Afternoon (12-16)",IF(C3968&lt;=20,"Evening (17-20)","Late (21-23)")))))</f>
        <v/>
      </c>
    </row>
    <row r="3969" customFormat="false" ht="15" hidden="false" customHeight="false" outlineLevel="0" collapsed="false">
      <c r="L3969" s="37" t="str">
        <f aca="false">IF(C3969="","",IF(C3969&lt;=5,"Night (00-05)",IF(C3969&lt;=11,"Morning (06-11)",IF(C3969&lt;=16,"Afternoon (12-16)",IF(C3969&lt;=20,"Evening (17-20)","Late (21-23)")))))</f>
        <v/>
      </c>
    </row>
    <row r="3970" customFormat="false" ht="15" hidden="false" customHeight="false" outlineLevel="0" collapsed="false">
      <c r="L3970" s="37" t="str">
        <f aca="false">IF(C3970="","",IF(C3970&lt;=5,"Night (00-05)",IF(C3970&lt;=11,"Morning (06-11)",IF(C3970&lt;=16,"Afternoon (12-16)",IF(C3970&lt;=20,"Evening (17-20)","Late (21-23)")))))</f>
        <v/>
      </c>
    </row>
    <row r="3971" customFormat="false" ht="15" hidden="false" customHeight="false" outlineLevel="0" collapsed="false">
      <c r="L3971" s="37" t="str">
        <f aca="false">IF(C3971="","",IF(C3971&lt;=5,"Night (00-05)",IF(C3971&lt;=11,"Morning (06-11)",IF(C3971&lt;=16,"Afternoon (12-16)",IF(C3971&lt;=20,"Evening (17-20)","Late (21-23)")))))</f>
        <v/>
      </c>
    </row>
    <row r="3972" customFormat="false" ht="15" hidden="false" customHeight="false" outlineLevel="0" collapsed="false">
      <c r="L3972" s="37" t="str">
        <f aca="false">IF(C3972="","",IF(C3972&lt;=5,"Night (00-05)",IF(C3972&lt;=11,"Morning (06-11)",IF(C3972&lt;=16,"Afternoon (12-16)",IF(C3972&lt;=20,"Evening (17-20)","Late (21-23)")))))</f>
        <v/>
      </c>
    </row>
    <row r="3973" customFormat="false" ht="15" hidden="false" customHeight="false" outlineLevel="0" collapsed="false">
      <c r="L3973" s="37" t="str">
        <f aca="false">IF(C3973="","",IF(C3973&lt;=5,"Night (00-05)",IF(C3973&lt;=11,"Morning (06-11)",IF(C3973&lt;=16,"Afternoon (12-16)",IF(C3973&lt;=20,"Evening (17-20)","Late (21-23)")))))</f>
        <v/>
      </c>
    </row>
    <row r="3974" customFormat="false" ht="15" hidden="false" customHeight="false" outlineLevel="0" collapsed="false">
      <c r="L3974" s="37" t="str">
        <f aca="false">IF(C3974="","",IF(C3974&lt;=5,"Night (00-05)",IF(C3974&lt;=11,"Morning (06-11)",IF(C3974&lt;=16,"Afternoon (12-16)",IF(C3974&lt;=20,"Evening (17-20)","Late (21-23)")))))</f>
        <v/>
      </c>
    </row>
    <row r="3975" customFormat="false" ht="15" hidden="false" customHeight="false" outlineLevel="0" collapsed="false">
      <c r="L3975" s="37" t="str">
        <f aca="false">IF(C3975="","",IF(C3975&lt;=5,"Night (00-05)",IF(C3975&lt;=11,"Morning (06-11)",IF(C3975&lt;=16,"Afternoon (12-16)",IF(C3975&lt;=20,"Evening (17-20)","Late (21-23)")))))</f>
        <v/>
      </c>
    </row>
    <row r="3976" customFormat="false" ht="15" hidden="false" customHeight="false" outlineLevel="0" collapsed="false">
      <c r="L3976" s="37" t="str">
        <f aca="false">IF(C3976="","",IF(C3976&lt;=5,"Night (00-05)",IF(C3976&lt;=11,"Morning (06-11)",IF(C3976&lt;=16,"Afternoon (12-16)",IF(C3976&lt;=20,"Evening (17-20)","Late (21-23)")))))</f>
        <v/>
      </c>
    </row>
    <row r="3977" customFormat="false" ht="15" hidden="false" customHeight="false" outlineLevel="0" collapsed="false">
      <c r="L3977" s="37" t="str">
        <f aca="false">IF(C3977="","",IF(C3977&lt;=5,"Night (00-05)",IF(C3977&lt;=11,"Morning (06-11)",IF(C3977&lt;=16,"Afternoon (12-16)",IF(C3977&lt;=20,"Evening (17-20)","Late (21-23)")))))</f>
        <v/>
      </c>
    </row>
    <row r="3978" customFormat="false" ht="15" hidden="false" customHeight="false" outlineLevel="0" collapsed="false">
      <c r="L3978" s="37" t="str">
        <f aca="false">IF(C3978="","",IF(C3978&lt;=5,"Night (00-05)",IF(C3978&lt;=11,"Morning (06-11)",IF(C3978&lt;=16,"Afternoon (12-16)",IF(C3978&lt;=20,"Evening (17-20)","Late (21-23)")))))</f>
        <v/>
      </c>
    </row>
    <row r="3979" customFormat="false" ht="15" hidden="false" customHeight="false" outlineLevel="0" collapsed="false">
      <c r="L3979" s="37" t="str">
        <f aca="false">IF(C3979="","",IF(C3979&lt;=5,"Night (00-05)",IF(C3979&lt;=11,"Morning (06-11)",IF(C3979&lt;=16,"Afternoon (12-16)",IF(C3979&lt;=20,"Evening (17-20)","Late (21-23)")))))</f>
        <v/>
      </c>
    </row>
    <row r="3980" customFormat="false" ht="15" hidden="false" customHeight="false" outlineLevel="0" collapsed="false">
      <c r="L3980" s="37" t="str">
        <f aca="false">IF(C3980="","",IF(C3980&lt;=5,"Night (00-05)",IF(C3980&lt;=11,"Morning (06-11)",IF(C3980&lt;=16,"Afternoon (12-16)",IF(C3980&lt;=20,"Evening (17-20)","Late (21-23)")))))</f>
        <v/>
      </c>
    </row>
    <row r="3981" customFormat="false" ht="15" hidden="false" customHeight="false" outlineLevel="0" collapsed="false">
      <c r="L3981" s="37" t="str">
        <f aca="false">IF(C3981="","",IF(C3981&lt;=5,"Night (00-05)",IF(C3981&lt;=11,"Morning (06-11)",IF(C3981&lt;=16,"Afternoon (12-16)",IF(C3981&lt;=20,"Evening (17-20)","Late (21-23)")))))</f>
        <v/>
      </c>
    </row>
    <row r="3982" customFormat="false" ht="15" hidden="false" customHeight="false" outlineLevel="0" collapsed="false">
      <c r="L3982" s="37" t="str">
        <f aca="false">IF(C3982="","",IF(C3982&lt;=5,"Night (00-05)",IF(C3982&lt;=11,"Morning (06-11)",IF(C3982&lt;=16,"Afternoon (12-16)",IF(C3982&lt;=20,"Evening (17-20)","Late (21-23)")))))</f>
        <v/>
      </c>
    </row>
    <row r="3983" customFormat="false" ht="15" hidden="false" customHeight="false" outlineLevel="0" collapsed="false">
      <c r="L3983" s="37" t="str">
        <f aca="false">IF(C3983="","",IF(C3983&lt;=5,"Night (00-05)",IF(C3983&lt;=11,"Morning (06-11)",IF(C3983&lt;=16,"Afternoon (12-16)",IF(C3983&lt;=20,"Evening (17-20)","Late (21-23)")))))</f>
        <v/>
      </c>
    </row>
    <row r="3984" customFormat="false" ht="15" hidden="false" customHeight="false" outlineLevel="0" collapsed="false">
      <c r="L3984" s="37" t="str">
        <f aca="false">IF(C3984="","",IF(C3984&lt;=5,"Night (00-05)",IF(C3984&lt;=11,"Morning (06-11)",IF(C3984&lt;=16,"Afternoon (12-16)",IF(C3984&lt;=20,"Evening (17-20)","Late (21-23)")))))</f>
        <v/>
      </c>
    </row>
    <row r="3985" customFormat="false" ht="15" hidden="false" customHeight="false" outlineLevel="0" collapsed="false">
      <c r="L3985" s="37" t="str">
        <f aca="false">IF(C3985="","",IF(C3985&lt;=5,"Night (00-05)",IF(C3985&lt;=11,"Morning (06-11)",IF(C3985&lt;=16,"Afternoon (12-16)",IF(C3985&lt;=20,"Evening (17-20)","Late (21-23)")))))</f>
        <v/>
      </c>
    </row>
    <row r="3986" customFormat="false" ht="15" hidden="false" customHeight="false" outlineLevel="0" collapsed="false">
      <c r="L3986" s="37" t="str">
        <f aca="false">IF(C3986="","",IF(C3986&lt;=5,"Night (00-05)",IF(C3986&lt;=11,"Morning (06-11)",IF(C3986&lt;=16,"Afternoon (12-16)",IF(C3986&lt;=20,"Evening (17-20)","Late (21-23)")))))</f>
        <v/>
      </c>
    </row>
    <row r="3987" customFormat="false" ht="15" hidden="false" customHeight="false" outlineLevel="0" collapsed="false">
      <c r="L3987" s="37" t="str">
        <f aca="false">IF(C3987="","",IF(C3987&lt;=5,"Night (00-05)",IF(C3987&lt;=11,"Morning (06-11)",IF(C3987&lt;=16,"Afternoon (12-16)",IF(C3987&lt;=20,"Evening (17-20)","Late (21-23)")))))</f>
        <v/>
      </c>
    </row>
    <row r="3988" customFormat="false" ht="15" hidden="false" customHeight="false" outlineLevel="0" collapsed="false">
      <c r="L3988" s="37" t="str">
        <f aca="false">IF(C3988="","",IF(C3988&lt;=5,"Night (00-05)",IF(C3988&lt;=11,"Morning (06-11)",IF(C3988&lt;=16,"Afternoon (12-16)",IF(C3988&lt;=20,"Evening (17-20)","Late (21-23)")))))</f>
        <v/>
      </c>
    </row>
    <row r="3989" customFormat="false" ht="15" hidden="false" customHeight="false" outlineLevel="0" collapsed="false">
      <c r="L3989" s="37" t="str">
        <f aca="false">IF(C3989="","",IF(C3989&lt;=5,"Night (00-05)",IF(C3989&lt;=11,"Morning (06-11)",IF(C3989&lt;=16,"Afternoon (12-16)",IF(C3989&lt;=20,"Evening (17-20)","Late (21-23)")))))</f>
        <v/>
      </c>
    </row>
    <row r="3990" customFormat="false" ht="15" hidden="false" customHeight="false" outlineLevel="0" collapsed="false">
      <c r="L3990" s="37" t="str">
        <f aca="false">IF(C3990="","",IF(C3990&lt;=5,"Night (00-05)",IF(C3990&lt;=11,"Morning (06-11)",IF(C3990&lt;=16,"Afternoon (12-16)",IF(C3990&lt;=20,"Evening (17-20)","Late (21-23)")))))</f>
        <v/>
      </c>
    </row>
    <row r="3991" customFormat="false" ht="15" hidden="false" customHeight="false" outlineLevel="0" collapsed="false">
      <c r="L3991" s="37" t="str">
        <f aca="false">IF(C3991="","",IF(C3991&lt;=5,"Night (00-05)",IF(C3991&lt;=11,"Morning (06-11)",IF(C3991&lt;=16,"Afternoon (12-16)",IF(C3991&lt;=20,"Evening (17-20)","Late (21-23)")))))</f>
        <v/>
      </c>
    </row>
    <row r="3992" customFormat="false" ht="15" hidden="false" customHeight="false" outlineLevel="0" collapsed="false">
      <c r="L3992" s="37" t="str">
        <f aca="false">IF(C3992="","",IF(C3992&lt;=5,"Night (00-05)",IF(C3992&lt;=11,"Morning (06-11)",IF(C3992&lt;=16,"Afternoon (12-16)",IF(C3992&lt;=20,"Evening (17-20)","Late (21-23)")))))</f>
        <v/>
      </c>
    </row>
    <row r="3993" customFormat="false" ht="15" hidden="false" customHeight="false" outlineLevel="0" collapsed="false">
      <c r="L3993" s="37" t="str">
        <f aca="false">IF(C3993="","",IF(C3993&lt;=5,"Night (00-05)",IF(C3993&lt;=11,"Morning (06-11)",IF(C3993&lt;=16,"Afternoon (12-16)",IF(C3993&lt;=20,"Evening (17-20)","Late (21-23)")))))</f>
        <v/>
      </c>
    </row>
    <row r="3994" customFormat="false" ht="15" hidden="false" customHeight="false" outlineLevel="0" collapsed="false">
      <c r="L3994" s="37" t="str">
        <f aca="false">IF(C3994="","",IF(C3994&lt;=5,"Night (00-05)",IF(C3994&lt;=11,"Morning (06-11)",IF(C3994&lt;=16,"Afternoon (12-16)",IF(C3994&lt;=20,"Evening (17-20)","Late (21-23)")))))</f>
        <v/>
      </c>
    </row>
    <row r="3995" customFormat="false" ht="15" hidden="false" customHeight="false" outlineLevel="0" collapsed="false">
      <c r="L3995" s="37" t="str">
        <f aca="false">IF(C3995="","",IF(C3995&lt;=5,"Night (00-05)",IF(C3995&lt;=11,"Morning (06-11)",IF(C3995&lt;=16,"Afternoon (12-16)",IF(C3995&lt;=20,"Evening (17-20)","Late (21-23)")))))</f>
        <v/>
      </c>
    </row>
    <row r="3996" customFormat="false" ht="15" hidden="false" customHeight="false" outlineLevel="0" collapsed="false">
      <c r="L3996" s="37" t="str">
        <f aca="false">IF(C3996="","",IF(C3996&lt;=5,"Night (00-05)",IF(C3996&lt;=11,"Morning (06-11)",IF(C3996&lt;=16,"Afternoon (12-16)",IF(C3996&lt;=20,"Evening (17-20)","Late (21-23)")))))</f>
        <v/>
      </c>
    </row>
    <row r="3997" customFormat="false" ht="15" hidden="false" customHeight="false" outlineLevel="0" collapsed="false">
      <c r="L3997" s="37" t="str">
        <f aca="false">IF(C3997="","",IF(C3997&lt;=5,"Night (00-05)",IF(C3997&lt;=11,"Morning (06-11)",IF(C3997&lt;=16,"Afternoon (12-16)",IF(C3997&lt;=20,"Evening (17-20)","Late (21-23)")))))</f>
        <v/>
      </c>
    </row>
    <row r="3998" customFormat="false" ht="15" hidden="false" customHeight="false" outlineLevel="0" collapsed="false">
      <c r="L3998" s="37" t="str">
        <f aca="false">IF(C3998="","",IF(C3998&lt;=5,"Night (00-05)",IF(C3998&lt;=11,"Morning (06-11)",IF(C3998&lt;=16,"Afternoon (12-16)",IF(C3998&lt;=20,"Evening (17-20)","Late (21-23)")))))</f>
        <v/>
      </c>
    </row>
    <row r="3999" customFormat="false" ht="15" hidden="false" customHeight="false" outlineLevel="0" collapsed="false">
      <c r="L3999" s="37" t="str">
        <f aca="false">IF(C3999="","",IF(C3999&lt;=5,"Night (00-05)",IF(C3999&lt;=11,"Morning (06-11)",IF(C3999&lt;=16,"Afternoon (12-16)",IF(C3999&lt;=20,"Evening (17-20)","Late (21-23)")))))</f>
        <v/>
      </c>
    </row>
    <row r="4000" customFormat="false" ht="15" hidden="false" customHeight="false" outlineLevel="0" collapsed="false">
      <c r="L4000" s="37" t="str">
        <f aca="false">IF(C4000="","",IF(C4000&lt;=5,"Night (00-05)",IF(C4000&lt;=11,"Morning (06-11)",IF(C4000&lt;=16,"Afternoon (12-16)",IF(C4000&lt;=20,"Evening (17-20)","Late (21-23)")))))</f>
        <v/>
      </c>
    </row>
    <row r="4001" customFormat="false" ht="15" hidden="false" customHeight="false" outlineLevel="0" collapsed="false">
      <c r="L4001" s="37" t="str">
        <f aca="false">IF(C4001="","",IF(C4001&lt;=5,"Night (00-05)",IF(C4001&lt;=11,"Morning (06-11)",IF(C4001&lt;=16,"Afternoon (12-16)",IF(C4001&lt;=20,"Evening (17-20)","Late (21-23)")))))</f>
        <v/>
      </c>
    </row>
    <row r="4002" customFormat="false" ht="15" hidden="false" customHeight="false" outlineLevel="0" collapsed="false">
      <c r="L4002" s="37" t="str">
        <f aca="false">IF(C4002="","",IF(C4002&lt;=5,"Night (00-05)",IF(C4002&lt;=11,"Morning (06-11)",IF(C4002&lt;=16,"Afternoon (12-16)",IF(C4002&lt;=20,"Evening (17-20)","Late (21-23)")))))</f>
        <v/>
      </c>
    </row>
    <row r="4003" customFormat="false" ht="15" hidden="false" customHeight="false" outlineLevel="0" collapsed="false">
      <c r="L4003" s="37" t="str">
        <f aca="false">IF(C4003="","",IF(C4003&lt;=5,"Night (00-05)",IF(C4003&lt;=11,"Morning (06-11)",IF(C4003&lt;=16,"Afternoon (12-16)",IF(C4003&lt;=20,"Evening (17-20)","Late (21-23)")))))</f>
        <v/>
      </c>
    </row>
    <row r="4004" customFormat="false" ht="15" hidden="false" customHeight="false" outlineLevel="0" collapsed="false">
      <c r="L4004" s="37" t="str">
        <f aca="false">IF(C4004="","",IF(C4004&lt;=5,"Night (00-05)",IF(C4004&lt;=11,"Morning (06-11)",IF(C4004&lt;=16,"Afternoon (12-16)",IF(C4004&lt;=20,"Evening (17-20)","Late (21-23)")))))</f>
        <v/>
      </c>
    </row>
    <row r="4005" customFormat="false" ht="15" hidden="false" customHeight="false" outlineLevel="0" collapsed="false">
      <c r="L4005" s="37" t="str">
        <f aca="false">IF(C4005="","",IF(C4005&lt;=5,"Night (00-05)",IF(C4005&lt;=11,"Morning (06-11)",IF(C4005&lt;=16,"Afternoon (12-16)",IF(C4005&lt;=20,"Evening (17-20)","Late (21-23)")))))</f>
        <v/>
      </c>
    </row>
    <row r="4006" customFormat="false" ht="15" hidden="false" customHeight="false" outlineLevel="0" collapsed="false">
      <c r="L4006" s="37" t="str">
        <f aca="false">IF(C4006="","",IF(C4006&lt;=5,"Night (00-05)",IF(C4006&lt;=11,"Morning (06-11)",IF(C4006&lt;=16,"Afternoon (12-16)",IF(C4006&lt;=20,"Evening (17-20)","Late (21-23)")))))</f>
        <v/>
      </c>
    </row>
    <row r="4007" customFormat="false" ht="15" hidden="false" customHeight="false" outlineLevel="0" collapsed="false">
      <c r="L4007" s="37" t="str">
        <f aca="false">IF(C4007="","",IF(C4007&lt;=5,"Night (00-05)",IF(C4007&lt;=11,"Morning (06-11)",IF(C4007&lt;=16,"Afternoon (12-16)",IF(C4007&lt;=20,"Evening (17-20)","Late (21-23)")))))</f>
        <v/>
      </c>
    </row>
    <row r="4008" customFormat="false" ht="15" hidden="false" customHeight="false" outlineLevel="0" collapsed="false">
      <c r="L4008" s="37" t="str">
        <f aca="false">IF(C4008="","",IF(C4008&lt;=5,"Night (00-05)",IF(C4008&lt;=11,"Morning (06-11)",IF(C4008&lt;=16,"Afternoon (12-16)",IF(C4008&lt;=20,"Evening (17-20)","Late (21-23)")))))</f>
        <v/>
      </c>
    </row>
    <row r="4009" customFormat="false" ht="15" hidden="false" customHeight="false" outlineLevel="0" collapsed="false">
      <c r="L4009" s="37" t="str">
        <f aca="false">IF(C4009="","",IF(C4009&lt;=5,"Night (00-05)",IF(C4009&lt;=11,"Morning (06-11)",IF(C4009&lt;=16,"Afternoon (12-16)",IF(C4009&lt;=20,"Evening (17-20)","Late (21-23)")))))</f>
        <v/>
      </c>
    </row>
    <row r="4010" customFormat="false" ht="15" hidden="false" customHeight="false" outlineLevel="0" collapsed="false">
      <c r="L4010" s="37" t="str">
        <f aca="false">IF(C4010="","",IF(C4010&lt;=5,"Night (00-05)",IF(C4010&lt;=11,"Morning (06-11)",IF(C4010&lt;=16,"Afternoon (12-16)",IF(C4010&lt;=20,"Evening (17-20)","Late (21-23)")))))</f>
        <v/>
      </c>
    </row>
    <row r="4011" customFormat="false" ht="15" hidden="false" customHeight="false" outlineLevel="0" collapsed="false">
      <c r="L4011" s="37" t="str">
        <f aca="false">IF(C4011="","",IF(C4011&lt;=5,"Night (00-05)",IF(C4011&lt;=11,"Morning (06-11)",IF(C4011&lt;=16,"Afternoon (12-16)",IF(C4011&lt;=20,"Evening (17-20)","Late (21-23)")))))</f>
        <v/>
      </c>
    </row>
    <row r="4012" customFormat="false" ht="15" hidden="false" customHeight="false" outlineLevel="0" collapsed="false">
      <c r="L4012" s="37" t="str">
        <f aca="false">IF(C4012="","",IF(C4012&lt;=5,"Night (00-05)",IF(C4012&lt;=11,"Morning (06-11)",IF(C4012&lt;=16,"Afternoon (12-16)",IF(C4012&lt;=20,"Evening (17-20)","Late (21-23)")))))</f>
        <v/>
      </c>
    </row>
    <row r="4013" customFormat="false" ht="15" hidden="false" customHeight="false" outlineLevel="0" collapsed="false">
      <c r="L4013" s="37" t="str">
        <f aca="false">IF(C4013="","",IF(C4013&lt;=5,"Night (00-05)",IF(C4013&lt;=11,"Morning (06-11)",IF(C4013&lt;=16,"Afternoon (12-16)",IF(C4013&lt;=20,"Evening (17-20)","Late (21-23)")))))</f>
        <v/>
      </c>
    </row>
    <row r="4014" customFormat="false" ht="15" hidden="false" customHeight="false" outlineLevel="0" collapsed="false">
      <c r="L4014" s="37" t="str">
        <f aca="false">IF(C4014="","",IF(C4014&lt;=5,"Night (00-05)",IF(C4014&lt;=11,"Morning (06-11)",IF(C4014&lt;=16,"Afternoon (12-16)",IF(C4014&lt;=20,"Evening (17-20)","Late (21-23)")))))</f>
        <v/>
      </c>
    </row>
    <row r="4015" customFormat="false" ht="15" hidden="false" customHeight="false" outlineLevel="0" collapsed="false">
      <c r="L4015" s="37" t="str">
        <f aca="false">IF(C4015="","",IF(C4015&lt;=5,"Night (00-05)",IF(C4015&lt;=11,"Morning (06-11)",IF(C4015&lt;=16,"Afternoon (12-16)",IF(C4015&lt;=20,"Evening (17-20)","Late (21-23)")))))</f>
        <v/>
      </c>
    </row>
    <row r="4016" customFormat="false" ht="15" hidden="false" customHeight="false" outlineLevel="0" collapsed="false">
      <c r="L4016" s="37" t="str">
        <f aca="false">IF(C4016="","",IF(C4016&lt;=5,"Night (00-05)",IF(C4016&lt;=11,"Morning (06-11)",IF(C4016&lt;=16,"Afternoon (12-16)",IF(C4016&lt;=20,"Evening (17-20)","Late (21-23)")))))</f>
        <v/>
      </c>
    </row>
    <row r="4017" customFormat="false" ht="15" hidden="false" customHeight="false" outlineLevel="0" collapsed="false">
      <c r="L4017" s="37" t="str">
        <f aca="false">IF(C4017="","",IF(C4017&lt;=5,"Night (00-05)",IF(C4017&lt;=11,"Morning (06-11)",IF(C4017&lt;=16,"Afternoon (12-16)",IF(C4017&lt;=20,"Evening (17-20)","Late (21-23)")))))</f>
        <v/>
      </c>
    </row>
    <row r="4018" customFormat="false" ht="15" hidden="false" customHeight="false" outlineLevel="0" collapsed="false">
      <c r="L4018" s="37" t="str">
        <f aca="false">IF(C4018="","",IF(C4018&lt;=5,"Night (00-05)",IF(C4018&lt;=11,"Morning (06-11)",IF(C4018&lt;=16,"Afternoon (12-16)",IF(C4018&lt;=20,"Evening (17-20)","Late (21-23)")))))</f>
        <v/>
      </c>
    </row>
    <row r="4019" customFormat="false" ht="15" hidden="false" customHeight="false" outlineLevel="0" collapsed="false">
      <c r="L4019" s="37" t="str">
        <f aca="false">IF(C4019="","",IF(C4019&lt;=5,"Night (00-05)",IF(C4019&lt;=11,"Morning (06-11)",IF(C4019&lt;=16,"Afternoon (12-16)",IF(C4019&lt;=20,"Evening (17-20)","Late (21-23)")))))</f>
        <v/>
      </c>
    </row>
    <row r="4020" customFormat="false" ht="15" hidden="false" customHeight="false" outlineLevel="0" collapsed="false">
      <c r="L4020" s="37" t="str">
        <f aca="false">IF(C4020="","",IF(C4020&lt;=5,"Night (00-05)",IF(C4020&lt;=11,"Morning (06-11)",IF(C4020&lt;=16,"Afternoon (12-16)",IF(C4020&lt;=20,"Evening (17-20)","Late (21-23)")))))</f>
        <v/>
      </c>
    </row>
    <row r="4021" customFormat="false" ht="15" hidden="false" customHeight="false" outlineLevel="0" collapsed="false">
      <c r="L4021" s="37" t="str">
        <f aca="false">IF(C4021="","",IF(C4021&lt;=5,"Night (00-05)",IF(C4021&lt;=11,"Morning (06-11)",IF(C4021&lt;=16,"Afternoon (12-16)",IF(C4021&lt;=20,"Evening (17-20)","Late (21-23)")))))</f>
        <v/>
      </c>
    </row>
    <row r="4022" customFormat="false" ht="15" hidden="false" customHeight="false" outlineLevel="0" collapsed="false">
      <c r="L4022" s="37" t="str">
        <f aca="false">IF(C4022="","",IF(C4022&lt;=5,"Night (00-05)",IF(C4022&lt;=11,"Morning (06-11)",IF(C4022&lt;=16,"Afternoon (12-16)",IF(C4022&lt;=20,"Evening (17-20)","Late (21-23)")))))</f>
        <v/>
      </c>
    </row>
    <row r="4023" customFormat="false" ht="15" hidden="false" customHeight="false" outlineLevel="0" collapsed="false">
      <c r="L4023" s="37" t="str">
        <f aca="false">IF(C4023="","",IF(C4023&lt;=5,"Night (00-05)",IF(C4023&lt;=11,"Morning (06-11)",IF(C4023&lt;=16,"Afternoon (12-16)",IF(C4023&lt;=20,"Evening (17-20)","Late (21-23)")))))</f>
        <v/>
      </c>
    </row>
    <row r="4024" customFormat="false" ht="15" hidden="false" customHeight="false" outlineLevel="0" collapsed="false">
      <c r="L4024" s="37" t="str">
        <f aca="false">IF(C4024="","",IF(C4024&lt;=5,"Night (00-05)",IF(C4024&lt;=11,"Morning (06-11)",IF(C4024&lt;=16,"Afternoon (12-16)",IF(C4024&lt;=20,"Evening (17-20)","Late (21-23)")))))</f>
        <v/>
      </c>
    </row>
    <row r="4025" customFormat="false" ht="15" hidden="false" customHeight="false" outlineLevel="0" collapsed="false">
      <c r="L4025" s="37" t="str">
        <f aca="false">IF(C4025="","",IF(C4025&lt;=5,"Night (00-05)",IF(C4025&lt;=11,"Morning (06-11)",IF(C4025&lt;=16,"Afternoon (12-16)",IF(C4025&lt;=20,"Evening (17-20)","Late (21-23)")))))</f>
        <v/>
      </c>
    </row>
    <row r="4026" customFormat="false" ht="15" hidden="false" customHeight="false" outlineLevel="0" collapsed="false">
      <c r="L4026" s="37" t="str">
        <f aca="false">IF(C4026="","",IF(C4026&lt;=5,"Night (00-05)",IF(C4026&lt;=11,"Morning (06-11)",IF(C4026&lt;=16,"Afternoon (12-16)",IF(C4026&lt;=20,"Evening (17-20)","Late (21-23)")))))</f>
        <v/>
      </c>
    </row>
    <row r="4027" customFormat="false" ht="15" hidden="false" customHeight="false" outlineLevel="0" collapsed="false">
      <c r="L4027" s="37" t="str">
        <f aca="false">IF(C4027="","",IF(C4027&lt;=5,"Night (00-05)",IF(C4027&lt;=11,"Morning (06-11)",IF(C4027&lt;=16,"Afternoon (12-16)",IF(C4027&lt;=20,"Evening (17-20)","Late (21-23)")))))</f>
        <v/>
      </c>
    </row>
    <row r="4028" customFormat="false" ht="15" hidden="false" customHeight="false" outlineLevel="0" collapsed="false">
      <c r="L4028" s="37" t="str">
        <f aca="false">IF(C4028="","",IF(C4028&lt;=5,"Night (00-05)",IF(C4028&lt;=11,"Morning (06-11)",IF(C4028&lt;=16,"Afternoon (12-16)",IF(C4028&lt;=20,"Evening (17-20)","Late (21-23)")))))</f>
        <v/>
      </c>
    </row>
    <row r="4029" customFormat="false" ht="15" hidden="false" customHeight="false" outlineLevel="0" collapsed="false">
      <c r="L4029" s="37" t="str">
        <f aca="false">IF(C4029="","",IF(C4029&lt;=5,"Night (00-05)",IF(C4029&lt;=11,"Morning (06-11)",IF(C4029&lt;=16,"Afternoon (12-16)",IF(C4029&lt;=20,"Evening (17-20)","Late (21-23)")))))</f>
        <v/>
      </c>
    </row>
    <row r="4030" customFormat="false" ht="15" hidden="false" customHeight="false" outlineLevel="0" collapsed="false">
      <c r="L4030" s="37" t="str">
        <f aca="false">IF(C4030="","",IF(C4030&lt;=5,"Night (00-05)",IF(C4030&lt;=11,"Morning (06-11)",IF(C4030&lt;=16,"Afternoon (12-16)",IF(C4030&lt;=20,"Evening (17-20)","Late (21-23)")))))</f>
        <v/>
      </c>
    </row>
    <row r="4031" customFormat="false" ht="15" hidden="false" customHeight="false" outlineLevel="0" collapsed="false">
      <c r="L4031" s="37" t="str">
        <f aca="false">IF(C4031="","",IF(C4031&lt;=5,"Night (00-05)",IF(C4031&lt;=11,"Morning (06-11)",IF(C4031&lt;=16,"Afternoon (12-16)",IF(C4031&lt;=20,"Evening (17-20)","Late (21-23)")))))</f>
        <v/>
      </c>
    </row>
    <row r="4032" customFormat="false" ht="15" hidden="false" customHeight="false" outlineLevel="0" collapsed="false">
      <c r="L4032" s="37" t="str">
        <f aca="false">IF(C4032="","",IF(C4032&lt;=5,"Night (00-05)",IF(C4032&lt;=11,"Morning (06-11)",IF(C4032&lt;=16,"Afternoon (12-16)",IF(C4032&lt;=20,"Evening (17-20)","Late (21-23)")))))</f>
        <v/>
      </c>
    </row>
    <row r="4033" customFormat="false" ht="15" hidden="false" customHeight="false" outlineLevel="0" collapsed="false">
      <c r="L4033" s="37" t="str">
        <f aca="false">IF(C4033="","",IF(C4033&lt;=5,"Night (00-05)",IF(C4033&lt;=11,"Morning (06-11)",IF(C4033&lt;=16,"Afternoon (12-16)",IF(C4033&lt;=20,"Evening (17-20)","Late (21-23)")))))</f>
        <v/>
      </c>
    </row>
    <row r="4034" customFormat="false" ht="15" hidden="false" customHeight="false" outlineLevel="0" collapsed="false">
      <c r="L4034" s="37" t="str">
        <f aca="false">IF(C4034="","",IF(C4034&lt;=5,"Night (00-05)",IF(C4034&lt;=11,"Morning (06-11)",IF(C4034&lt;=16,"Afternoon (12-16)",IF(C4034&lt;=20,"Evening (17-20)","Late (21-23)")))))</f>
        <v/>
      </c>
    </row>
    <row r="4035" customFormat="false" ht="15" hidden="false" customHeight="false" outlineLevel="0" collapsed="false">
      <c r="L4035" s="37" t="str">
        <f aca="false">IF(C4035="","",IF(C4035&lt;=5,"Night (00-05)",IF(C4035&lt;=11,"Morning (06-11)",IF(C4035&lt;=16,"Afternoon (12-16)",IF(C4035&lt;=20,"Evening (17-20)","Late (21-23)")))))</f>
        <v/>
      </c>
    </row>
    <row r="4036" customFormat="false" ht="15" hidden="false" customHeight="false" outlineLevel="0" collapsed="false">
      <c r="L4036" s="37" t="str">
        <f aca="false">IF(C4036="","",IF(C4036&lt;=5,"Night (00-05)",IF(C4036&lt;=11,"Morning (06-11)",IF(C4036&lt;=16,"Afternoon (12-16)",IF(C4036&lt;=20,"Evening (17-20)","Late (21-23)")))))</f>
        <v/>
      </c>
    </row>
    <row r="4037" customFormat="false" ht="15" hidden="false" customHeight="false" outlineLevel="0" collapsed="false">
      <c r="L4037" s="37" t="str">
        <f aca="false">IF(C4037="","",IF(C4037&lt;=5,"Night (00-05)",IF(C4037&lt;=11,"Morning (06-11)",IF(C4037&lt;=16,"Afternoon (12-16)",IF(C4037&lt;=20,"Evening (17-20)","Late (21-23)")))))</f>
        <v/>
      </c>
    </row>
    <row r="4038" customFormat="false" ht="15" hidden="false" customHeight="false" outlineLevel="0" collapsed="false">
      <c r="L4038" s="37" t="str">
        <f aca="false">IF(C4038="","",IF(C4038&lt;=5,"Night (00-05)",IF(C4038&lt;=11,"Morning (06-11)",IF(C4038&lt;=16,"Afternoon (12-16)",IF(C4038&lt;=20,"Evening (17-20)","Late (21-23)")))))</f>
        <v/>
      </c>
    </row>
    <row r="4039" customFormat="false" ht="15" hidden="false" customHeight="false" outlineLevel="0" collapsed="false">
      <c r="L4039" s="37" t="str">
        <f aca="false">IF(C4039="","",IF(C4039&lt;=5,"Night (00-05)",IF(C4039&lt;=11,"Morning (06-11)",IF(C4039&lt;=16,"Afternoon (12-16)",IF(C4039&lt;=20,"Evening (17-20)","Late (21-23)")))))</f>
        <v/>
      </c>
    </row>
    <row r="4040" customFormat="false" ht="15" hidden="false" customHeight="false" outlineLevel="0" collapsed="false">
      <c r="L4040" s="37" t="str">
        <f aca="false">IF(C4040="","",IF(C4040&lt;=5,"Night (00-05)",IF(C4040&lt;=11,"Morning (06-11)",IF(C4040&lt;=16,"Afternoon (12-16)",IF(C4040&lt;=20,"Evening (17-20)","Late (21-23)")))))</f>
        <v/>
      </c>
    </row>
    <row r="4041" customFormat="false" ht="15" hidden="false" customHeight="false" outlineLevel="0" collapsed="false">
      <c r="L4041" s="37" t="str">
        <f aca="false">IF(C4041="","",IF(C4041&lt;=5,"Night (00-05)",IF(C4041&lt;=11,"Morning (06-11)",IF(C4041&lt;=16,"Afternoon (12-16)",IF(C4041&lt;=20,"Evening (17-20)","Late (21-23)")))))</f>
        <v/>
      </c>
    </row>
    <row r="4042" customFormat="false" ht="15" hidden="false" customHeight="false" outlineLevel="0" collapsed="false">
      <c r="L4042" s="37" t="str">
        <f aca="false">IF(C4042="","",IF(C4042&lt;=5,"Night (00-05)",IF(C4042&lt;=11,"Morning (06-11)",IF(C4042&lt;=16,"Afternoon (12-16)",IF(C4042&lt;=20,"Evening (17-20)","Late (21-23)")))))</f>
        <v/>
      </c>
    </row>
    <row r="4043" customFormat="false" ht="15" hidden="false" customHeight="false" outlineLevel="0" collapsed="false">
      <c r="L4043" s="37" t="str">
        <f aca="false">IF(C4043="","",IF(C4043&lt;=5,"Night (00-05)",IF(C4043&lt;=11,"Morning (06-11)",IF(C4043&lt;=16,"Afternoon (12-16)",IF(C4043&lt;=20,"Evening (17-20)","Late (21-23)")))))</f>
        <v/>
      </c>
    </row>
    <row r="4044" customFormat="false" ht="15" hidden="false" customHeight="false" outlineLevel="0" collapsed="false">
      <c r="L4044" s="37" t="str">
        <f aca="false">IF(C4044="","",IF(C4044&lt;=5,"Night (00-05)",IF(C4044&lt;=11,"Morning (06-11)",IF(C4044&lt;=16,"Afternoon (12-16)",IF(C4044&lt;=20,"Evening (17-20)","Late (21-23)")))))</f>
        <v/>
      </c>
    </row>
    <row r="4045" customFormat="false" ht="15" hidden="false" customHeight="false" outlineLevel="0" collapsed="false">
      <c r="L4045" s="37" t="str">
        <f aca="false">IF(C4045="","",IF(C4045&lt;=5,"Night (00-05)",IF(C4045&lt;=11,"Morning (06-11)",IF(C4045&lt;=16,"Afternoon (12-16)",IF(C4045&lt;=20,"Evening (17-20)","Late (21-23)")))))</f>
        <v/>
      </c>
    </row>
    <row r="4046" customFormat="false" ht="15" hidden="false" customHeight="false" outlineLevel="0" collapsed="false">
      <c r="L4046" s="37" t="str">
        <f aca="false">IF(C4046="","",IF(C4046&lt;=5,"Night (00-05)",IF(C4046&lt;=11,"Morning (06-11)",IF(C4046&lt;=16,"Afternoon (12-16)",IF(C4046&lt;=20,"Evening (17-20)","Late (21-23)")))))</f>
        <v/>
      </c>
    </row>
    <row r="4047" customFormat="false" ht="15" hidden="false" customHeight="false" outlineLevel="0" collapsed="false">
      <c r="L4047" s="37" t="str">
        <f aca="false">IF(C4047="","",IF(C4047&lt;=5,"Night (00-05)",IF(C4047&lt;=11,"Morning (06-11)",IF(C4047&lt;=16,"Afternoon (12-16)",IF(C4047&lt;=20,"Evening (17-20)","Late (21-23)")))))</f>
        <v/>
      </c>
    </row>
    <row r="4048" customFormat="false" ht="15" hidden="false" customHeight="false" outlineLevel="0" collapsed="false">
      <c r="L4048" s="37" t="str">
        <f aca="false">IF(C4048="","",IF(C4048&lt;=5,"Night (00-05)",IF(C4048&lt;=11,"Morning (06-11)",IF(C4048&lt;=16,"Afternoon (12-16)",IF(C4048&lt;=20,"Evening (17-20)","Late (21-23)")))))</f>
        <v/>
      </c>
    </row>
    <row r="4049" customFormat="false" ht="15" hidden="false" customHeight="false" outlineLevel="0" collapsed="false">
      <c r="L4049" s="37" t="str">
        <f aca="false">IF(C4049="","",IF(C4049&lt;=5,"Night (00-05)",IF(C4049&lt;=11,"Morning (06-11)",IF(C4049&lt;=16,"Afternoon (12-16)",IF(C4049&lt;=20,"Evening (17-20)","Late (21-23)")))))</f>
        <v/>
      </c>
    </row>
    <row r="4050" customFormat="false" ht="15" hidden="false" customHeight="false" outlineLevel="0" collapsed="false">
      <c r="L4050" s="37" t="str">
        <f aca="false">IF(C4050="","",IF(C4050&lt;=5,"Night (00-05)",IF(C4050&lt;=11,"Morning (06-11)",IF(C4050&lt;=16,"Afternoon (12-16)",IF(C4050&lt;=20,"Evening (17-20)","Late (21-23)")))))</f>
        <v/>
      </c>
    </row>
    <row r="4051" customFormat="false" ht="15" hidden="false" customHeight="false" outlineLevel="0" collapsed="false">
      <c r="L4051" s="37" t="str">
        <f aca="false">IF(C4051="","",IF(C4051&lt;=5,"Night (00-05)",IF(C4051&lt;=11,"Morning (06-11)",IF(C4051&lt;=16,"Afternoon (12-16)",IF(C4051&lt;=20,"Evening (17-20)","Late (21-23)")))))</f>
        <v/>
      </c>
    </row>
    <row r="4052" customFormat="false" ht="15" hidden="false" customHeight="false" outlineLevel="0" collapsed="false">
      <c r="L4052" s="37" t="str">
        <f aca="false">IF(C4052="","",IF(C4052&lt;=5,"Night (00-05)",IF(C4052&lt;=11,"Morning (06-11)",IF(C4052&lt;=16,"Afternoon (12-16)",IF(C4052&lt;=20,"Evening (17-20)","Late (21-23)")))))</f>
        <v/>
      </c>
    </row>
    <row r="4053" customFormat="false" ht="15" hidden="false" customHeight="false" outlineLevel="0" collapsed="false">
      <c r="L4053" s="37" t="str">
        <f aca="false">IF(C4053="","",IF(C4053&lt;=5,"Night (00-05)",IF(C4053&lt;=11,"Morning (06-11)",IF(C4053&lt;=16,"Afternoon (12-16)",IF(C4053&lt;=20,"Evening (17-20)","Late (21-23)")))))</f>
        <v/>
      </c>
    </row>
    <row r="4054" customFormat="false" ht="15" hidden="false" customHeight="false" outlineLevel="0" collapsed="false">
      <c r="L4054" s="37" t="str">
        <f aca="false">IF(C4054="","",IF(C4054&lt;=5,"Night (00-05)",IF(C4054&lt;=11,"Morning (06-11)",IF(C4054&lt;=16,"Afternoon (12-16)",IF(C4054&lt;=20,"Evening (17-20)","Late (21-23)")))))</f>
        <v/>
      </c>
    </row>
    <row r="4055" customFormat="false" ht="15" hidden="false" customHeight="false" outlineLevel="0" collapsed="false">
      <c r="L4055" s="37" t="str">
        <f aca="false">IF(C4055="","",IF(C4055&lt;=5,"Night (00-05)",IF(C4055&lt;=11,"Morning (06-11)",IF(C4055&lt;=16,"Afternoon (12-16)",IF(C4055&lt;=20,"Evening (17-20)","Late (21-23)")))))</f>
        <v/>
      </c>
    </row>
    <row r="4056" customFormat="false" ht="15" hidden="false" customHeight="false" outlineLevel="0" collapsed="false">
      <c r="L4056" s="37" t="str">
        <f aca="false">IF(C4056="","",IF(C4056&lt;=5,"Night (00-05)",IF(C4056&lt;=11,"Morning (06-11)",IF(C4056&lt;=16,"Afternoon (12-16)",IF(C4056&lt;=20,"Evening (17-20)","Late (21-23)")))))</f>
        <v/>
      </c>
    </row>
    <row r="4057" customFormat="false" ht="15" hidden="false" customHeight="false" outlineLevel="0" collapsed="false">
      <c r="L4057" s="37" t="str">
        <f aca="false">IF(C4057="","",IF(C4057&lt;=5,"Night (00-05)",IF(C4057&lt;=11,"Morning (06-11)",IF(C4057&lt;=16,"Afternoon (12-16)",IF(C4057&lt;=20,"Evening (17-20)","Late (21-23)")))))</f>
        <v/>
      </c>
    </row>
    <row r="4058" customFormat="false" ht="15" hidden="false" customHeight="false" outlineLevel="0" collapsed="false">
      <c r="L4058" s="37" t="str">
        <f aca="false">IF(C4058="","",IF(C4058&lt;=5,"Night (00-05)",IF(C4058&lt;=11,"Morning (06-11)",IF(C4058&lt;=16,"Afternoon (12-16)",IF(C4058&lt;=20,"Evening (17-20)","Late (21-23)")))))</f>
        <v/>
      </c>
    </row>
    <row r="4059" customFormat="false" ht="15" hidden="false" customHeight="false" outlineLevel="0" collapsed="false">
      <c r="L4059" s="37" t="str">
        <f aca="false">IF(C4059="","",IF(C4059&lt;=5,"Night (00-05)",IF(C4059&lt;=11,"Morning (06-11)",IF(C4059&lt;=16,"Afternoon (12-16)",IF(C4059&lt;=20,"Evening (17-20)","Late (21-23)")))))</f>
        <v/>
      </c>
    </row>
    <row r="4060" customFormat="false" ht="15" hidden="false" customHeight="false" outlineLevel="0" collapsed="false">
      <c r="L4060" s="37" t="str">
        <f aca="false">IF(C4060="","",IF(C4060&lt;=5,"Night (00-05)",IF(C4060&lt;=11,"Morning (06-11)",IF(C4060&lt;=16,"Afternoon (12-16)",IF(C4060&lt;=20,"Evening (17-20)","Late (21-23)")))))</f>
        <v/>
      </c>
    </row>
    <row r="4061" customFormat="false" ht="15" hidden="false" customHeight="false" outlineLevel="0" collapsed="false">
      <c r="L4061" s="37" t="str">
        <f aca="false">IF(C4061="","",IF(C4061&lt;=5,"Night (00-05)",IF(C4061&lt;=11,"Morning (06-11)",IF(C4061&lt;=16,"Afternoon (12-16)",IF(C4061&lt;=20,"Evening (17-20)","Late (21-23)")))))</f>
        <v/>
      </c>
    </row>
    <row r="4062" customFormat="false" ht="15" hidden="false" customHeight="false" outlineLevel="0" collapsed="false">
      <c r="L4062" s="37" t="str">
        <f aca="false">IF(C4062="","",IF(C4062&lt;=5,"Night (00-05)",IF(C4062&lt;=11,"Morning (06-11)",IF(C4062&lt;=16,"Afternoon (12-16)",IF(C4062&lt;=20,"Evening (17-20)","Late (21-23)")))))</f>
        <v/>
      </c>
    </row>
    <row r="4063" customFormat="false" ht="15" hidden="false" customHeight="false" outlineLevel="0" collapsed="false">
      <c r="L4063" s="37" t="str">
        <f aca="false">IF(C4063="","",IF(C4063&lt;=5,"Night (00-05)",IF(C4063&lt;=11,"Morning (06-11)",IF(C4063&lt;=16,"Afternoon (12-16)",IF(C4063&lt;=20,"Evening (17-20)","Late (21-23)")))))</f>
        <v/>
      </c>
    </row>
    <row r="4064" customFormat="false" ht="15" hidden="false" customHeight="false" outlineLevel="0" collapsed="false">
      <c r="L4064" s="37" t="str">
        <f aca="false">IF(C4064="","",IF(C4064&lt;=5,"Night (00-05)",IF(C4064&lt;=11,"Morning (06-11)",IF(C4064&lt;=16,"Afternoon (12-16)",IF(C4064&lt;=20,"Evening (17-20)","Late (21-23)")))))</f>
        <v/>
      </c>
    </row>
    <row r="4065" customFormat="false" ht="15" hidden="false" customHeight="false" outlineLevel="0" collapsed="false">
      <c r="L4065" s="37" t="str">
        <f aca="false">IF(C4065="","",IF(C4065&lt;=5,"Night (00-05)",IF(C4065&lt;=11,"Morning (06-11)",IF(C4065&lt;=16,"Afternoon (12-16)",IF(C4065&lt;=20,"Evening (17-20)","Late (21-23)")))))</f>
        <v/>
      </c>
    </row>
    <row r="4066" customFormat="false" ht="15" hidden="false" customHeight="false" outlineLevel="0" collapsed="false">
      <c r="L4066" s="37" t="str">
        <f aca="false">IF(C4066="","",IF(C4066&lt;=5,"Night (00-05)",IF(C4066&lt;=11,"Morning (06-11)",IF(C4066&lt;=16,"Afternoon (12-16)",IF(C4066&lt;=20,"Evening (17-20)","Late (21-23)")))))</f>
        <v/>
      </c>
    </row>
    <row r="4067" customFormat="false" ht="15" hidden="false" customHeight="false" outlineLevel="0" collapsed="false">
      <c r="L4067" s="37" t="str">
        <f aca="false">IF(C4067="","",IF(C4067&lt;=5,"Night (00-05)",IF(C4067&lt;=11,"Morning (06-11)",IF(C4067&lt;=16,"Afternoon (12-16)",IF(C4067&lt;=20,"Evening (17-20)","Late (21-23)")))))</f>
        <v/>
      </c>
    </row>
    <row r="4068" customFormat="false" ht="15" hidden="false" customHeight="false" outlineLevel="0" collapsed="false">
      <c r="L4068" s="37" t="str">
        <f aca="false">IF(C4068="","",IF(C4068&lt;=5,"Night (00-05)",IF(C4068&lt;=11,"Morning (06-11)",IF(C4068&lt;=16,"Afternoon (12-16)",IF(C4068&lt;=20,"Evening (17-20)","Late (21-23)")))))</f>
        <v/>
      </c>
    </row>
    <row r="4069" customFormat="false" ht="15" hidden="false" customHeight="false" outlineLevel="0" collapsed="false">
      <c r="L4069" s="37" t="str">
        <f aca="false">IF(C4069="","",IF(C4069&lt;=5,"Night (00-05)",IF(C4069&lt;=11,"Morning (06-11)",IF(C4069&lt;=16,"Afternoon (12-16)",IF(C4069&lt;=20,"Evening (17-20)","Late (21-23)")))))</f>
        <v/>
      </c>
    </row>
    <row r="4070" customFormat="false" ht="15" hidden="false" customHeight="false" outlineLevel="0" collapsed="false">
      <c r="L4070" s="37" t="str">
        <f aca="false">IF(C4070="","",IF(C4070&lt;=5,"Night (00-05)",IF(C4070&lt;=11,"Morning (06-11)",IF(C4070&lt;=16,"Afternoon (12-16)",IF(C4070&lt;=20,"Evening (17-20)","Late (21-23)")))))</f>
        <v/>
      </c>
    </row>
    <row r="4071" customFormat="false" ht="15" hidden="false" customHeight="false" outlineLevel="0" collapsed="false">
      <c r="L4071" s="37" t="str">
        <f aca="false">IF(C4071="","",IF(C4071&lt;=5,"Night (00-05)",IF(C4071&lt;=11,"Morning (06-11)",IF(C4071&lt;=16,"Afternoon (12-16)",IF(C4071&lt;=20,"Evening (17-20)","Late (21-23)")))))</f>
        <v/>
      </c>
    </row>
    <row r="4072" customFormat="false" ht="15" hidden="false" customHeight="false" outlineLevel="0" collapsed="false">
      <c r="L4072" s="37" t="str">
        <f aca="false">IF(C4072="","",IF(C4072&lt;=5,"Night (00-05)",IF(C4072&lt;=11,"Morning (06-11)",IF(C4072&lt;=16,"Afternoon (12-16)",IF(C4072&lt;=20,"Evening (17-20)","Late (21-23)")))))</f>
        <v/>
      </c>
    </row>
    <row r="4073" customFormat="false" ht="15" hidden="false" customHeight="false" outlineLevel="0" collapsed="false">
      <c r="L4073" s="37" t="str">
        <f aca="false">IF(C4073="","",IF(C4073&lt;=5,"Night (00-05)",IF(C4073&lt;=11,"Morning (06-11)",IF(C4073&lt;=16,"Afternoon (12-16)",IF(C4073&lt;=20,"Evening (17-20)","Late (21-23)")))))</f>
        <v/>
      </c>
    </row>
    <row r="4074" customFormat="false" ht="15" hidden="false" customHeight="false" outlineLevel="0" collapsed="false">
      <c r="L4074" s="37" t="str">
        <f aca="false">IF(C4074="","",IF(C4074&lt;=5,"Night (00-05)",IF(C4074&lt;=11,"Morning (06-11)",IF(C4074&lt;=16,"Afternoon (12-16)",IF(C4074&lt;=20,"Evening (17-20)","Late (21-23)")))))</f>
        <v/>
      </c>
    </row>
    <row r="4075" customFormat="false" ht="15" hidden="false" customHeight="false" outlineLevel="0" collapsed="false">
      <c r="L4075" s="37" t="str">
        <f aca="false">IF(C4075="","",IF(C4075&lt;=5,"Night (00-05)",IF(C4075&lt;=11,"Morning (06-11)",IF(C4075&lt;=16,"Afternoon (12-16)",IF(C4075&lt;=20,"Evening (17-20)","Late (21-23)")))))</f>
        <v/>
      </c>
    </row>
    <row r="4076" customFormat="false" ht="15" hidden="false" customHeight="false" outlineLevel="0" collapsed="false">
      <c r="L4076" s="37" t="str">
        <f aca="false">IF(C4076="","",IF(C4076&lt;=5,"Night (00-05)",IF(C4076&lt;=11,"Morning (06-11)",IF(C4076&lt;=16,"Afternoon (12-16)",IF(C4076&lt;=20,"Evening (17-20)","Late (21-23)")))))</f>
        <v/>
      </c>
    </row>
    <row r="4077" customFormat="false" ht="15" hidden="false" customHeight="false" outlineLevel="0" collapsed="false">
      <c r="L4077" s="37" t="str">
        <f aca="false">IF(C4077="","",IF(C4077&lt;=5,"Night (00-05)",IF(C4077&lt;=11,"Morning (06-11)",IF(C4077&lt;=16,"Afternoon (12-16)",IF(C4077&lt;=20,"Evening (17-20)","Late (21-23)")))))</f>
        <v/>
      </c>
    </row>
    <row r="4078" customFormat="false" ht="15" hidden="false" customHeight="false" outlineLevel="0" collapsed="false">
      <c r="L4078" s="37" t="str">
        <f aca="false">IF(C4078="","",IF(C4078&lt;=5,"Night (00-05)",IF(C4078&lt;=11,"Morning (06-11)",IF(C4078&lt;=16,"Afternoon (12-16)",IF(C4078&lt;=20,"Evening (17-20)","Late (21-23)")))))</f>
        <v/>
      </c>
    </row>
    <row r="4079" customFormat="false" ht="15" hidden="false" customHeight="false" outlineLevel="0" collapsed="false">
      <c r="L4079" s="37" t="str">
        <f aca="false">IF(C4079="","",IF(C4079&lt;=5,"Night (00-05)",IF(C4079&lt;=11,"Morning (06-11)",IF(C4079&lt;=16,"Afternoon (12-16)",IF(C4079&lt;=20,"Evening (17-20)","Late (21-23)")))))</f>
        <v/>
      </c>
    </row>
    <row r="4080" customFormat="false" ht="15" hidden="false" customHeight="false" outlineLevel="0" collapsed="false">
      <c r="L4080" s="37" t="str">
        <f aca="false">IF(C4080="","",IF(C4080&lt;=5,"Night (00-05)",IF(C4080&lt;=11,"Morning (06-11)",IF(C4080&lt;=16,"Afternoon (12-16)",IF(C4080&lt;=20,"Evening (17-20)","Late (21-23)")))))</f>
        <v/>
      </c>
    </row>
    <row r="4081" customFormat="false" ht="15" hidden="false" customHeight="false" outlineLevel="0" collapsed="false">
      <c r="L4081" s="37" t="str">
        <f aca="false">IF(C4081="","",IF(C4081&lt;=5,"Night (00-05)",IF(C4081&lt;=11,"Morning (06-11)",IF(C4081&lt;=16,"Afternoon (12-16)",IF(C4081&lt;=20,"Evening (17-20)","Late (21-23)")))))</f>
        <v/>
      </c>
    </row>
    <row r="4082" customFormat="false" ht="15" hidden="false" customHeight="false" outlineLevel="0" collapsed="false">
      <c r="L4082" s="37" t="str">
        <f aca="false">IF(C4082="","",IF(C4082&lt;=5,"Night (00-05)",IF(C4082&lt;=11,"Morning (06-11)",IF(C4082&lt;=16,"Afternoon (12-16)",IF(C4082&lt;=20,"Evening (17-20)","Late (21-23)")))))</f>
        <v/>
      </c>
    </row>
    <row r="4083" customFormat="false" ht="15" hidden="false" customHeight="false" outlineLevel="0" collapsed="false">
      <c r="L4083" s="37" t="str">
        <f aca="false">IF(C4083="","",IF(C4083&lt;=5,"Night (00-05)",IF(C4083&lt;=11,"Morning (06-11)",IF(C4083&lt;=16,"Afternoon (12-16)",IF(C4083&lt;=20,"Evening (17-20)","Late (21-23)")))))</f>
        <v/>
      </c>
    </row>
    <row r="4084" customFormat="false" ht="15" hidden="false" customHeight="false" outlineLevel="0" collapsed="false">
      <c r="L4084" s="37" t="str">
        <f aca="false">IF(C4084="","",IF(C4084&lt;=5,"Night (00-05)",IF(C4084&lt;=11,"Morning (06-11)",IF(C4084&lt;=16,"Afternoon (12-16)",IF(C4084&lt;=20,"Evening (17-20)","Late (21-23)")))))</f>
        <v/>
      </c>
    </row>
    <row r="4085" customFormat="false" ht="15" hidden="false" customHeight="false" outlineLevel="0" collapsed="false">
      <c r="L4085" s="37" t="str">
        <f aca="false">IF(C4085="","",IF(C4085&lt;=5,"Night (00-05)",IF(C4085&lt;=11,"Morning (06-11)",IF(C4085&lt;=16,"Afternoon (12-16)",IF(C4085&lt;=20,"Evening (17-20)","Late (21-23)")))))</f>
        <v/>
      </c>
    </row>
    <row r="4086" customFormat="false" ht="15" hidden="false" customHeight="false" outlineLevel="0" collapsed="false">
      <c r="L4086" s="37" t="str">
        <f aca="false">IF(C4086="","",IF(C4086&lt;=5,"Night (00-05)",IF(C4086&lt;=11,"Morning (06-11)",IF(C4086&lt;=16,"Afternoon (12-16)",IF(C4086&lt;=20,"Evening (17-20)","Late (21-23)")))))</f>
        <v/>
      </c>
    </row>
    <row r="4087" customFormat="false" ht="15" hidden="false" customHeight="false" outlineLevel="0" collapsed="false">
      <c r="L4087" s="37" t="str">
        <f aca="false">IF(C4087="","",IF(C4087&lt;=5,"Night (00-05)",IF(C4087&lt;=11,"Morning (06-11)",IF(C4087&lt;=16,"Afternoon (12-16)",IF(C4087&lt;=20,"Evening (17-20)","Late (21-23)")))))</f>
        <v/>
      </c>
    </row>
    <row r="4088" customFormat="false" ht="15" hidden="false" customHeight="false" outlineLevel="0" collapsed="false">
      <c r="L4088" s="37" t="str">
        <f aca="false">IF(C4088="","",IF(C4088&lt;=5,"Night (00-05)",IF(C4088&lt;=11,"Morning (06-11)",IF(C4088&lt;=16,"Afternoon (12-16)",IF(C4088&lt;=20,"Evening (17-20)","Late (21-23)")))))</f>
        <v/>
      </c>
    </row>
    <row r="4089" customFormat="false" ht="15" hidden="false" customHeight="false" outlineLevel="0" collapsed="false">
      <c r="L4089" s="37" t="str">
        <f aca="false">IF(C4089="","",IF(C4089&lt;=5,"Night (00-05)",IF(C4089&lt;=11,"Morning (06-11)",IF(C4089&lt;=16,"Afternoon (12-16)",IF(C4089&lt;=20,"Evening (17-20)","Late (21-23)")))))</f>
        <v/>
      </c>
    </row>
    <row r="4090" customFormat="false" ht="15" hidden="false" customHeight="false" outlineLevel="0" collapsed="false">
      <c r="L4090" s="37" t="str">
        <f aca="false">IF(C4090="","",IF(C4090&lt;=5,"Night (00-05)",IF(C4090&lt;=11,"Morning (06-11)",IF(C4090&lt;=16,"Afternoon (12-16)",IF(C4090&lt;=20,"Evening (17-20)","Late (21-23)")))))</f>
        <v/>
      </c>
    </row>
    <row r="4091" customFormat="false" ht="15" hidden="false" customHeight="false" outlineLevel="0" collapsed="false">
      <c r="L4091" s="37" t="str">
        <f aca="false">IF(C4091="","",IF(C4091&lt;=5,"Night (00-05)",IF(C4091&lt;=11,"Morning (06-11)",IF(C4091&lt;=16,"Afternoon (12-16)",IF(C4091&lt;=20,"Evening (17-20)","Late (21-23)")))))</f>
        <v/>
      </c>
    </row>
    <row r="4092" customFormat="false" ht="15" hidden="false" customHeight="false" outlineLevel="0" collapsed="false">
      <c r="L4092" s="37" t="str">
        <f aca="false">IF(C4092="","",IF(C4092&lt;=5,"Night (00-05)",IF(C4092&lt;=11,"Morning (06-11)",IF(C4092&lt;=16,"Afternoon (12-16)",IF(C4092&lt;=20,"Evening (17-20)","Late (21-23)")))))</f>
        <v/>
      </c>
    </row>
    <row r="4093" customFormat="false" ht="15" hidden="false" customHeight="false" outlineLevel="0" collapsed="false">
      <c r="L4093" s="37" t="str">
        <f aca="false">IF(C4093="","",IF(C4093&lt;=5,"Night (00-05)",IF(C4093&lt;=11,"Morning (06-11)",IF(C4093&lt;=16,"Afternoon (12-16)",IF(C4093&lt;=20,"Evening (17-20)","Late (21-23)")))))</f>
        <v/>
      </c>
    </row>
    <row r="4094" customFormat="false" ht="15" hidden="false" customHeight="false" outlineLevel="0" collapsed="false">
      <c r="L4094" s="37" t="str">
        <f aca="false">IF(C4094="","",IF(C4094&lt;=5,"Night (00-05)",IF(C4094&lt;=11,"Morning (06-11)",IF(C4094&lt;=16,"Afternoon (12-16)",IF(C4094&lt;=20,"Evening (17-20)","Late (21-23)")))))</f>
        <v/>
      </c>
    </row>
    <row r="4095" customFormat="false" ht="15" hidden="false" customHeight="false" outlineLevel="0" collapsed="false">
      <c r="L4095" s="37" t="str">
        <f aca="false">IF(C4095="","",IF(C4095&lt;=5,"Night (00-05)",IF(C4095&lt;=11,"Morning (06-11)",IF(C4095&lt;=16,"Afternoon (12-16)",IF(C4095&lt;=20,"Evening (17-20)","Late (21-23)")))))</f>
        <v/>
      </c>
    </row>
    <row r="4096" customFormat="false" ht="15" hidden="false" customHeight="false" outlineLevel="0" collapsed="false">
      <c r="L4096" s="37" t="str">
        <f aca="false">IF(C4096="","",IF(C4096&lt;=5,"Night (00-05)",IF(C4096&lt;=11,"Morning (06-11)",IF(C4096&lt;=16,"Afternoon (12-16)",IF(C4096&lt;=20,"Evening (17-20)","Late (21-23)")))))</f>
        <v/>
      </c>
    </row>
    <row r="4097" customFormat="false" ht="15" hidden="false" customHeight="false" outlineLevel="0" collapsed="false">
      <c r="L4097" s="37" t="str">
        <f aca="false">IF(C4097="","",IF(C4097&lt;=5,"Night (00-05)",IF(C4097&lt;=11,"Morning (06-11)",IF(C4097&lt;=16,"Afternoon (12-16)",IF(C4097&lt;=20,"Evening (17-20)","Late (21-23)")))))</f>
        <v/>
      </c>
    </row>
    <row r="4098" customFormat="false" ht="15" hidden="false" customHeight="false" outlineLevel="0" collapsed="false">
      <c r="L4098" s="37" t="str">
        <f aca="false">IF(C4098="","",IF(C4098&lt;=5,"Night (00-05)",IF(C4098&lt;=11,"Morning (06-11)",IF(C4098&lt;=16,"Afternoon (12-16)",IF(C4098&lt;=20,"Evening (17-20)","Late (21-23)")))))</f>
        <v/>
      </c>
    </row>
    <row r="4099" customFormat="false" ht="15" hidden="false" customHeight="false" outlineLevel="0" collapsed="false">
      <c r="L4099" s="37" t="str">
        <f aca="false">IF(C4099="","",IF(C4099&lt;=5,"Night (00-05)",IF(C4099&lt;=11,"Morning (06-11)",IF(C4099&lt;=16,"Afternoon (12-16)",IF(C4099&lt;=20,"Evening (17-20)","Late (21-23)")))))</f>
        <v/>
      </c>
    </row>
    <row r="4100" customFormat="false" ht="15" hidden="false" customHeight="false" outlineLevel="0" collapsed="false">
      <c r="L4100" s="37" t="str">
        <f aca="false">IF(C4100="","",IF(C4100&lt;=5,"Night (00-05)",IF(C4100&lt;=11,"Morning (06-11)",IF(C4100&lt;=16,"Afternoon (12-16)",IF(C4100&lt;=20,"Evening (17-20)","Late (21-23)")))))</f>
        <v/>
      </c>
    </row>
    <row r="4101" customFormat="false" ht="15" hidden="false" customHeight="false" outlineLevel="0" collapsed="false">
      <c r="L4101" s="37" t="str">
        <f aca="false">IF(C4101="","",IF(C4101&lt;=5,"Night (00-05)",IF(C4101&lt;=11,"Morning (06-11)",IF(C4101&lt;=16,"Afternoon (12-16)",IF(C4101&lt;=20,"Evening (17-20)","Late (21-23)")))))</f>
        <v/>
      </c>
    </row>
    <row r="4102" customFormat="false" ht="15" hidden="false" customHeight="false" outlineLevel="0" collapsed="false">
      <c r="L4102" s="37" t="str">
        <f aca="false">IF(C4102="","",IF(C4102&lt;=5,"Night (00-05)",IF(C4102&lt;=11,"Morning (06-11)",IF(C4102&lt;=16,"Afternoon (12-16)",IF(C4102&lt;=20,"Evening (17-20)","Late (21-23)")))))</f>
        <v/>
      </c>
    </row>
    <row r="4103" customFormat="false" ht="15" hidden="false" customHeight="false" outlineLevel="0" collapsed="false">
      <c r="L4103" s="37" t="str">
        <f aca="false">IF(C4103="","",IF(C4103&lt;=5,"Night (00-05)",IF(C4103&lt;=11,"Morning (06-11)",IF(C4103&lt;=16,"Afternoon (12-16)",IF(C4103&lt;=20,"Evening (17-20)","Late (21-23)")))))</f>
        <v/>
      </c>
    </row>
    <row r="4104" customFormat="false" ht="15" hidden="false" customHeight="false" outlineLevel="0" collapsed="false">
      <c r="L4104" s="37" t="str">
        <f aca="false">IF(C4104="","",IF(C4104&lt;=5,"Night (00-05)",IF(C4104&lt;=11,"Morning (06-11)",IF(C4104&lt;=16,"Afternoon (12-16)",IF(C4104&lt;=20,"Evening (17-20)","Late (21-23)")))))</f>
        <v/>
      </c>
    </row>
    <row r="4105" customFormat="false" ht="15" hidden="false" customHeight="false" outlineLevel="0" collapsed="false">
      <c r="L4105" s="37" t="str">
        <f aca="false">IF(C4105="","",IF(C4105&lt;=5,"Night (00-05)",IF(C4105&lt;=11,"Morning (06-11)",IF(C4105&lt;=16,"Afternoon (12-16)",IF(C4105&lt;=20,"Evening (17-20)","Late (21-23)")))))</f>
        <v/>
      </c>
    </row>
    <row r="4106" customFormat="false" ht="15" hidden="false" customHeight="false" outlineLevel="0" collapsed="false">
      <c r="L4106" s="37" t="str">
        <f aca="false">IF(C4106="","",IF(C4106&lt;=5,"Night (00-05)",IF(C4106&lt;=11,"Morning (06-11)",IF(C4106&lt;=16,"Afternoon (12-16)",IF(C4106&lt;=20,"Evening (17-20)","Late (21-23)")))))</f>
        <v/>
      </c>
    </row>
    <row r="4107" customFormat="false" ht="15" hidden="false" customHeight="false" outlineLevel="0" collapsed="false">
      <c r="L4107" s="37" t="str">
        <f aca="false">IF(C4107="","",IF(C4107&lt;=5,"Night (00-05)",IF(C4107&lt;=11,"Morning (06-11)",IF(C4107&lt;=16,"Afternoon (12-16)",IF(C4107&lt;=20,"Evening (17-20)","Late (21-23)")))))</f>
        <v/>
      </c>
    </row>
    <row r="4108" customFormat="false" ht="15" hidden="false" customHeight="false" outlineLevel="0" collapsed="false">
      <c r="L4108" s="37" t="str">
        <f aca="false">IF(C4108="","",IF(C4108&lt;=5,"Night (00-05)",IF(C4108&lt;=11,"Morning (06-11)",IF(C4108&lt;=16,"Afternoon (12-16)",IF(C4108&lt;=20,"Evening (17-20)","Late (21-23)")))))</f>
        <v/>
      </c>
    </row>
    <row r="4109" customFormat="false" ht="15" hidden="false" customHeight="false" outlineLevel="0" collapsed="false">
      <c r="L4109" s="37" t="str">
        <f aca="false">IF(C4109="","",IF(C4109&lt;=5,"Night (00-05)",IF(C4109&lt;=11,"Morning (06-11)",IF(C4109&lt;=16,"Afternoon (12-16)",IF(C4109&lt;=20,"Evening (17-20)","Late (21-23)")))))</f>
        <v/>
      </c>
    </row>
    <row r="4110" customFormat="false" ht="15" hidden="false" customHeight="false" outlineLevel="0" collapsed="false">
      <c r="L4110" s="37" t="str">
        <f aca="false">IF(C4110="","",IF(C4110&lt;=5,"Night (00-05)",IF(C4110&lt;=11,"Morning (06-11)",IF(C4110&lt;=16,"Afternoon (12-16)",IF(C4110&lt;=20,"Evening (17-20)","Late (21-23)")))))</f>
        <v/>
      </c>
    </row>
    <row r="4111" customFormat="false" ht="15" hidden="false" customHeight="false" outlineLevel="0" collapsed="false">
      <c r="L4111" s="37" t="str">
        <f aca="false">IF(C4111="","",IF(C4111&lt;=5,"Night (00-05)",IF(C4111&lt;=11,"Morning (06-11)",IF(C4111&lt;=16,"Afternoon (12-16)",IF(C4111&lt;=20,"Evening (17-20)","Late (21-23)")))))</f>
        <v/>
      </c>
    </row>
    <row r="4112" customFormat="false" ht="15" hidden="false" customHeight="false" outlineLevel="0" collapsed="false">
      <c r="L4112" s="37" t="str">
        <f aca="false">IF(C4112="","",IF(C4112&lt;=5,"Night (00-05)",IF(C4112&lt;=11,"Morning (06-11)",IF(C4112&lt;=16,"Afternoon (12-16)",IF(C4112&lt;=20,"Evening (17-20)","Late (21-23)")))))</f>
        <v/>
      </c>
    </row>
    <row r="4113" customFormat="false" ht="15" hidden="false" customHeight="false" outlineLevel="0" collapsed="false">
      <c r="L4113" s="37" t="str">
        <f aca="false">IF(C4113="","",IF(C4113&lt;=5,"Night (00-05)",IF(C4113&lt;=11,"Morning (06-11)",IF(C4113&lt;=16,"Afternoon (12-16)",IF(C4113&lt;=20,"Evening (17-20)","Late (21-23)")))))</f>
        <v/>
      </c>
    </row>
    <row r="4114" customFormat="false" ht="15" hidden="false" customHeight="false" outlineLevel="0" collapsed="false">
      <c r="L4114" s="37" t="str">
        <f aca="false">IF(C4114="","",IF(C4114&lt;=5,"Night (00-05)",IF(C4114&lt;=11,"Morning (06-11)",IF(C4114&lt;=16,"Afternoon (12-16)",IF(C4114&lt;=20,"Evening (17-20)","Late (21-23)")))))</f>
        <v/>
      </c>
    </row>
    <row r="4115" customFormat="false" ht="15" hidden="false" customHeight="false" outlineLevel="0" collapsed="false">
      <c r="L4115" s="37" t="str">
        <f aca="false">IF(C4115="","",IF(C4115&lt;=5,"Night (00-05)",IF(C4115&lt;=11,"Morning (06-11)",IF(C4115&lt;=16,"Afternoon (12-16)",IF(C4115&lt;=20,"Evening (17-20)","Late (21-23)")))))</f>
        <v/>
      </c>
    </row>
    <row r="4116" customFormat="false" ht="15" hidden="false" customHeight="false" outlineLevel="0" collapsed="false">
      <c r="L4116" s="37" t="str">
        <f aca="false">IF(C4116="","",IF(C4116&lt;=5,"Night (00-05)",IF(C4116&lt;=11,"Morning (06-11)",IF(C4116&lt;=16,"Afternoon (12-16)",IF(C4116&lt;=20,"Evening (17-20)","Late (21-23)")))))</f>
        <v/>
      </c>
    </row>
    <row r="4117" customFormat="false" ht="15" hidden="false" customHeight="false" outlineLevel="0" collapsed="false">
      <c r="L4117" s="37" t="str">
        <f aca="false">IF(C4117="","",IF(C4117&lt;=5,"Night (00-05)",IF(C4117&lt;=11,"Morning (06-11)",IF(C4117&lt;=16,"Afternoon (12-16)",IF(C4117&lt;=20,"Evening (17-20)","Late (21-23)")))))</f>
        <v/>
      </c>
    </row>
    <row r="4118" customFormat="false" ht="15" hidden="false" customHeight="false" outlineLevel="0" collapsed="false">
      <c r="L4118" s="37" t="str">
        <f aca="false">IF(C4118="","",IF(C4118&lt;=5,"Night (00-05)",IF(C4118&lt;=11,"Morning (06-11)",IF(C4118&lt;=16,"Afternoon (12-16)",IF(C4118&lt;=20,"Evening (17-20)","Late (21-23)")))))</f>
        <v/>
      </c>
    </row>
    <row r="4119" customFormat="false" ht="15" hidden="false" customHeight="false" outlineLevel="0" collapsed="false">
      <c r="L4119" s="37" t="str">
        <f aca="false">IF(C4119="","",IF(C4119&lt;=5,"Night (00-05)",IF(C4119&lt;=11,"Morning (06-11)",IF(C4119&lt;=16,"Afternoon (12-16)",IF(C4119&lt;=20,"Evening (17-20)","Late (21-23)")))))</f>
        <v/>
      </c>
    </row>
    <row r="4120" customFormat="false" ht="15" hidden="false" customHeight="false" outlineLevel="0" collapsed="false">
      <c r="L4120" s="37" t="str">
        <f aca="false">IF(C4120="","",IF(C4120&lt;=5,"Night (00-05)",IF(C4120&lt;=11,"Morning (06-11)",IF(C4120&lt;=16,"Afternoon (12-16)",IF(C4120&lt;=20,"Evening (17-20)","Late (21-23)")))))</f>
        <v/>
      </c>
    </row>
    <row r="4121" customFormat="false" ht="15" hidden="false" customHeight="false" outlineLevel="0" collapsed="false">
      <c r="L4121" s="37" t="str">
        <f aca="false">IF(C4121="","",IF(C4121&lt;=5,"Night (00-05)",IF(C4121&lt;=11,"Morning (06-11)",IF(C4121&lt;=16,"Afternoon (12-16)",IF(C4121&lt;=20,"Evening (17-20)","Late (21-23)")))))</f>
        <v/>
      </c>
    </row>
    <row r="4122" customFormat="false" ht="15" hidden="false" customHeight="false" outlineLevel="0" collapsed="false">
      <c r="L4122" s="37" t="str">
        <f aca="false">IF(C4122="","",IF(C4122&lt;=5,"Night (00-05)",IF(C4122&lt;=11,"Morning (06-11)",IF(C4122&lt;=16,"Afternoon (12-16)",IF(C4122&lt;=20,"Evening (17-20)","Late (21-23)")))))</f>
        <v/>
      </c>
    </row>
    <row r="4123" customFormat="false" ht="15" hidden="false" customHeight="false" outlineLevel="0" collapsed="false">
      <c r="L4123" s="37" t="str">
        <f aca="false">IF(C4123="","",IF(C4123&lt;=5,"Night (00-05)",IF(C4123&lt;=11,"Morning (06-11)",IF(C4123&lt;=16,"Afternoon (12-16)",IF(C4123&lt;=20,"Evening (17-20)","Late (21-23)")))))</f>
        <v/>
      </c>
    </row>
    <row r="4124" customFormat="false" ht="15" hidden="false" customHeight="false" outlineLevel="0" collapsed="false">
      <c r="L4124" s="37" t="str">
        <f aca="false">IF(C4124="","",IF(C4124&lt;=5,"Night (00-05)",IF(C4124&lt;=11,"Morning (06-11)",IF(C4124&lt;=16,"Afternoon (12-16)",IF(C4124&lt;=20,"Evening (17-20)","Late (21-23)")))))</f>
        <v/>
      </c>
    </row>
    <row r="4125" customFormat="false" ht="15" hidden="false" customHeight="false" outlineLevel="0" collapsed="false">
      <c r="L4125" s="37" t="str">
        <f aca="false">IF(C4125="","",IF(C4125&lt;=5,"Night (00-05)",IF(C4125&lt;=11,"Morning (06-11)",IF(C4125&lt;=16,"Afternoon (12-16)",IF(C4125&lt;=20,"Evening (17-20)","Late (21-23)")))))</f>
        <v/>
      </c>
    </row>
    <row r="4126" customFormat="false" ht="15" hidden="false" customHeight="false" outlineLevel="0" collapsed="false">
      <c r="L4126" s="37" t="str">
        <f aca="false">IF(C4126="","",IF(C4126&lt;=5,"Night (00-05)",IF(C4126&lt;=11,"Morning (06-11)",IF(C4126&lt;=16,"Afternoon (12-16)",IF(C4126&lt;=20,"Evening (17-20)","Late (21-23)")))))</f>
        <v/>
      </c>
    </row>
    <row r="4127" customFormat="false" ht="15" hidden="false" customHeight="false" outlineLevel="0" collapsed="false">
      <c r="L4127" s="37" t="str">
        <f aca="false">IF(C4127="","",IF(C4127&lt;=5,"Night (00-05)",IF(C4127&lt;=11,"Morning (06-11)",IF(C4127&lt;=16,"Afternoon (12-16)",IF(C4127&lt;=20,"Evening (17-20)","Late (21-23)")))))</f>
        <v/>
      </c>
    </row>
    <row r="4128" customFormat="false" ht="15" hidden="false" customHeight="false" outlineLevel="0" collapsed="false">
      <c r="L4128" s="37" t="str">
        <f aca="false">IF(C4128="","",IF(C4128&lt;=5,"Night (00-05)",IF(C4128&lt;=11,"Morning (06-11)",IF(C4128&lt;=16,"Afternoon (12-16)",IF(C4128&lt;=20,"Evening (17-20)","Late (21-23)")))))</f>
        <v/>
      </c>
    </row>
    <row r="4129" customFormat="false" ht="15" hidden="false" customHeight="false" outlineLevel="0" collapsed="false">
      <c r="L4129" s="37" t="str">
        <f aca="false">IF(C4129="","",IF(C4129&lt;=5,"Night (00-05)",IF(C4129&lt;=11,"Morning (06-11)",IF(C4129&lt;=16,"Afternoon (12-16)",IF(C4129&lt;=20,"Evening (17-20)","Late (21-23)")))))</f>
        <v/>
      </c>
    </row>
    <row r="4130" customFormat="false" ht="15" hidden="false" customHeight="false" outlineLevel="0" collapsed="false">
      <c r="L4130" s="37" t="str">
        <f aca="false">IF(C4130="","",IF(C4130&lt;=5,"Night (00-05)",IF(C4130&lt;=11,"Morning (06-11)",IF(C4130&lt;=16,"Afternoon (12-16)",IF(C4130&lt;=20,"Evening (17-20)","Late (21-23)")))))</f>
        <v/>
      </c>
    </row>
    <row r="4131" customFormat="false" ht="15" hidden="false" customHeight="false" outlineLevel="0" collapsed="false">
      <c r="L4131" s="37" t="str">
        <f aca="false">IF(C4131="","",IF(C4131&lt;=5,"Night (00-05)",IF(C4131&lt;=11,"Morning (06-11)",IF(C4131&lt;=16,"Afternoon (12-16)",IF(C4131&lt;=20,"Evening (17-20)","Late (21-23)")))))</f>
        <v/>
      </c>
    </row>
    <row r="4132" customFormat="false" ht="15" hidden="false" customHeight="false" outlineLevel="0" collapsed="false">
      <c r="L4132" s="37" t="str">
        <f aca="false">IF(C4132="","",IF(C4132&lt;=5,"Night (00-05)",IF(C4132&lt;=11,"Morning (06-11)",IF(C4132&lt;=16,"Afternoon (12-16)",IF(C4132&lt;=20,"Evening (17-20)","Late (21-23)")))))</f>
        <v/>
      </c>
    </row>
    <row r="4133" customFormat="false" ht="15" hidden="false" customHeight="false" outlineLevel="0" collapsed="false">
      <c r="L4133" s="37" t="str">
        <f aca="false">IF(C4133="","",IF(C4133&lt;=5,"Night (00-05)",IF(C4133&lt;=11,"Morning (06-11)",IF(C4133&lt;=16,"Afternoon (12-16)",IF(C4133&lt;=20,"Evening (17-20)","Late (21-23)")))))</f>
        <v/>
      </c>
    </row>
    <row r="4134" customFormat="false" ht="15" hidden="false" customHeight="false" outlineLevel="0" collapsed="false">
      <c r="L4134" s="37" t="str">
        <f aca="false">IF(C4134="","",IF(C4134&lt;=5,"Night (00-05)",IF(C4134&lt;=11,"Morning (06-11)",IF(C4134&lt;=16,"Afternoon (12-16)",IF(C4134&lt;=20,"Evening (17-20)","Late (21-23)")))))</f>
        <v/>
      </c>
    </row>
    <row r="4135" customFormat="false" ht="15" hidden="false" customHeight="false" outlineLevel="0" collapsed="false">
      <c r="L4135" s="37" t="str">
        <f aca="false">IF(C4135="","",IF(C4135&lt;=5,"Night (00-05)",IF(C4135&lt;=11,"Morning (06-11)",IF(C4135&lt;=16,"Afternoon (12-16)",IF(C4135&lt;=20,"Evening (17-20)","Late (21-23)")))))</f>
        <v/>
      </c>
    </row>
    <row r="4136" customFormat="false" ht="15" hidden="false" customHeight="false" outlineLevel="0" collapsed="false">
      <c r="L4136" s="37" t="str">
        <f aca="false">IF(C4136="","",IF(C4136&lt;=5,"Night (00-05)",IF(C4136&lt;=11,"Morning (06-11)",IF(C4136&lt;=16,"Afternoon (12-16)",IF(C4136&lt;=20,"Evening (17-20)","Late (21-23)")))))</f>
        <v/>
      </c>
    </row>
    <row r="4137" customFormat="false" ht="15" hidden="false" customHeight="false" outlineLevel="0" collapsed="false">
      <c r="L4137" s="37" t="str">
        <f aca="false">IF(C4137="","",IF(C4137&lt;=5,"Night (00-05)",IF(C4137&lt;=11,"Morning (06-11)",IF(C4137&lt;=16,"Afternoon (12-16)",IF(C4137&lt;=20,"Evening (17-20)","Late (21-23)")))))</f>
        <v/>
      </c>
    </row>
    <row r="4138" customFormat="false" ht="15" hidden="false" customHeight="false" outlineLevel="0" collapsed="false">
      <c r="L4138" s="37" t="str">
        <f aca="false">IF(C4138="","",IF(C4138&lt;=5,"Night (00-05)",IF(C4138&lt;=11,"Morning (06-11)",IF(C4138&lt;=16,"Afternoon (12-16)",IF(C4138&lt;=20,"Evening (17-20)","Late (21-23)")))))</f>
        <v/>
      </c>
    </row>
    <row r="4139" customFormat="false" ht="15" hidden="false" customHeight="false" outlineLevel="0" collapsed="false">
      <c r="L4139" s="37" t="str">
        <f aca="false">IF(C4139="","",IF(C4139&lt;=5,"Night (00-05)",IF(C4139&lt;=11,"Morning (06-11)",IF(C4139&lt;=16,"Afternoon (12-16)",IF(C4139&lt;=20,"Evening (17-20)","Late (21-23)")))))</f>
        <v/>
      </c>
    </row>
    <row r="4140" customFormat="false" ht="15" hidden="false" customHeight="false" outlineLevel="0" collapsed="false">
      <c r="L4140" s="37" t="str">
        <f aca="false">IF(C4140="","",IF(C4140&lt;=5,"Night (00-05)",IF(C4140&lt;=11,"Morning (06-11)",IF(C4140&lt;=16,"Afternoon (12-16)",IF(C4140&lt;=20,"Evening (17-20)","Late (21-23)")))))</f>
        <v/>
      </c>
    </row>
    <row r="4141" customFormat="false" ht="15" hidden="false" customHeight="false" outlineLevel="0" collapsed="false">
      <c r="L4141" s="37" t="str">
        <f aca="false">IF(C4141="","",IF(C4141&lt;=5,"Night (00-05)",IF(C4141&lt;=11,"Morning (06-11)",IF(C4141&lt;=16,"Afternoon (12-16)",IF(C4141&lt;=20,"Evening (17-20)","Late (21-23)")))))</f>
        <v/>
      </c>
    </row>
    <row r="4142" customFormat="false" ht="15" hidden="false" customHeight="false" outlineLevel="0" collapsed="false">
      <c r="L4142" s="37" t="str">
        <f aca="false">IF(C4142="","",IF(C4142&lt;=5,"Night (00-05)",IF(C4142&lt;=11,"Morning (06-11)",IF(C4142&lt;=16,"Afternoon (12-16)",IF(C4142&lt;=20,"Evening (17-20)","Late (21-23)")))))</f>
        <v/>
      </c>
    </row>
    <row r="4143" customFormat="false" ht="15" hidden="false" customHeight="false" outlineLevel="0" collapsed="false">
      <c r="L4143" s="37" t="str">
        <f aca="false">IF(C4143="","",IF(C4143&lt;=5,"Night (00-05)",IF(C4143&lt;=11,"Morning (06-11)",IF(C4143&lt;=16,"Afternoon (12-16)",IF(C4143&lt;=20,"Evening (17-20)","Late (21-23)")))))</f>
        <v/>
      </c>
    </row>
    <row r="4144" customFormat="false" ht="15" hidden="false" customHeight="false" outlineLevel="0" collapsed="false">
      <c r="L4144" s="37" t="str">
        <f aca="false">IF(C4144="","",IF(C4144&lt;=5,"Night (00-05)",IF(C4144&lt;=11,"Morning (06-11)",IF(C4144&lt;=16,"Afternoon (12-16)",IF(C4144&lt;=20,"Evening (17-20)","Late (21-23)")))))</f>
        <v/>
      </c>
    </row>
    <row r="4145" customFormat="false" ht="15" hidden="false" customHeight="false" outlineLevel="0" collapsed="false">
      <c r="L4145" s="37" t="str">
        <f aca="false">IF(C4145="","",IF(C4145&lt;=5,"Night (00-05)",IF(C4145&lt;=11,"Morning (06-11)",IF(C4145&lt;=16,"Afternoon (12-16)",IF(C4145&lt;=20,"Evening (17-20)","Late (21-23)")))))</f>
        <v/>
      </c>
    </row>
    <row r="4146" customFormat="false" ht="15" hidden="false" customHeight="false" outlineLevel="0" collapsed="false">
      <c r="L4146" s="37" t="str">
        <f aca="false">IF(C4146="","",IF(C4146&lt;=5,"Night (00-05)",IF(C4146&lt;=11,"Morning (06-11)",IF(C4146&lt;=16,"Afternoon (12-16)",IF(C4146&lt;=20,"Evening (17-20)","Late (21-23)")))))</f>
        <v/>
      </c>
    </row>
    <row r="4147" customFormat="false" ht="15" hidden="false" customHeight="false" outlineLevel="0" collapsed="false">
      <c r="L4147" s="37" t="str">
        <f aca="false">IF(C4147="","",IF(C4147&lt;=5,"Night (00-05)",IF(C4147&lt;=11,"Morning (06-11)",IF(C4147&lt;=16,"Afternoon (12-16)",IF(C4147&lt;=20,"Evening (17-20)","Late (21-23)")))))</f>
        <v/>
      </c>
    </row>
    <row r="4148" customFormat="false" ht="15" hidden="false" customHeight="false" outlineLevel="0" collapsed="false">
      <c r="L4148" s="37" t="str">
        <f aca="false">IF(C4148="","",IF(C4148&lt;=5,"Night (00-05)",IF(C4148&lt;=11,"Morning (06-11)",IF(C4148&lt;=16,"Afternoon (12-16)",IF(C4148&lt;=20,"Evening (17-20)","Late (21-23)")))))</f>
        <v/>
      </c>
    </row>
    <row r="4149" customFormat="false" ht="15" hidden="false" customHeight="false" outlineLevel="0" collapsed="false">
      <c r="L4149" s="37" t="str">
        <f aca="false">IF(C4149="","",IF(C4149&lt;=5,"Night (00-05)",IF(C4149&lt;=11,"Morning (06-11)",IF(C4149&lt;=16,"Afternoon (12-16)",IF(C4149&lt;=20,"Evening (17-20)","Late (21-23)")))))</f>
        <v/>
      </c>
    </row>
    <row r="4150" customFormat="false" ht="15" hidden="false" customHeight="false" outlineLevel="0" collapsed="false">
      <c r="L4150" s="37" t="str">
        <f aca="false">IF(C4150="","",IF(C4150&lt;=5,"Night (00-05)",IF(C4150&lt;=11,"Morning (06-11)",IF(C4150&lt;=16,"Afternoon (12-16)",IF(C4150&lt;=20,"Evening (17-20)","Late (21-23)")))))</f>
        <v/>
      </c>
    </row>
    <row r="4151" customFormat="false" ht="15" hidden="false" customHeight="false" outlineLevel="0" collapsed="false">
      <c r="L4151" s="37" t="str">
        <f aca="false">IF(C4151="","",IF(C4151&lt;=5,"Night (00-05)",IF(C4151&lt;=11,"Morning (06-11)",IF(C4151&lt;=16,"Afternoon (12-16)",IF(C4151&lt;=20,"Evening (17-20)","Late (21-23)")))))</f>
        <v/>
      </c>
    </row>
    <row r="4152" customFormat="false" ht="15" hidden="false" customHeight="false" outlineLevel="0" collapsed="false">
      <c r="L4152" s="37" t="str">
        <f aca="false">IF(C4152="","",IF(C4152&lt;=5,"Night (00-05)",IF(C4152&lt;=11,"Morning (06-11)",IF(C4152&lt;=16,"Afternoon (12-16)",IF(C4152&lt;=20,"Evening (17-20)","Late (21-23)")))))</f>
        <v/>
      </c>
    </row>
    <row r="4153" customFormat="false" ht="15" hidden="false" customHeight="false" outlineLevel="0" collapsed="false">
      <c r="L4153" s="37" t="str">
        <f aca="false">IF(C4153="","",IF(C4153&lt;=5,"Night (00-05)",IF(C4153&lt;=11,"Morning (06-11)",IF(C4153&lt;=16,"Afternoon (12-16)",IF(C4153&lt;=20,"Evening (17-20)","Late (21-23)")))))</f>
        <v/>
      </c>
    </row>
    <row r="4154" customFormat="false" ht="15" hidden="false" customHeight="false" outlineLevel="0" collapsed="false">
      <c r="L4154" s="37" t="str">
        <f aca="false">IF(C4154="","",IF(C4154&lt;=5,"Night (00-05)",IF(C4154&lt;=11,"Morning (06-11)",IF(C4154&lt;=16,"Afternoon (12-16)",IF(C4154&lt;=20,"Evening (17-20)","Late (21-23)")))))</f>
        <v/>
      </c>
    </row>
    <row r="4155" customFormat="false" ht="15" hidden="false" customHeight="false" outlineLevel="0" collapsed="false">
      <c r="L4155" s="37" t="str">
        <f aca="false">IF(C4155="","",IF(C4155&lt;=5,"Night (00-05)",IF(C4155&lt;=11,"Morning (06-11)",IF(C4155&lt;=16,"Afternoon (12-16)",IF(C4155&lt;=20,"Evening (17-20)","Late (21-23)")))))</f>
        <v/>
      </c>
    </row>
    <row r="4156" customFormat="false" ht="15" hidden="false" customHeight="false" outlineLevel="0" collapsed="false">
      <c r="L4156" s="37" t="str">
        <f aca="false">IF(C4156="","",IF(C4156&lt;=5,"Night (00-05)",IF(C4156&lt;=11,"Morning (06-11)",IF(C4156&lt;=16,"Afternoon (12-16)",IF(C4156&lt;=20,"Evening (17-20)","Late (21-23)")))))</f>
        <v/>
      </c>
    </row>
    <row r="4157" customFormat="false" ht="15" hidden="false" customHeight="false" outlineLevel="0" collapsed="false">
      <c r="L4157" s="37" t="str">
        <f aca="false">IF(C4157="","",IF(C4157&lt;=5,"Night (00-05)",IF(C4157&lt;=11,"Morning (06-11)",IF(C4157&lt;=16,"Afternoon (12-16)",IF(C4157&lt;=20,"Evening (17-20)","Late (21-23)")))))</f>
        <v/>
      </c>
    </row>
    <row r="4158" customFormat="false" ht="15" hidden="false" customHeight="false" outlineLevel="0" collapsed="false">
      <c r="L4158" s="37" t="str">
        <f aca="false">IF(C4158="","",IF(C4158&lt;=5,"Night (00-05)",IF(C4158&lt;=11,"Morning (06-11)",IF(C4158&lt;=16,"Afternoon (12-16)",IF(C4158&lt;=20,"Evening (17-20)","Late (21-23)")))))</f>
        <v/>
      </c>
    </row>
    <row r="4159" customFormat="false" ht="15" hidden="false" customHeight="false" outlineLevel="0" collapsed="false">
      <c r="L4159" s="37" t="str">
        <f aca="false">IF(C4159="","",IF(C4159&lt;=5,"Night (00-05)",IF(C4159&lt;=11,"Morning (06-11)",IF(C4159&lt;=16,"Afternoon (12-16)",IF(C4159&lt;=20,"Evening (17-20)","Late (21-23)")))))</f>
        <v/>
      </c>
    </row>
    <row r="4160" customFormat="false" ht="15" hidden="false" customHeight="false" outlineLevel="0" collapsed="false">
      <c r="L4160" s="37" t="str">
        <f aca="false">IF(C4160="","",IF(C4160&lt;=5,"Night (00-05)",IF(C4160&lt;=11,"Morning (06-11)",IF(C4160&lt;=16,"Afternoon (12-16)",IF(C4160&lt;=20,"Evening (17-20)","Late (21-23)")))))</f>
        <v/>
      </c>
    </row>
    <row r="4161" customFormat="false" ht="15" hidden="false" customHeight="false" outlineLevel="0" collapsed="false">
      <c r="L4161" s="37" t="str">
        <f aca="false">IF(C4161="","",IF(C4161&lt;=5,"Night (00-05)",IF(C4161&lt;=11,"Morning (06-11)",IF(C4161&lt;=16,"Afternoon (12-16)",IF(C4161&lt;=20,"Evening (17-20)","Late (21-23)")))))</f>
        <v/>
      </c>
    </row>
    <row r="4162" customFormat="false" ht="15" hidden="false" customHeight="false" outlineLevel="0" collapsed="false">
      <c r="L4162" s="37" t="str">
        <f aca="false">IF(C4162="","",IF(C4162&lt;=5,"Night (00-05)",IF(C4162&lt;=11,"Morning (06-11)",IF(C4162&lt;=16,"Afternoon (12-16)",IF(C4162&lt;=20,"Evening (17-20)","Late (21-23)")))))</f>
        <v/>
      </c>
    </row>
    <row r="4163" customFormat="false" ht="15" hidden="false" customHeight="false" outlineLevel="0" collapsed="false">
      <c r="L4163" s="37" t="str">
        <f aca="false">IF(C4163="","",IF(C4163&lt;=5,"Night (00-05)",IF(C4163&lt;=11,"Morning (06-11)",IF(C4163&lt;=16,"Afternoon (12-16)",IF(C4163&lt;=20,"Evening (17-20)","Late (21-23)")))))</f>
        <v/>
      </c>
    </row>
    <row r="4164" customFormat="false" ht="15" hidden="false" customHeight="false" outlineLevel="0" collapsed="false">
      <c r="L4164" s="37" t="str">
        <f aca="false">IF(C4164="","",IF(C4164&lt;=5,"Night (00-05)",IF(C4164&lt;=11,"Morning (06-11)",IF(C4164&lt;=16,"Afternoon (12-16)",IF(C4164&lt;=20,"Evening (17-20)","Late (21-23)")))))</f>
        <v/>
      </c>
    </row>
    <row r="4165" customFormat="false" ht="15" hidden="false" customHeight="false" outlineLevel="0" collapsed="false">
      <c r="L4165" s="37" t="str">
        <f aca="false">IF(C4165="","",IF(C4165&lt;=5,"Night (00-05)",IF(C4165&lt;=11,"Morning (06-11)",IF(C4165&lt;=16,"Afternoon (12-16)",IF(C4165&lt;=20,"Evening (17-20)","Late (21-23)")))))</f>
        <v/>
      </c>
    </row>
    <row r="4166" customFormat="false" ht="15" hidden="false" customHeight="false" outlineLevel="0" collapsed="false">
      <c r="L4166" s="37" t="str">
        <f aca="false">IF(C4166="","",IF(C4166&lt;=5,"Night (00-05)",IF(C4166&lt;=11,"Morning (06-11)",IF(C4166&lt;=16,"Afternoon (12-16)",IF(C4166&lt;=20,"Evening (17-20)","Late (21-23)")))))</f>
        <v/>
      </c>
    </row>
    <row r="4167" customFormat="false" ht="15" hidden="false" customHeight="false" outlineLevel="0" collapsed="false">
      <c r="L4167" s="37" t="str">
        <f aca="false">IF(C4167="","",IF(C4167&lt;=5,"Night (00-05)",IF(C4167&lt;=11,"Morning (06-11)",IF(C4167&lt;=16,"Afternoon (12-16)",IF(C4167&lt;=20,"Evening (17-20)","Late (21-23)")))))</f>
        <v/>
      </c>
    </row>
    <row r="4168" customFormat="false" ht="15" hidden="false" customHeight="false" outlineLevel="0" collapsed="false">
      <c r="L4168" s="37" t="str">
        <f aca="false">IF(C4168="","",IF(C4168&lt;=5,"Night (00-05)",IF(C4168&lt;=11,"Morning (06-11)",IF(C4168&lt;=16,"Afternoon (12-16)",IF(C4168&lt;=20,"Evening (17-20)","Late (21-23)")))))</f>
        <v/>
      </c>
    </row>
    <row r="4169" customFormat="false" ht="15" hidden="false" customHeight="false" outlineLevel="0" collapsed="false">
      <c r="L4169" s="37" t="str">
        <f aca="false">IF(C4169="","",IF(C4169&lt;=5,"Night (00-05)",IF(C4169&lt;=11,"Morning (06-11)",IF(C4169&lt;=16,"Afternoon (12-16)",IF(C4169&lt;=20,"Evening (17-20)","Late (21-23)")))))</f>
        <v/>
      </c>
    </row>
    <row r="4170" customFormat="false" ht="15" hidden="false" customHeight="false" outlineLevel="0" collapsed="false">
      <c r="L4170" s="37" t="str">
        <f aca="false">IF(C4170="","",IF(C4170&lt;=5,"Night (00-05)",IF(C4170&lt;=11,"Morning (06-11)",IF(C4170&lt;=16,"Afternoon (12-16)",IF(C4170&lt;=20,"Evening (17-20)","Late (21-23)")))))</f>
        <v/>
      </c>
    </row>
    <row r="4171" customFormat="false" ht="15" hidden="false" customHeight="false" outlineLevel="0" collapsed="false">
      <c r="L4171" s="37" t="str">
        <f aca="false">IF(C4171="","",IF(C4171&lt;=5,"Night (00-05)",IF(C4171&lt;=11,"Morning (06-11)",IF(C4171&lt;=16,"Afternoon (12-16)",IF(C4171&lt;=20,"Evening (17-20)","Late (21-23)")))))</f>
        <v/>
      </c>
    </row>
    <row r="4172" customFormat="false" ht="15" hidden="false" customHeight="false" outlineLevel="0" collapsed="false">
      <c r="L4172" s="37" t="str">
        <f aca="false">IF(C4172="","",IF(C4172&lt;=5,"Night (00-05)",IF(C4172&lt;=11,"Morning (06-11)",IF(C4172&lt;=16,"Afternoon (12-16)",IF(C4172&lt;=20,"Evening (17-20)","Late (21-23)")))))</f>
        <v/>
      </c>
    </row>
    <row r="4173" customFormat="false" ht="15" hidden="false" customHeight="false" outlineLevel="0" collapsed="false">
      <c r="L4173" s="37" t="str">
        <f aca="false">IF(C4173="","",IF(C4173&lt;=5,"Night (00-05)",IF(C4173&lt;=11,"Morning (06-11)",IF(C4173&lt;=16,"Afternoon (12-16)",IF(C4173&lt;=20,"Evening (17-20)","Late (21-23)")))))</f>
        <v/>
      </c>
    </row>
    <row r="4174" customFormat="false" ht="15" hidden="false" customHeight="false" outlineLevel="0" collapsed="false">
      <c r="L4174" s="37" t="str">
        <f aca="false">IF(C4174="","",IF(C4174&lt;=5,"Night (00-05)",IF(C4174&lt;=11,"Morning (06-11)",IF(C4174&lt;=16,"Afternoon (12-16)",IF(C4174&lt;=20,"Evening (17-20)","Late (21-23)")))))</f>
        <v/>
      </c>
    </row>
    <row r="4175" customFormat="false" ht="15" hidden="false" customHeight="false" outlineLevel="0" collapsed="false">
      <c r="L4175" s="37" t="str">
        <f aca="false">IF(C4175="","",IF(C4175&lt;=5,"Night (00-05)",IF(C4175&lt;=11,"Morning (06-11)",IF(C4175&lt;=16,"Afternoon (12-16)",IF(C4175&lt;=20,"Evening (17-20)","Late (21-23)")))))</f>
        <v/>
      </c>
    </row>
    <row r="4176" customFormat="false" ht="15" hidden="false" customHeight="false" outlineLevel="0" collapsed="false">
      <c r="L4176" s="37" t="str">
        <f aca="false">IF(C4176="","",IF(C4176&lt;=5,"Night (00-05)",IF(C4176&lt;=11,"Morning (06-11)",IF(C4176&lt;=16,"Afternoon (12-16)",IF(C4176&lt;=20,"Evening (17-20)","Late (21-23)")))))</f>
        <v/>
      </c>
    </row>
    <row r="4177" customFormat="false" ht="15" hidden="false" customHeight="false" outlineLevel="0" collapsed="false">
      <c r="L4177" s="37" t="str">
        <f aca="false">IF(C4177="","",IF(C4177&lt;=5,"Night (00-05)",IF(C4177&lt;=11,"Morning (06-11)",IF(C4177&lt;=16,"Afternoon (12-16)",IF(C4177&lt;=20,"Evening (17-20)","Late (21-23)")))))</f>
        <v/>
      </c>
    </row>
    <row r="4178" customFormat="false" ht="15" hidden="false" customHeight="false" outlineLevel="0" collapsed="false">
      <c r="L4178" s="37" t="str">
        <f aca="false">IF(C4178="","",IF(C4178&lt;=5,"Night (00-05)",IF(C4178&lt;=11,"Morning (06-11)",IF(C4178&lt;=16,"Afternoon (12-16)",IF(C4178&lt;=20,"Evening (17-20)","Late (21-23)")))))</f>
        <v/>
      </c>
    </row>
    <row r="4179" customFormat="false" ht="15" hidden="false" customHeight="false" outlineLevel="0" collapsed="false">
      <c r="L4179" s="37" t="str">
        <f aca="false">IF(C4179="","",IF(C4179&lt;=5,"Night (00-05)",IF(C4179&lt;=11,"Morning (06-11)",IF(C4179&lt;=16,"Afternoon (12-16)",IF(C4179&lt;=20,"Evening (17-20)","Late (21-23)")))))</f>
        <v/>
      </c>
    </row>
    <row r="4180" customFormat="false" ht="15" hidden="false" customHeight="false" outlineLevel="0" collapsed="false">
      <c r="L4180" s="37" t="str">
        <f aca="false">IF(C4180="","",IF(C4180&lt;=5,"Night (00-05)",IF(C4180&lt;=11,"Morning (06-11)",IF(C4180&lt;=16,"Afternoon (12-16)",IF(C4180&lt;=20,"Evening (17-20)","Late (21-23)")))))</f>
        <v/>
      </c>
    </row>
    <row r="4181" customFormat="false" ht="15" hidden="false" customHeight="false" outlineLevel="0" collapsed="false">
      <c r="L4181" s="37" t="str">
        <f aca="false">IF(C4181="","",IF(C4181&lt;=5,"Night (00-05)",IF(C4181&lt;=11,"Morning (06-11)",IF(C4181&lt;=16,"Afternoon (12-16)",IF(C4181&lt;=20,"Evening (17-20)","Late (21-23)")))))</f>
        <v/>
      </c>
    </row>
    <row r="4182" customFormat="false" ht="15" hidden="false" customHeight="false" outlineLevel="0" collapsed="false">
      <c r="L4182" s="37" t="str">
        <f aca="false">IF(C4182="","",IF(C4182&lt;=5,"Night (00-05)",IF(C4182&lt;=11,"Morning (06-11)",IF(C4182&lt;=16,"Afternoon (12-16)",IF(C4182&lt;=20,"Evening (17-20)","Late (21-23)")))))</f>
        <v/>
      </c>
    </row>
    <row r="4183" customFormat="false" ht="15" hidden="false" customHeight="false" outlineLevel="0" collapsed="false">
      <c r="L4183" s="37" t="str">
        <f aca="false">IF(C4183="","",IF(C4183&lt;=5,"Night (00-05)",IF(C4183&lt;=11,"Morning (06-11)",IF(C4183&lt;=16,"Afternoon (12-16)",IF(C4183&lt;=20,"Evening (17-20)","Late (21-23)")))))</f>
        <v/>
      </c>
    </row>
    <row r="4184" customFormat="false" ht="15" hidden="false" customHeight="false" outlineLevel="0" collapsed="false">
      <c r="L4184" s="37" t="str">
        <f aca="false">IF(C4184="","",IF(C4184&lt;=5,"Night (00-05)",IF(C4184&lt;=11,"Morning (06-11)",IF(C4184&lt;=16,"Afternoon (12-16)",IF(C4184&lt;=20,"Evening (17-20)","Late (21-23)")))))</f>
        <v/>
      </c>
    </row>
    <row r="4185" customFormat="false" ht="15" hidden="false" customHeight="false" outlineLevel="0" collapsed="false">
      <c r="L4185" s="37" t="str">
        <f aca="false">IF(C4185="","",IF(C4185&lt;=5,"Night (00-05)",IF(C4185&lt;=11,"Morning (06-11)",IF(C4185&lt;=16,"Afternoon (12-16)",IF(C4185&lt;=20,"Evening (17-20)","Late (21-23)")))))</f>
        <v/>
      </c>
    </row>
    <row r="4186" customFormat="false" ht="15" hidden="false" customHeight="false" outlineLevel="0" collapsed="false">
      <c r="L4186" s="37" t="str">
        <f aca="false">IF(C4186="","",IF(C4186&lt;=5,"Night (00-05)",IF(C4186&lt;=11,"Morning (06-11)",IF(C4186&lt;=16,"Afternoon (12-16)",IF(C4186&lt;=20,"Evening (17-20)","Late (21-23)")))))</f>
        <v/>
      </c>
    </row>
    <row r="4187" customFormat="false" ht="15" hidden="false" customHeight="false" outlineLevel="0" collapsed="false">
      <c r="L4187" s="37" t="str">
        <f aca="false">IF(C4187="","",IF(C4187&lt;=5,"Night (00-05)",IF(C4187&lt;=11,"Morning (06-11)",IF(C4187&lt;=16,"Afternoon (12-16)",IF(C4187&lt;=20,"Evening (17-20)","Late (21-23)")))))</f>
        <v/>
      </c>
    </row>
    <row r="4188" customFormat="false" ht="15" hidden="false" customHeight="false" outlineLevel="0" collapsed="false">
      <c r="L4188" s="37" t="str">
        <f aca="false">IF(C4188="","",IF(C4188&lt;=5,"Night (00-05)",IF(C4188&lt;=11,"Morning (06-11)",IF(C4188&lt;=16,"Afternoon (12-16)",IF(C4188&lt;=20,"Evening (17-20)","Late (21-23)")))))</f>
        <v/>
      </c>
    </row>
    <row r="4189" customFormat="false" ht="15" hidden="false" customHeight="false" outlineLevel="0" collapsed="false">
      <c r="L4189" s="37" t="str">
        <f aca="false">IF(C4189="","",IF(C4189&lt;=5,"Night (00-05)",IF(C4189&lt;=11,"Morning (06-11)",IF(C4189&lt;=16,"Afternoon (12-16)",IF(C4189&lt;=20,"Evening (17-20)","Late (21-23)")))))</f>
        <v/>
      </c>
    </row>
    <row r="4190" customFormat="false" ht="15" hidden="false" customHeight="false" outlineLevel="0" collapsed="false">
      <c r="L4190" s="37" t="str">
        <f aca="false">IF(C4190="","",IF(C4190&lt;=5,"Night (00-05)",IF(C4190&lt;=11,"Morning (06-11)",IF(C4190&lt;=16,"Afternoon (12-16)",IF(C4190&lt;=20,"Evening (17-20)","Late (21-23)")))))</f>
        <v/>
      </c>
    </row>
    <row r="4191" customFormat="false" ht="15" hidden="false" customHeight="false" outlineLevel="0" collapsed="false">
      <c r="L4191" s="37" t="str">
        <f aca="false">IF(C4191="","",IF(C4191&lt;=5,"Night (00-05)",IF(C4191&lt;=11,"Morning (06-11)",IF(C4191&lt;=16,"Afternoon (12-16)",IF(C4191&lt;=20,"Evening (17-20)","Late (21-23)")))))</f>
        <v/>
      </c>
    </row>
    <row r="4192" customFormat="false" ht="15" hidden="false" customHeight="false" outlineLevel="0" collapsed="false">
      <c r="L4192" s="37" t="str">
        <f aca="false">IF(C4192="","",IF(C4192&lt;=5,"Night (00-05)",IF(C4192&lt;=11,"Morning (06-11)",IF(C4192&lt;=16,"Afternoon (12-16)",IF(C4192&lt;=20,"Evening (17-20)","Late (21-23)")))))</f>
        <v/>
      </c>
    </row>
    <row r="4193" customFormat="false" ht="15" hidden="false" customHeight="false" outlineLevel="0" collapsed="false">
      <c r="L4193" s="37" t="str">
        <f aca="false">IF(C4193="","",IF(C4193&lt;=5,"Night (00-05)",IF(C4193&lt;=11,"Morning (06-11)",IF(C4193&lt;=16,"Afternoon (12-16)",IF(C4193&lt;=20,"Evening (17-20)","Late (21-23)")))))</f>
        <v/>
      </c>
    </row>
    <row r="4194" customFormat="false" ht="15" hidden="false" customHeight="false" outlineLevel="0" collapsed="false">
      <c r="L4194" s="37" t="str">
        <f aca="false">IF(C4194="","",IF(C4194&lt;=5,"Night (00-05)",IF(C4194&lt;=11,"Morning (06-11)",IF(C4194&lt;=16,"Afternoon (12-16)",IF(C4194&lt;=20,"Evening (17-20)","Late (21-23)")))))</f>
        <v/>
      </c>
    </row>
    <row r="4195" customFormat="false" ht="15" hidden="false" customHeight="false" outlineLevel="0" collapsed="false">
      <c r="L4195" s="37" t="str">
        <f aca="false">IF(C4195="","",IF(C4195&lt;=5,"Night (00-05)",IF(C4195&lt;=11,"Morning (06-11)",IF(C4195&lt;=16,"Afternoon (12-16)",IF(C4195&lt;=20,"Evening (17-20)","Late (21-23)")))))</f>
        <v/>
      </c>
    </row>
    <row r="4196" customFormat="false" ht="15" hidden="false" customHeight="false" outlineLevel="0" collapsed="false">
      <c r="L4196" s="37" t="str">
        <f aca="false">IF(C4196="","",IF(C4196&lt;=5,"Night (00-05)",IF(C4196&lt;=11,"Morning (06-11)",IF(C4196&lt;=16,"Afternoon (12-16)",IF(C4196&lt;=20,"Evening (17-20)","Late (21-23)")))))</f>
        <v/>
      </c>
    </row>
    <row r="4197" customFormat="false" ht="15" hidden="false" customHeight="false" outlineLevel="0" collapsed="false">
      <c r="L4197" s="37" t="str">
        <f aca="false">IF(C4197="","",IF(C4197&lt;=5,"Night (00-05)",IF(C4197&lt;=11,"Morning (06-11)",IF(C4197&lt;=16,"Afternoon (12-16)",IF(C4197&lt;=20,"Evening (17-20)","Late (21-23)")))))</f>
        <v/>
      </c>
    </row>
    <row r="4198" customFormat="false" ht="15" hidden="false" customHeight="false" outlineLevel="0" collapsed="false">
      <c r="L4198" s="37" t="str">
        <f aca="false">IF(C4198="","",IF(C4198&lt;=5,"Night (00-05)",IF(C4198&lt;=11,"Morning (06-11)",IF(C4198&lt;=16,"Afternoon (12-16)",IF(C4198&lt;=20,"Evening (17-20)","Late (21-23)")))))</f>
        <v/>
      </c>
    </row>
    <row r="4199" customFormat="false" ht="15" hidden="false" customHeight="false" outlineLevel="0" collapsed="false">
      <c r="L4199" s="37" t="str">
        <f aca="false">IF(C4199="","",IF(C4199&lt;=5,"Night (00-05)",IF(C4199&lt;=11,"Morning (06-11)",IF(C4199&lt;=16,"Afternoon (12-16)",IF(C4199&lt;=20,"Evening (17-20)","Late (21-23)")))))</f>
        <v/>
      </c>
    </row>
    <row r="4200" customFormat="false" ht="15" hidden="false" customHeight="false" outlineLevel="0" collapsed="false">
      <c r="L4200" s="37" t="str">
        <f aca="false">IF(C4200="","",IF(C4200&lt;=5,"Night (00-05)",IF(C4200&lt;=11,"Morning (06-11)",IF(C4200&lt;=16,"Afternoon (12-16)",IF(C4200&lt;=20,"Evening (17-20)","Late (21-23)")))))</f>
        <v/>
      </c>
    </row>
    <row r="4201" customFormat="false" ht="15" hidden="false" customHeight="false" outlineLevel="0" collapsed="false">
      <c r="L4201" s="37" t="str">
        <f aca="false">IF(C4201="","",IF(C4201&lt;=5,"Night (00-05)",IF(C4201&lt;=11,"Morning (06-11)",IF(C4201&lt;=16,"Afternoon (12-16)",IF(C4201&lt;=20,"Evening (17-20)","Late (21-23)")))))</f>
        <v/>
      </c>
    </row>
    <row r="4202" customFormat="false" ht="15" hidden="false" customHeight="false" outlineLevel="0" collapsed="false">
      <c r="L4202" s="37" t="str">
        <f aca="false">IF(C4202="","",IF(C4202&lt;=5,"Night (00-05)",IF(C4202&lt;=11,"Morning (06-11)",IF(C4202&lt;=16,"Afternoon (12-16)",IF(C4202&lt;=20,"Evening (17-20)","Late (21-23)")))))</f>
        <v/>
      </c>
    </row>
    <row r="4203" customFormat="false" ht="15" hidden="false" customHeight="false" outlineLevel="0" collapsed="false">
      <c r="L4203" s="37" t="str">
        <f aca="false">IF(C4203="","",IF(C4203&lt;=5,"Night (00-05)",IF(C4203&lt;=11,"Morning (06-11)",IF(C4203&lt;=16,"Afternoon (12-16)",IF(C4203&lt;=20,"Evening (17-20)","Late (21-23)")))))</f>
        <v/>
      </c>
    </row>
    <row r="4204" customFormat="false" ht="15" hidden="false" customHeight="false" outlineLevel="0" collapsed="false">
      <c r="L4204" s="37" t="str">
        <f aca="false">IF(C4204="","",IF(C4204&lt;=5,"Night (00-05)",IF(C4204&lt;=11,"Morning (06-11)",IF(C4204&lt;=16,"Afternoon (12-16)",IF(C4204&lt;=20,"Evening (17-20)","Late (21-23)")))))</f>
        <v/>
      </c>
    </row>
    <row r="4205" customFormat="false" ht="15" hidden="false" customHeight="false" outlineLevel="0" collapsed="false">
      <c r="L4205" s="37" t="str">
        <f aca="false">IF(C4205="","",IF(C4205&lt;=5,"Night (00-05)",IF(C4205&lt;=11,"Morning (06-11)",IF(C4205&lt;=16,"Afternoon (12-16)",IF(C4205&lt;=20,"Evening (17-20)","Late (21-23)")))))</f>
        <v/>
      </c>
    </row>
    <row r="4206" customFormat="false" ht="15" hidden="false" customHeight="false" outlineLevel="0" collapsed="false">
      <c r="L4206" s="37" t="str">
        <f aca="false">IF(C4206="","",IF(C4206&lt;=5,"Night (00-05)",IF(C4206&lt;=11,"Morning (06-11)",IF(C4206&lt;=16,"Afternoon (12-16)",IF(C4206&lt;=20,"Evening (17-20)","Late (21-23)")))))</f>
        <v/>
      </c>
    </row>
    <row r="4207" customFormat="false" ht="15" hidden="false" customHeight="false" outlineLevel="0" collapsed="false">
      <c r="L4207" s="37" t="str">
        <f aca="false">IF(C4207="","",IF(C4207&lt;=5,"Night (00-05)",IF(C4207&lt;=11,"Morning (06-11)",IF(C4207&lt;=16,"Afternoon (12-16)",IF(C4207&lt;=20,"Evening (17-20)","Late (21-23)")))))</f>
        <v/>
      </c>
    </row>
    <row r="4208" customFormat="false" ht="15" hidden="false" customHeight="false" outlineLevel="0" collapsed="false">
      <c r="L4208" s="37" t="str">
        <f aca="false">IF(C4208="","",IF(C4208&lt;=5,"Night (00-05)",IF(C4208&lt;=11,"Morning (06-11)",IF(C4208&lt;=16,"Afternoon (12-16)",IF(C4208&lt;=20,"Evening (17-20)","Late (21-23)")))))</f>
        <v/>
      </c>
    </row>
    <row r="4209" customFormat="false" ht="15" hidden="false" customHeight="false" outlineLevel="0" collapsed="false">
      <c r="L4209" s="37" t="str">
        <f aca="false">IF(C4209="","",IF(C4209&lt;=5,"Night (00-05)",IF(C4209&lt;=11,"Morning (06-11)",IF(C4209&lt;=16,"Afternoon (12-16)",IF(C4209&lt;=20,"Evening (17-20)","Late (21-23)")))))</f>
        <v/>
      </c>
    </row>
    <row r="4210" customFormat="false" ht="15" hidden="false" customHeight="false" outlineLevel="0" collapsed="false">
      <c r="L4210" s="37" t="str">
        <f aca="false">IF(C4210="","",IF(C4210&lt;=5,"Night (00-05)",IF(C4210&lt;=11,"Morning (06-11)",IF(C4210&lt;=16,"Afternoon (12-16)",IF(C4210&lt;=20,"Evening (17-20)","Late (21-23)")))))</f>
        <v/>
      </c>
    </row>
    <row r="4211" customFormat="false" ht="15" hidden="false" customHeight="false" outlineLevel="0" collapsed="false">
      <c r="L4211" s="37" t="str">
        <f aca="false">IF(C4211="","",IF(C4211&lt;=5,"Night (00-05)",IF(C4211&lt;=11,"Morning (06-11)",IF(C4211&lt;=16,"Afternoon (12-16)",IF(C4211&lt;=20,"Evening (17-20)","Late (21-23)")))))</f>
        <v/>
      </c>
    </row>
    <row r="4212" customFormat="false" ht="15" hidden="false" customHeight="false" outlineLevel="0" collapsed="false">
      <c r="L4212" s="37" t="str">
        <f aca="false">IF(C4212="","",IF(C4212&lt;=5,"Night (00-05)",IF(C4212&lt;=11,"Morning (06-11)",IF(C4212&lt;=16,"Afternoon (12-16)",IF(C4212&lt;=20,"Evening (17-20)","Late (21-23)")))))</f>
        <v/>
      </c>
    </row>
    <row r="4213" customFormat="false" ht="15" hidden="false" customHeight="false" outlineLevel="0" collapsed="false">
      <c r="L4213" s="37" t="str">
        <f aca="false">IF(C4213="","",IF(C4213&lt;=5,"Night (00-05)",IF(C4213&lt;=11,"Morning (06-11)",IF(C4213&lt;=16,"Afternoon (12-16)",IF(C4213&lt;=20,"Evening (17-20)","Late (21-23)")))))</f>
        <v/>
      </c>
    </row>
    <row r="4214" customFormat="false" ht="15" hidden="false" customHeight="false" outlineLevel="0" collapsed="false">
      <c r="L4214" s="37" t="str">
        <f aca="false">IF(C4214="","",IF(C4214&lt;=5,"Night (00-05)",IF(C4214&lt;=11,"Morning (06-11)",IF(C4214&lt;=16,"Afternoon (12-16)",IF(C4214&lt;=20,"Evening (17-20)","Late (21-23)")))))</f>
        <v/>
      </c>
    </row>
    <row r="4215" customFormat="false" ht="15" hidden="false" customHeight="false" outlineLevel="0" collapsed="false">
      <c r="L4215" s="37" t="str">
        <f aca="false">IF(C4215="","",IF(C4215&lt;=5,"Night (00-05)",IF(C4215&lt;=11,"Morning (06-11)",IF(C4215&lt;=16,"Afternoon (12-16)",IF(C4215&lt;=20,"Evening (17-20)","Late (21-23)")))))</f>
        <v/>
      </c>
    </row>
    <row r="4216" customFormat="false" ht="15" hidden="false" customHeight="false" outlineLevel="0" collapsed="false">
      <c r="L4216" s="37" t="str">
        <f aca="false">IF(C4216="","",IF(C4216&lt;=5,"Night (00-05)",IF(C4216&lt;=11,"Morning (06-11)",IF(C4216&lt;=16,"Afternoon (12-16)",IF(C4216&lt;=20,"Evening (17-20)","Late (21-23)")))))</f>
        <v/>
      </c>
    </row>
    <row r="4217" customFormat="false" ht="15" hidden="false" customHeight="false" outlineLevel="0" collapsed="false">
      <c r="L4217" s="37" t="str">
        <f aca="false">IF(C4217="","",IF(C4217&lt;=5,"Night (00-05)",IF(C4217&lt;=11,"Morning (06-11)",IF(C4217&lt;=16,"Afternoon (12-16)",IF(C4217&lt;=20,"Evening (17-20)","Late (21-23)")))))</f>
        <v/>
      </c>
    </row>
    <row r="4218" customFormat="false" ht="15" hidden="false" customHeight="false" outlineLevel="0" collapsed="false">
      <c r="L4218" s="37" t="str">
        <f aca="false">IF(C4218="","",IF(C4218&lt;=5,"Night (00-05)",IF(C4218&lt;=11,"Morning (06-11)",IF(C4218&lt;=16,"Afternoon (12-16)",IF(C4218&lt;=20,"Evening (17-20)","Late (21-23)")))))</f>
        <v/>
      </c>
    </row>
    <row r="4219" customFormat="false" ht="15" hidden="false" customHeight="false" outlineLevel="0" collapsed="false">
      <c r="L4219" s="37" t="str">
        <f aca="false">IF(C4219="","",IF(C4219&lt;=5,"Night (00-05)",IF(C4219&lt;=11,"Morning (06-11)",IF(C4219&lt;=16,"Afternoon (12-16)",IF(C4219&lt;=20,"Evening (17-20)","Late (21-23)")))))</f>
        <v/>
      </c>
    </row>
    <row r="4220" customFormat="false" ht="15" hidden="false" customHeight="false" outlineLevel="0" collapsed="false">
      <c r="L4220" s="37" t="str">
        <f aca="false">IF(C4220="","",IF(C4220&lt;=5,"Night (00-05)",IF(C4220&lt;=11,"Morning (06-11)",IF(C4220&lt;=16,"Afternoon (12-16)",IF(C4220&lt;=20,"Evening (17-20)","Late (21-23)")))))</f>
        <v/>
      </c>
    </row>
    <row r="4221" customFormat="false" ht="15" hidden="false" customHeight="false" outlineLevel="0" collapsed="false">
      <c r="L4221" s="37" t="str">
        <f aca="false">IF(C4221="","",IF(C4221&lt;=5,"Night (00-05)",IF(C4221&lt;=11,"Morning (06-11)",IF(C4221&lt;=16,"Afternoon (12-16)",IF(C4221&lt;=20,"Evening (17-20)","Late (21-23)")))))</f>
        <v/>
      </c>
    </row>
    <row r="4222" customFormat="false" ht="15" hidden="false" customHeight="false" outlineLevel="0" collapsed="false">
      <c r="L4222" s="37" t="str">
        <f aca="false">IF(C4222="","",IF(C4222&lt;=5,"Night (00-05)",IF(C4222&lt;=11,"Morning (06-11)",IF(C4222&lt;=16,"Afternoon (12-16)",IF(C4222&lt;=20,"Evening (17-20)","Late (21-23)")))))</f>
        <v/>
      </c>
    </row>
    <row r="4223" customFormat="false" ht="15" hidden="false" customHeight="false" outlineLevel="0" collapsed="false">
      <c r="L4223" s="37" t="str">
        <f aca="false">IF(C4223="","",IF(C4223&lt;=5,"Night (00-05)",IF(C4223&lt;=11,"Morning (06-11)",IF(C4223&lt;=16,"Afternoon (12-16)",IF(C4223&lt;=20,"Evening (17-20)","Late (21-23)")))))</f>
        <v/>
      </c>
    </row>
    <row r="4224" customFormat="false" ht="15" hidden="false" customHeight="false" outlineLevel="0" collapsed="false">
      <c r="L4224" s="37" t="str">
        <f aca="false">IF(C4224="","",IF(C4224&lt;=5,"Night (00-05)",IF(C4224&lt;=11,"Morning (06-11)",IF(C4224&lt;=16,"Afternoon (12-16)",IF(C4224&lt;=20,"Evening (17-20)","Late (21-23)")))))</f>
        <v/>
      </c>
    </row>
    <row r="4225" customFormat="false" ht="15" hidden="false" customHeight="false" outlineLevel="0" collapsed="false">
      <c r="L4225" s="37" t="str">
        <f aca="false">IF(C4225="","",IF(C4225&lt;=5,"Night (00-05)",IF(C4225&lt;=11,"Morning (06-11)",IF(C4225&lt;=16,"Afternoon (12-16)",IF(C4225&lt;=20,"Evening (17-20)","Late (21-23)")))))</f>
        <v/>
      </c>
    </row>
    <row r="4226" customFormat="false" ht="15" hidden="false" customHeight="false" outlineLevel="0" collapsed="false">
      <c r="L4226" s="37" t="str">
        <f aca="false">IF(C4226="","",IF(C4226&lt;=5,"Night (00-05)",IF(C4226&lt;=11,"Morning (06-11)",IF(C4226&lt;=16,"Afternoon (12-16)",IF(C4226&lt;=20,"Evening (17-20)","Late (21-23)")))))</f>
        <v/>
      </c>
    </row>
    <row r="4227" customFormat="false" ht="15" hidden="false" customHeight="false" outlineLevel="0" collapsed="false">
      <c r="L4227" s="37" t="str">
        <f aca="false">IF(C4227="","",IF(C4227&lt;=5,"Night (00-05)",IF(C4227&lt;=11,"Morning (06-11)",IF(C4227&lt;=16,"Afternoon (12-16)",IF(C4227&lt;=20,"Evening (17-20)","Late (21-23)")))))</f>
        <v/>
      </c>
    </row>
    <row r="4228" customFormat="false" ht="15" hidden="false" customHeight="false" outlineLevel="0" collapsed="false">
      <c r="L4228" s="37" t="str">
        <f aca="false">IF(C4228="","",IF(C4228&lt;=5,"Night (00-05)",IF(C4228&lt;=11,"Morning (06-11)",IF(C4228&lt;=16,"Afternoon (12-16)",IF(C4228&lt;=20,"Evening (17-20)","Late (21-23)")))))</f>
        <v/>
      </c>
    </row>
    <row r="4229" customFormat="false" ht="15" hidden="false" customHeight="false" outlineLevel="0" collapsed="false">
      <c r="L4229" s="37" t="str">
        <f aca="false">IF(C4229="","",IF(C4229&lt;=5,"Night (00-05)",IF(C4229&lt;=11,"Morning (06-11)",IF(C4229&lt;=16,"Afternoon (12-16)",IF(C4229&lt;=20,"Evening (17-20)","Late (21-23)")))))</f>
        <v/>
      </c>
    </row>
    <row r="4230" customFormat="false" ht="15" hidden="false" customHeight="false" outlineLevel="0" collapsed="false">
      <c r="L4230" s="37" t="str">
        <f aca="false">IF(C4230="","",IF(C4230&lt;=5,"Night (00-05)",IF(C4230&lt;=11,"Morning (06-11)",IF(C4230&lt;=16,"Afternoon (12-16)",IF(C4230&lt;=20,"Evening (17-20)","Late (21-23)")))))</f>
        <v/>
      </c>
    </row>
    <row r="4231" customFormat="false" ht="15" hidden="false" customHeight="false" outlineLevel="0" collapsed="false">
      <c r="L4231" s="37" t="str">
        <f aca="false">IF(C4231="","",IF(C4231&lt;=5,"Night (00-05)",IF(C4231&lt;=11,"Morning (06-11)",IF(C4231&lt;=16,"Afternoon (12-16)",IF(C4231&lt;=20,"Evening (17-20)","Late (21-23)")))))</f>
        <v/>
      </c>
    </row>
    <row r="4232" customFormat="false" ht="15" hidden="false" customHeight="false" outlineLevel="0" collapsed="false">
      <c r="L4232" s="37" t="str">
        <f aca="false">IF(C4232="","",IF(C4232&lt;=5,"Night (00-05)",IF(C4232&lt;=11,"Morning (06-11)",IF(C4232&lt;=16,"Afternoon (12-16)",IF(C4232&lt;=20,"Evening (17-20)","Late (21-23)")))))</f>
        <v/>
      </c>
    </row>
    <row r="4233" customFormat="false" ht="15" hidden="false" customHeight="false" outlineLevel="0" collapsed="false">
      <c r="L4233" s="37" t="str">
        <f aca="false">IF(C4233="","",IF(C4233&lt;=5,"Night (00-05)",IF(C4233&lt;=11,"Morning (06-11)",IF(C4233&lt;=16,"Afternoon (12-16)",IF(C4233&lt;=20,"Evening (17-20)","Late (21-23)")))))</f>
        <v/>
      </c>
    </row>
    <row r="4234" customFormat="false" ht="15" hidden="false" customHeight="false" outlineLevel="0" collapsed="false">
      <c r="L4234" s="37" t="str">
        <f aca="false">IF(C4234="","",IF(C4234&lt;=5,"Night (00-05)",IF(C4234&lt;=11,"Morning (06-11)",IF(C4234&lt;=16,"Afternoon (12-16)",IF(C4234&lt;=20,"Evening (17-20)","Late (21-23)")))))</f>
        <v/>
      </c>
    </row>
    <row r="4235" customFormat="false" ht="15" hidden="false" customHeight="false" outlineLevel="0" collapsed="false">
      <c r="L4235" s="37" t="str">
        <f aca="false">IF(C4235="","",IF(C4235&lt;=5,"Night (00-05)",IF(C4235&lt;=11,"Morning (06-11)",IF(C4235&lt;=16,"Afternoon (12-16)",IF(C4235&lt;=20,"Evening (17-20)","Late (21-23)")))))</f>
        <v/>
      </c>
    </row>
    <row r="4236" customFormat="false" ht="15" hidden="false" customHeight="false" outlineLevel="0" collapsed="false">
      <c r="L4236" s="37" t="str">
        <f aca="false">IF(C4236="","",IF(C4236&lt;=5,"Night (00-05)",IF(C4236&lt;=11,"Morning (06-11)",IF(C4236&lt;=16,"Afternoon (12-16)",IF(C4236&lt;=20,"Evening (17-20)","Late (21-23)")))))</f>
        <v/>
      </c>
    </row>
    <row r="4237" customFormat="false" ht="15" hidden="false" customHeight="false" outlineLevel="0" collapsed="false">
      <c r="L4237" s="37" t="str">
        <f aca="false">IF(C4237="","",IF(C4237&lt;=5,"Night (00-05)",IF(C4237&lt;=11,"Morning (06-11)",IF(C4237&lt;=16,"Afternoon (12-16)",IF(C4237&lt;=20,"Evening (17-20)","Late (21-23)")))))</f>
        <v/>
      </c>
    </row>
    <row r="4238" customFormat="false" ht="15" hidden="false" customHeight="false" outlineLevel="0" collapsed="false">
      <c r="L4238" s="37" t="str">
        <f aca="false">IF(C4238="","",IF(C4238&lt;=5,"Night (00-05)",IF(C4238&lt;=11,"Morning (06-11)",IF(C4238&lt;=16,"Afternoon (12-16)",IF(C4238&lt;=20,"Evening (17-20)","Late (21-23)")))))</f>
        <v/>
      </c>
    </row>
    <row r="4239" customFormat="false" ht="15" hidden="false" customHeight="false" outlineLevel="0" collapsed="false">
      <c r="L4239" s="37" t="str">
        <f aca="false">IF(C4239="","",IF(C4239&lt;=5,"Night (00-05)",IF(C4239&lt;=11,"Morning (06-11)",IF(C4239&lt;=16,"Afternoon (12-16)",IF(C4239&lt;=20,"Evening (17-20)","Late (21-23)")))))</f>
        <v/>
      </c>
    </row>
    <row r="4240" customFormat="false" ht="15" hidden="false" customHeight="false" outlineLevel="0" collapsed="false">
      <c r="L4240" s="37" t="str">
        <f aca="false">IF(C4240="","",IF(C4240&lt;=5,"Night (00-05)",IF(C4240&lt;=11,"Morning (06-11)",IF(C4240&lt;=16,"Afternoon (12-16)",IF(C4240&lt;=20,"Evening (17-20)","Late (21-23)")))))</f>
        <v/>
      </c>
    </row>
    <row r="4241" customFormat="false" ht="15" hidden="false" customHeight="false" outlineLevel="0" collapsed="false">
      <c r="L4241" s="37" t="str">
        <f aca="false">IF(C4241="","",IF(C4241&lt;=5,"Night (00-05)",IF(C4241&lt;=11,"Morning (06-11)",IF(C4241&lt;=16,"Afternoon (12-16)",IF(C4241&lt;=20,"Evening (17-20)","Late (21-23)")))))</f>
        <v/>
      </c>
    </row>
    <row r="4242" customFormat="false" ht="15" hidden="false" customHeight="false" outlineLevel="0" collapsed="false">
      <c r="L4242" s="37" t="str">
        <f aca="false">IF(C4242="","",IF(C4242&lt;=5,"Night (00-05)",IF(C4242&lt;=11,"Morning (06-11)",IF(C4242&lt;=16,"Afternoon (12-16)",IF(C4242&lt;=20,"Evening (17-20)","Late (21-23)")))))</f>
        <v/>
      </c>
    </row>
    <row r="4243" customFormat="false" ht="15" hidden="false" customHeight="false" outlineLevel="0" collapsed="false">
      <c r="L4243" s="37" t="str">
        <f aca="false">IF(C4243="","",IF(C4243&lt;=5,"Night (00-05)",IF(C4243&lt;=11,"Morning (06-11)",IF(C4243&lt;=16,"Afternoon (12-16)",IF(C4243&lt;=20,"Evening (17-20)","Late (21-23)")))))</f>
        <v/>
      </c>
    </row>
    <row r="4244" customFormat="false" ht="15" hidden="false" customHeight="false" outlineLevel="0" collapsed="false">
      <c r="L4244" s="37" t="str">
        <f aca="false">IF(C4244="","",IF(C4244&lt;=5,"Night (00-05)",IF(C4244&lt;=11,"Morning (06-11)",IF(C4244&lt;=16,"Afternoon (12-16)",IF(C4244&lt;=20,"Evening (17-20)","Late (21-23)")))))</f>
        <v/>
      </c>
    </row>
    <row r="4245" customFormat="false" ht="15" hidden="false" customHeight="false" outlineLevel="0" collapsed="false">
      <c r="L4245" s="37" t="str">
        <f aca="false">IF(C4245="","",IF(C4245&lt;=5,"Night (00-05)",IF(C4245&lt;=11,"Morning (06-11)",IF(C4245&lt;=16,"Afternoon (12-16)",IF(C4245&lt;=20,"Evening (17-20)","Late (21-23)")))))</f>
        <v/>
      </c>
    </row>
    <row r="4246" customFormat="false" ht="15" hidden="false" customHeight="false" outlineLevel="0" collapsed="false">
      <c r="L4246" s="37" t="str">
        <f aca="false">IF(C4246="","",IF(C4246&lt;=5,"Night (00-05)",IF(C4246&lt;=11,"Morning (06-11)",IF(C4246&lt;=16,"Afternoon (12-16)",IF(C4246&lt;=20,"Evening (17-20)","Late (21-23)")))))</f>
        <v/>
      </c>
    </row>
    <row r="4247" customFormat="false" ht="15" hidden="false" customHeight="false" outlineLevel="0" collapsed="false">
      <c r="L4247" s="37" t="str">
        <f aca="false">IF(C4247="","",IF(C4247&lt;=5,"Night (00-05)",IF(C4247&lt;=11,"Morning (06-11)",IF(C4247&lt;=16,"Afternoon (12-16)",IF(C4247&lt;=20,"Evening (17-20)","Late (21-23)")))))</f>
        <v/>
      </c>
    </row>
    <row r="4248" customFormat="false" ht="15" hidden="false" customHeight="false" outlineLevel="0" collapsed="false">
      <c r="L4248" s="37" t="str">
        <f aca="false">IF(C4248="","",IF(C4248&lt;=5,"Night (00-05)",IF(C4248&lt;=11,"Morning (06-11)",IF(C4248&lt;=16,"Afternoon (12-16)",IF(C4248&lt;=20,"Evening (17-20)","Late (21-23)")))))</f>
        <v/>
      </c>
    </row>
    <row r="4249" customFormat="false" ht="15" hidden="false" customHeight="false" outlineLevel="0" collapsed="false">
      <c r="L4249" s="37" t="str">
        <f aca="false">IF(C4249="","",IF(C4249&lt;=5,"Night (00-05)",IF(C4249&lt;=11,"Morning (06-11)",IF(C4249&lt;=16,"Afternoon (12-16)",IF(C4249&lt;=20,"Evening (17-20)","Late (21-23)")))))</f>
        <v/>
      </c>
    </row>
    <row r="4250" customFormat="false" ht="15" hidden="false" customHeight="false" outlineLevel="0" collapsed="false">
      <c r="L4250" s="37" t="str">
        <f aca="false">IF(C4250="","",IF(C4250&lt;=5,"Night (00-05)",IF(C4250&lt;=11,"Morning (06-11)",IF(C4250&lt;=16,"Afternoon (12-16)",IF(C4250&lt;=20,"Evening (17-20)","Late (21-23)")))))</f>
        <v/>
      </c>
    </row>
    <row r="4251" customFormat="false" ht="15" hidden="false" customHeight="false" outlineLevel="0" collapsed="false">
      <c r="L4251" s="37" t="str">
        <f aca="false">IF(C4251="","",IF(C4251&lt;=5,"Night (00-05)",IF(C4251&lt;=11,"Morning (06-11)",IF(C4251&lt;=16,"Afternoon (12-16)",IF(C4251&lt;=20,"Evening (17-20)","Late (21-23)")))))</f>
        <v/>
      </c>
    </row>
    <row r="4252" customFormat="false" ht="15" hidden="false" customHeight="false" outlineLevel="0" collapsed="false">
      <c r="L4252" s="37" t="str">
        <f aca="false">IF(C4252="","",IF(C4252&lt;=5,"Night (00-05)",IF(C4252&lt;=11,"Morning (06-11)",IF(C4252&lt;=16,"Afternoon (12-16)",IF(C4252&lt;=20,"Evening (17-20)","Late (21-23)")))))</f>
        <v/>
      </c>
    </row>
    <row r="4253" customFormat="false" ht="15" hidden="false" customHeight="false" outlineLevel="0" collapsed="false">
      <c r="L4253" s="37" t="str">
        <f aca="false">IF(C4253="","",IF(C4253&lt;=5,"Night (00-05)",IF(C4253&lt;=11,"Morning (06-11)",IF(C4253&lt;=16,"Afternoon (12-16)",IF(C4253&lt;=20,"Evening (17-20)","Late (21-23)")))))</f>
        <v/>
      </c>
    </row>
    <row r="4254" customFormat="false" ht="15" hidden="false" customHeight="false" outlineLevel="0" collapsed="false">
      <c r="L4254" s="37" t="str">
        <f aca="false">IF(C4254="","",IF(C4254&lt;=5,"Night (00-05)",IF(C4254&lt;=11,"Morning (06-11)",IF(C4254&lt;=16,"Afternoon (12-16)",IF(C4254&lt;=20,"Evening (17-20)","Late (21-23)")))))</f>
        <v/>
      </c>
    </row>
    <row r="4255" customFormat="false" ht="15" hidden="false" customHeight="false" outlineLevel="0" collapsed="false">
      <c r="L4255" s="37" t="str">
        <f aca="false">IF(C4255="","",IF(C4255&lt;=5,"Night (00-05)",IF(C4255&lt;=11,"Morning (06-11)",IF(C4255&lt;=16,"Afternoon (12-16)",IF(C4255&lt;=20,"Evening (17-20)","Late (21-23)")))))</f>
        <v/>
      </c>
    </row>
    <row r="4256" customFormat="false" ht="15" hidden="false" customHeight="false" outlineLevel="0" collapsed="false">
      <c r="L4256" s="37" t="str">
        <f aca="false">IF(C4256="","",IF(C4256&lt;=5,"Night (00-05)",IF(C4256&lt;=11,"Morning (06-11)",IF(C4256&lt;=16,"Afternoon (12-16)",IF(C4256&lt;=20,"Evening (17-20)","Late (21-23)")))))</f>
        <v/>
      </c>
    </row>
    <row r="4257" customFormat="false" ht="15" hidden="false" customHeight="false" outlineLevel="0" collapsed="false">
      <c r="L4257" s="37" t="str">
        <f aca="false">IF(C4257="","",IF(C4257&lt;=5,"Night (00-05)",IF(C4257&lt;=11,"Morning (06-11)",IF(C4257&lt;=16,"Afternoon (12-16)",IF(C4257&lt;=20,"Evening (17-20)","Late (21-23)")))))</f>
        <v/>
      </c>
    </row>
    <row r="4258" customFormat="false" ht="15" hidden="false" customHeight="false" outlineLevel="0" collapsed="false">
      <c r="L4258" s="37" t="str">
        <f aca="false">IF(C4258="","",IF(C4258&lt;=5,"Night (00-05)",IF(C4258&lt;=11,"Morning (06-11)",IF(C4258&lt;=16,"Afternoon (12-16)",IF(C4258&lt;=20,"Evening (17-20)","Late (21-23)")))))</f>
        <v/>
      </c>
    </row>
    <row r="4259" customFormat="false" ht="15" hidden="false" customHeight="false" outlineLevel="0" collapsed="false">
      <c r="L4259" s="37" t="str">
        <f aca="false">IF(C4259="","",IF(C4259&lt;=5,"Night (00-05)",IF(C4259&lt;=11,"Morning (06-11)",IF(C4259&lt;=16,"Afternoon (12-16)",IF(C4259&lt;=20,"Evening (17-20)","Late (21-23)")))))</f>
        <v/>
      </c>
    </row>
    <row r="4260" customFormat="false" ht="15" hidden="false" customHeight="false" outlineLevel="0" collapsed="false">
      <c r="L4260" s="37" t="str">
        <f aca="false">IF(C4260="","",IF(C4260&lt;=5,"Night (00-05)",IF(C4260&lt;=11,"Morning (06-11)",IF(C4260&lt;=16,"Afternoon (12-16)",IF(C4260&lt;=20,"Evening (17-20)","Late (21-23)")))))</f>
        <v/>
      </c>
    </row>
    <row r="4261" customFormat="false" ht="15" hidden="false" customHeight="false" outlineLevel="0" collapsed="false">
      <c r="L4261" s="37" t="str">
        <f aca="false">IF(C4261="","",IF(C4261&lt;=5,"Night (00-05)",IF(C4261&lt;=11,"Morning (06-11)",IF(C4261&lt;=16,"Afternoon (12-16)",IF(C4261&lt;=20,"Evening (17-20)","Late (21-23)")))))</f>
        <v/>
      </c>
    </row>
    <row r="4262" customFormat="false" ht="15" hidden="false" customHeight="false" outlineLevel="0" collapsed="false">
      <c r="L4262" s="37" t="str">
        <f aca="false">IF(C4262="","",IF(C4262&lt;=5,"Night (00-05)",IF(C4262&lt;=11,"Morning (06-11)",IF(C4262&lt;=16,"Afternoon (12-16)",IF(C4262&lt;=20,"Evening (17-20)","Late (21-23)")))))</f>
        <v/>
      </c>
    </row>
    <row r="4263" customFormat="false" ht="15" hidden="false" customHeight="false" outlineLevel="0" collapsed="false">
      <c r="L4263" s="37" t="str">
        <f aca="false">IF(C4263="","",IF(C4263&lt;=5,"Night (00-05)",IF(C4263&lt;=11,"Morning (06-11)",IF(C4263&lt;=16,"Afternoon (12-16)",IF(C4263&lt;=20,"Evening (17-20)","Late (21-23)")))))</f>
        <v/>
      </c>
    </row>
    <row r="4264" customFormat="false" ht="15" hidden="false" customHeight="false" outlineLevel="0" collapsed="false">
      <c r="L4264" s="37" t="str">
        <f aca="false">IF(C4264="","",IF(C4264&lt;=5,"Night (00-05)",IF(C4264&lt;=11,"Morning (06-11)",IF(C4264&lt;=16,"Afternoon (12-16)",IF(C4264&lt;=20,"Evening (17-20)","Late (21-23)")))))</f>
        <v/>
      </c>
    </row>
    <row r="4265" customFormat="false" ht="15" hidden="false" customHeight="false" outlineLevel="0" collapsed="false">
      <c r="L4265" s="37" t="str">
        <f aca="false">IF(C4265="","",IF(C4265&lt;=5,"Night (00-05)",IF(C4265&lt;=11,"Morning (06-11)",IF(C4265&lt;=16,"Afternoon (12-16)",IF(C4265&lt;=20,"Evening (17-20)","Late (21-23)")))))</f>
        <v/>
      </c>
    </row>
    <row r="4266" customFormat="false" ht="15" hidden="false" customHeight="false" outlineLevel="0" collapsed="false">
      <c r="L4266" s="37" t="str">
        <f aca="false">IF(C4266="","",IF(C4266&lt;=5,"Night (00-05)",IF(C4266&lt;=11,"Morning (06-11)",IF(C4266&lt;=16,"Afternoon (12-16)",IF(C4266&lt;=20,"Evening (17-20)","Late (21-23)")))))</f>
        <v/>
      </c>
    </row>
    <row r="4267" customFormat="false" ht="15" hidden="false" customHeight="false" outlineLevel="0" collapsed="false">
      <c r="L4267" s="37" t="str">
        <f aca="false">IF(C4267="","",IF(C4267&lt;=5,"Night (00-05)",IF(C4267&lt;=11,"Morning (06-11)",IF(C4267&lt;=16,"Afternoon (12-16)",IF(C4267&lt;=20,"Evening (17-20)","Late (21-23)")))))</f>
        <v/>
      </c>
    </row>
    <row r="4268" customFormat="false" ht="15" hidden="false" customHeight="false" outlineLevel="0" collapsed="false">
      <c r="L4268" s="37" t="str">
        <f aca="false">IF(C4268="","",IF(C4268&lt;=5,"Night (00-05)",IF(C4268&lt;=11,"Morning (06-11)",IF(C4268&lt;=16,"Afternoon (12-16)",IF(C4268&lt;=20,"Evening (17-20)","Late (21-23)")))))</f>
        <v/>
      </c>
    </row>
    <row r="4269" customFormat="false" ht="15" hidden="false" customHeight="false" outlineLevel="0" collapsed="false">
      <c r="L4269" s="37" t="str">
        <f aca="false">IF(C4269="","",IF(C4269&lt;=5,"Night (00-05)",IF(C4269&lt;=11,"Morning (06-11)",IF(C4269&lt;=16,"Afternoon (12-16)",IF(C4269&lt;=20,"Evening (17-20)","Late (21-23)")))))</f>
        <v/>
      </c>
    </row>
    <row r="4270" customFormat="false" ht="15" hidden="false" customHeight="false" outlineLevel="0" collapsed="false">
      <c r="L4270" s="37" t="str">
        <f aca="false">IF(C4270="","",IF(C4270&lt;=5,"Night (00-05)",IF(C4270&lt;=11,"Morning (06-11)",IF(C4270&lt;=16,"Afternoon (12-16)",IF(C4270&lt;=20,"Evening (17-20)","Late (21-23)")))))</f>
        <v/>
      </c>
    </row>
    <row r="4271" customFormat="false" ht="15" hidden="false" customHeight="false" outlineLevel="0" collapsed="false">
      <c r="L4271" s="37" t="str">
        <f aca="false">IF(C4271="","",IF(C4271&lt;=5,"Night (00-05)",IF(C4271&lt;=11,"Morning (06-11)",IF(C4271&lt;=16,"Afternoon (12-16)",IF(C4271&lt;=20,"Evening (17-20)","Late (21-23)")))))</f>
        <v/>
      </c>
    </row>
    <row r="4272" customFormat="false" ht="15" hidden="false" customHeight="false" outlineLevel="0" collapsed="false">
      <c r="L4272" s="37" t="str">
        <f aca="false">IF(C4272="","",IF(C4272&lt;=5,"Night (00-05)",IF(C4272&lt;=11,"Morning (06-11)",IF(C4272&lt;=16,"Afternoon (12-16)",IF(C4272&lt;=20,"Evening (17-20)","Late (21-23)")))))</f>
        <v/>
      </c>
    </row>
    <row r="4273" customFormat="false" ht="15" hidden="false" customHeight="false" outlineLevel="0" collapsed="false">
      <c r="L4273" s="37" t="str">
        <f aca="false">IF(C4273="","",IF(C4273&lt;=5,"Night (00-05)",IF(C4273&lt;=11,"Morning (06-11)",IF(C4273&lt;=16,"Afternoon (12-16)",IF(C4273&lt;=20,"Evening (17-20)","Late (21-23)")))))</f>
        <v/>
      </c>
    </row>
    <row r="4274" customFormat="false" ht="15" hidden="false" customHeight="false" outlineLevel="0" collapsed="false">
      <c r="L4274" s="37" t="str">
        <f aca="false">IF(C4274="","",IF(C4274&lt;=5,"Night (00-05)",IF(C4274&lt;=11,"Morning (06-11)",IF(C4274&lt;=16,"Afternoon (12-16)",IF(C4274&lt;=20,"Evening (17-20)","Late (21-23)")))))</f>
        <v/>
      </c>
    </row>
    <row r="4275" customFormat="false" ht="15" hidden="false" customHeight="false" outlineLevel="0" collapsed="false">
      <c r="L4275" s="37" t="str">
        <f aca="false">IF(C4275="","",IF(C4275&lt;=5,"Night (00-05)",IF(C4275&lt;=11,"Morning (06-11)",IF(C4275&lt;=16,"Afternoon (12-16)",IF(C4275&lt;=20,"Evening (17-20)","Late (21-23)")))))</f>
        <v/>
      </c>
    </row>
    <row r="4276" customFormat="false" ht="15" hidden="false" customHeight="false" outlineLevel="0" collapsed="false">
      <c r="L4276" s="37" t="str">
        <f aca="false">IF(C4276="","",IF(C4276&lt;=5,"Night (00-05)",IF(C4276&lt;=11,"Morning (06-11)",IF(C4276&lt;=16,"Afternoon (12-16)",IF(C4276&lt;=20,"Evening (17-20)","Late (21-23)")))))</f>
        <v/>
      </c>
    </row>
    <row r="4277" customFormat="false" ht="15" hidden="false" customHeight="false" outlineLevel="0" collapsed="false">
      <c r="L4277" s="37" t="str">
        <f aca="false">IF(C4277="","",IF(C4277&lt;=5,"Night (00-05)",IF(C4277&lt;=11,"Morning (06-11)",IF(C4277&lt;=16,"Afternoon (12-16)",IF(C4277&lt;=20,"Evening (17-20)","Late (21-23)")))))</f>
        <v/>
      </c>
    </row>
    <row r="4278" customFormat="false" ht="15" hidden="false" customHeight="false" outlineLevel="0" collapsed="false">
      <c r="L4278" s="37" t="str">
        <f aca="false">IF(C4278="","",IF(C4278&lt;=5,"Night (00-05)",IF(C4278&lt;=11,"Morning (06-11)",IF(C4278&lt;=16,"Afternoon (12-16)",IF(C4278&lt;=20,"Evening (17-20)","Late (21-23)")))))</f>
        <v/>
      </c>
    </row>
    <row r="4279" customFormat="false" ht="15" hidden="false" customHeight="false" outlineLevel="0" collapsed="false">
      <c r="L4279" s="37" t="str">
        <f aca="false">IF(C4279="","",IF(C4279&lt;=5,"Night (00-05)",IF(C4279&lt;=11,"Morning (06-11)",IF(C4279&lt;=16,"Afternoon (12-16)",IF(C4279&lt;=20,"Evening (17-20)","Late (21-23)")))))</f>
        <v/>
      </c>
    </row>
    <row r="4280" customFormat="false" ht="15" hidden="false" customHeight="false" outlineLevel="0" collapsed="false">
      <c r="L4280" s="37" t="str">
        <f aca="false">IF(C4280="","",IF(C4280&lt;=5,"Night (00-05)",IF(C4280&lt;=11,"Morning (06-11)",IF(C4280&lt;=16,"Afternoon (12-16)",IF(C4280&lt;=20,"Evening (17-20)","Late (21-23)")))))</f>
        <v/>
      </c>
    </row>
    <row r="4281" customFormat="false" ht="15" hidden="false" customHeight="false" outlineLevel="0" collapsed="false">
      <c r="L4281" s="37" t="str">
        <f aca="false">IF(C4281="","",IF(C4281&lt;=5,"Night (00-05)",IF(C4281&lt;=11,"Morning (06-11)",IF(C4281&lt;=16,"Afternoon (12-16)",IF(C4281&lt;=20,"Evening (17-20)","Late (21-23)")))))</f>
        <v/>
      </c>
    </row>
    <row r="4282" customFormat="false" ht="15" hidden="false" customHeight="false" outlineLevel="0" collapsed="false">
      <c r="L4282" s="37" t="str">
        <f aca="false">IF(C4282="","",IF(C4282&lt;=5,"Night (00-05)",IF(C4282&lt;=11,"Morning (06-11)",IF(C4282&lt;=16,"Afternoon (12-16)",IF(C4282&lt;=20,"Evening (17-20)","Late (21-23)")))))</f>
        <v/>
      </c>
    </row>
    <row r="4283" customFormat="false" ht="15" hidden="false" customHeight="false" outlineLevel="0" collapsed="false">
      <c r="L4283" s="37" t="str">
        <f aca="false">IF(C4283="","",IF(C4283&lt;=5,"Night (00-05)",IF(C4283&lt;=11,"Morning (06-11)",IF(C4283&lt;=16,"Afternoon (12-16)",IF(C4283&lt;=20,"Evening (17-20)","Late (21-23)")))))</f>
        <v/>
      </c>
    </row>
    <row r="4284" customFormat="false" ht="15" hidden="false" customHeight="false" outlineLevel="0" collapsed="false">
      <c r="L4284" s="37" t="str">
        <f aca="false">IF(C4284="","",IF(C4284&lt;=5,"Night (00-05)",IF(C4284&lt;=11,"Morning (06-11)",IF(C4284&lt;=16,"Afternoon (12-16)",IF(C4284&lt;=20,"Evening (17-20)","Late (21-23)")))))</f>
        <v/>
      </c>
    </row>
    <row r="4285" customFormat="false" ht="15" hidden="false" customHeight="false" outlineLevel="0" collapsed="false">
      <c r="L4285" s="37" t="str">
        <f aca="false">IF(C4285="","",IF(C4285&lt;=5,"Night (00-05)",IF(C4285&lt;=11,"Morning (06-11)",IF(C4285&lt;=16,"Afternoon (12-16)",IF(C4285&lt;=20,"Evening (17-20)","Late (21-23)")))))</f>
        <v/>
      </c>
    </row>
    <row r="4286" customFormat="false" ht="15" hidden="false" customHeight="false" outlineLevel="0" collapsed="false">
      <c r="L4286" s="37" t="str">
        <f aca="false">IF(C4286="","",IF(C4286&lt;=5,"Night (00-05)",IF(C4286&lt;=11,"Morning (06-11)",IF(C4286&lt;=16,"Afternoon (12-16)",IF(C4286&lt;=20,"Evening (17-20)","Late (21-23)")))))</f>
        <v/>
      </c>
    </row>
    <row r="4287" customFormat="false" ht="15" hidden="false" customHeight="false" outlineLevel="0" collapsed="false">
      <c r="L4287" s="37" t="str">
        <f aca="false">IF(C4287="","",IF(C4287&lt;=5,"Night (00-05)",IF(C4287&lt;=11,"Morning (06-11)",IF(C4287&lt;=16,"Afternoon (12-16)",IF(C4287&lt;=20,"Evening (17-20)","Late (21-23)")))))</f>
        <v/>
      </c>
    </row>
    <row r="4288" customFormat="false" ht="15" hidden="false" customHeight="false" outlineLevel="0" collapsed="false">
      <c r="L4288" s="37" t="str">
        <f aca="false">IF(C4288="","",IF(C4288&lt;=5,"Night (00-05)",IF(C4288&lt;=11,"Morning (06-11)",IF(C4288&lt;=16,"Afternoon (12-16)",IF(C4288&lt;=20,"Evening (17-20)","Late (21-23)")))))</f>
        <v/>
      </c>
    </row>
    <row r="4289" customFormat="false" ht="15" hidden="false" customHeight="false" outlineLevel="0" collapsed="false">
      <c r="L4289" s="37" t="str">
        <f aca="false">IF(C4289="","",IF(C4289&lt;=5,"Night (00-05)",IF(C4289&lt;=11,"Morning (06-11)",IF(C4289&lt;=16,"Afternoon (12-16)",IF(C4289&lt;=20,"Evening (17-20)","Late (21-23)")))))</f>
        <v/>
      </c>
    </row>
    <row r="4290" customFormat="false" ht="15" hidden="false" customHeight="false" outlineLevel="0" collapsed="false">
      <c r="L4290" s="37" t="str">
        <f aca="false">IF(C4290="","",IF(C4290&lt;=5,"Night (00-05)",IF(C4290&lt;=11,"Morning (06-11)",IF(C4290&lt;=16,"Afternoon (12-16)",IF(C4290&lt;=20,"Evening (17-20)","Late (21-23)")))))</f>
        <v/>
      </c>
    </row>
    <row r="4291" customFormat="false" ht="15" hidden="false" customHeight="false" outlineLevel="0" collapsed="false">
      <c r="L4291" s="37" t="str">
        <f aca="false">IF(C4291="","",IF(C4291&lt;=5,"Night (00-05)",IF(C4291&lt;=11,"Morning (06-11)",IF(C4291&lt;=16,"Afternoon (12-16)",IF(C4291&lt;=20,"Evening (17-20)","Late (21-23)")))))</f>
        <v/>
      </c>
    </row>
    <row r="4292" customFormat="false" ht="15" hidden="false" customHeight="false" outlineLevel="0" collapsed="false">
      <c r="L4292" s="37" t="str">
        <f aca="false">IF(C4292="","",IF(C4292&lt;=5,"Night (00-05)",IF(C4292&lt;=11,"Morning (06-11)",IF(C4292&lt;=16,"Afternoon (12-16)",IF(C4292&lt;=20,"Evening (17-20)","Late (21-23)")))))</f>
        <v/>
      </c>
    </row>
    <row r="4293" customFormat="false" ht="15" hidden="false" customHeight="false" outlineLevel="0" collapsed="false">
      <c r="L4293" s="37" t="str">
        <f aca="false">IF(C4293="","",IF(C4293&lt;=5,"Night (00-05)",IF(C4293&lt;=11,"Morning (06-11)",IF(C4293&lt;=16,"Afternoon (12-16)",IF(C4293&lt;=20,"Evening (17-20)","Late (21-23)")))))</f>
        <v/>
      </c>
    </row>
    <row r="4294" customFormat="false" ht="15" hidden="false" customHeight="false" outlineLevel="0" collapsed="false">
      <c r="L4294" s="37" t="str">
        <f aca="false">IF(C4294="","",IF(C4294&lt;=5,"Night (00-05)",IF(C4294&lt;=11,"Morning (06-11)",IF(C4294&lt;=16,"Afternoon (12-16)",IF(C4294&lt;=20,"Evening (17-20)","Late (21-23)")))))</f>
        <v/>
      </c>
    </row>
    <row r="4295" customFormat="false" ht="15" hidden="false" customHeight="false" outlineLevel="0" collapsed="false">
      <c r="L4295" s="37" t="str">
        <f aca="false">IF(C4295="","",IF(C4295&lt;=5,"Night (00-05)",IF(C4295&lt;=11,"Morning (06-11)",IF(C4295&lt;=16,"Afternoon (12-16)",IF(C4295&lt;=20,"Evening (17-20)","Late (21-23)")))))</f>
        <v/>
      </c>
    </row>
    <row r="4296" customFormat="false" ht="15" hidden="false" customHeight="false" outlineLevel="0" collapsed="false">
      <c r="L4296" s="37" t="str">
        <f aca="false">IF(C4296="","",IF(C4296&lt;=5,"Night (00-05)",IF(C4296&lt;=11,"Morning (06-11)",IF(C4296&lt;=16,"Afternoon (12-16)",IF(C4296&lt;=20,"Evening (17-20)","Late (21-23)")))))</f>
        <v/>
      </c>
    </row>
    <row r="4297" customFormat="false" ht="15" hidden="false" customHeight="false" outlineLevel="0" collapsed="false">
      <c r="L4297" s="37" t="str">
        <f aca="false">IF(C4297="","",IF(C4297&lt;=5,"Night (00-05)",IF(C4297&lt;=11,"Morning (06-11)",IF(C4297&lt;=16,"Afternoon (12-16)",IF(C4297&lt;=20,"Evening (17-20)","Late (21-23)")))))</f>
        <v/>
      </c>
    </row>
    <row r="4298" customFormat="false" ht="15" hidden="false" customHeight="false" outlineLevel="0" collapsed="false">
      <c r="L4298" s="37" t="str">
        <f aca="false">IF(C4298="","",IF(C4298&lt;=5,"Night (00-05)",IF(C4298&lt;=11,"Morning (06-11)",IF(C4298&lt;=16,"Afternoon (12-16)",IF(C4298&lt;=20,"Evening (17-20)","Late (21-23)")))))</f>
        <v/>
      </c>
    </row>
    <row r="4299" customFormat="false" ht="15" hidden="false" customHeight="false" outlineLevel="0" collapsed="false">
      <c r="L4299" s="37" t="str">
        <f aca="false">IF(C4299="","",IF(C4299&lt;=5,"Night (00-05)",IF(C4299&lt;=11,"Morning (06-11)",IF(C4299&lt;=16,"Afternoon (12-16)",IF(C4299&lt;=20,"Evening (17-20)","Late (21-23)")))))</f>
        <v/>
      </c>
    </row>
    <row r="4300" customFormat="false" ht="15" hidden="false" customHeight="false" outlineLevel="0" collapsed="false">
      <c r="L4300" s="37" t="str">
        <f aca="false">IF(C4300="","",IF(C4300&lt;=5,"Night (00-05)",IF(C4300&lt;=11,"Morning (06-11)",IF(C4300&lt;=16,"Afternoon (12-16)",IF(C4300&lt;=20,"Evening (17-20)","Late (21-23)")))))</f>
        <v/>
      </c>
    </row>
    <row r="4301" customFormat="false" ht="15" hidden="false" customHeight="false" outlineLevel="0" collapsed="false">
      <c r="L4301" s="37" t="str">
        <f aca="false">IF(C4301="","",IF(C4301&lt;=5,"Night (00-05)",IF(C4301&lt;=11,"Morning (06-11)",IF(C4301&lt;=16,"Afternoon (12-16)",IF(C4301&lt;=20,"Evening (17-20)","Late (21-23)")))))</f>
        <v/>
      </c>
    </row>
    <row r="4302" customFormat="false" ht="15" hidden="false" customHeight="false" outlineLevel="0" collapsed="false">
      <c r="L4302" s="37" t="str">
        <f aca="false">IF(C4302="","",IF(C4302&lt;=5,"Night (00-05)",IF(C4302&lt;=11,"Morning (06-11)",IF(C4302&lt;=16,"Afternoon (12-16)",IF(C4302&lt;=20,"Evening (17-20)","Late (21-23)")))))</f>
        <v/>
      </c>
    </row>
    <row r="4303" customFormat="false" ht="15" hidden="false" customHeight="false" outlineLevel="0" collapsed="false">
      <c r="L4303" s="37" t="str">
        <f aca="false">IF(C4303="","",IF(C4303&lt;=5,"Night (00-05)",IF(C4303&lt;=11,"Morning (06-11)",IF(C4303&lt;=16,"Afternoon (12-16)",IF(C4303&lt;=20,"Evening (17-20)","Late (21-23)")))))</f>
        <v/>
      </c>
    </row>
    <row r="4304" customFormat="false" ht="15" hidden="false" customHeight="false" outlineLevel="0" collapsed="false">
      <c r="L4304" s="37" t="str">
        <f aca="false">IF(C4304="","",IF(C4304&lt;=5,"Night (00-05)",IF(C4304&lt;=11,"Morning (06-11)",IF(C4304&lt;=16,"Afternoon (12-16)",IF(C4304&lt;=20,"Evening (17-20)","Late (21-23)")))))</f>
        <v/>
      </c>
    </row>
    <row r="4305" customFormat="false" ht="15" hidden="false" customHeight="false" outlineLevel="0" collapsed="false">
      <c r="L4305" s="37" t="str">
        <f aca="false">IF(C4305="","",IF(C4305&lt;=5,"Night (00-05)",IF(C4305&lt;=11,"Morning (06-11)",IF(C4305&lt;=16,"Afternoon (12-16)",IF(C4305&lt;=20,"Evening (17-20)","Late (21-23)")))))</f>
        <v/>
      </c>
    </row>
    <row r="4306" customFormat="false" ht="15" hidden="false" customHeight="false" outlineLevel="0" collapsed="false">
      <c r="L4306" s="37" t="str">
        <f aca="false">IF(C4306="","",IF(C4306&lt;=5,"Night (00-05)",IF(C4306&lt;=11,"Morning (06-11)",IF(C4306&lt;=16,"Afternoon (12-16)",IF(C4306&lt;=20,"Evening (17-20)","Late (21-23)")))))</f>
        <v/>
      </c>
    </row>
    <row r="4307" customFormat="false" ht="15" hidden="false" customHeight="false" outlineLevel="0" collapsed="false">
      <c r="L4307" s="37" t="str">
        <f aca="false">IF(C4307="","",IF(C4307&lt;=5,"Night (00-05)",IF(C4307&lt;=11,"Morning (06-11)",IF(C4307&lt;=16,"Afternoon (12-16)",IF(C4307&lt;=20,"Evening (17-20)","Late (21-23)")))))</f>
        <v/>
      </c>
    </row>
    <row r="4308" customFormat="false" ht="15" hidden="false" customHeight="false" outlineLevel="0" collapsed="false">
      <c r="L4308" s="37" t="str">
        <f aca="false">IF(C4308="","",IF(C4308&lt;=5,"Night (00-05)",IF(C4308&lt;=11,"Morning (06-11)",IF(C4308&lt;=16,"Afternoon (12-16)",IF(C4308&lt;=20,"Evening (17-20)","Late (21-23)")))))</f>
        <v/>
      </c>
    </row>
    <row r="4309" customFormat="false" ht="15" hidden="false" customHeight="false" outlineLevel="0" collapsed="false">
      <c r="L4309" s="37" t="str">
        <f aca="false">IF(C4309="","",IF(C4309&lt;=5,"Night (00-05)",IF(C4309&lt;=11,"Morning (06-11)",IF(C4309&lt;=16,"Afternoon (12-16)",IF(C4309&lt;=20,"Evening (17-20)","Late (21-23)")))))</f>
        <v/>
      </c>
    </row>
    <row r="4310" customFormat="false" ht="15" hidden="false" customHeight="false" outlineLevel="0" collapsed="false">
      <c r="L4310" s="37" t="str">
        <f aca="false">IF(C4310="","",IF(C4310&lt;=5,"Night (00-05)",IF(C4310&lt;=11,"Morning (06-11)",IF(C4310&lt;=16,"Afternoon (12-16)",IF(C4310&lt;=20,"Evening (17-20)","Late (21-23)")))))</f>
        <v/>
      </c>
    </row>
    <row r="4311" customFormat="false" ht="15" hidden="false" customHeight="false" outlineLevel="0" collapsed="false">
      <c r="L4311" s="37" t="str">
        <f aca="false">IF(C4311="","",IF(C4311&lt;=5,"Night (00-05)",IF(C4311&lt;=11,"Morning (06-11)",IF(C4311&lt;=16,"Afternoon (12-16)",IF(C4311&lt;=20,"Evening (17-20)","Late (21-23)")))))</f>
        <v/>
      </c>
    </row>
    <row r="4312" customFormat="false" ht="15" hidden="false" customHeight="false" outlineLevel="0" collapsed="false">
      <c r="L4312" s="37" t="str">
        <f aca="false">IF(C4312="","",IF(C4312&lt;=5,"Night (00-05)",IF(C4312&lt;=11,"Morning (06-11)",IF(C4312&lt;=16,"Afternoon (12-16)",IF(C4312&lt;=20,"Evening (17-20)","Late (21-23)")))))</f>
        <v/>
      </c>
    </row>
    <row r="4313" customFormat="false" ht="15" hidden="false" customHeight="false" outlineLevel="0" collapsed="false">
      <c r="L4313" s="37" t="str">
        <f aca="false">IF(C4313="","",IF(C4313&lt;=5,"Night (00-05)",IF(C4313&lt;=11,"Morning (06-11)",IF(C4313&lt;=16,"Afternoon (12-16)",IF(C4313&lt;=20,"Evening (17-20)","Late (21-23)")))))</f>
        <v/>
      </c>
    </row>
    <row r="4314" customFormat="false" ht="15" hidden="false" customHeight="false" outlineLevel="0" collapsed="false">
      <c r="L4314" s="37" t="str">
        <f aca="false">IF(C4314="","",IF(C4314&lt;=5,"Night (00-05)",IF(C4314&lt;=11,"Morning (06-11)",IF(C4314&lt;=16,"Afternoon (12-16)",IF(C4314&lt;=20,"Evening (17-20)","Late (21-23)")))))</f>
        <v/>
      </c>
    </row>
    <row r="4315" customFormat="false" ht="15" hidden="false" customHeight="false" outlineLevel="0" collapsed="false">
      <c r="L4315" s="37" t="str">
        <f aca="false">IF(C4315="","",IF(C4315&lt;=5,"Night (00-05)",IF(C4315&lt;=11,"Morning (06-11)",IF(C4315&lt;=16,"Afternoon (12-16)",IF(C4315&lt;=20,"Evening (17-20)","Late (21-23)")))))</f>
        <v/>
      </c>
    </row>
    <row r="4316" customFormat="false" ht="15" hidden="false" customHeight="false" outlineLevel="0" collapsed="false">
      <c r="L4316" s="37" t="str">
        <f aca="false">IF(C4316="","",IF(C4316&lt;=5,"Night (00-05)",IF(C4316&lt;=11,"Morning (06-11)",IF(C4316&lt;=16,"Afternoon (12-16)",IF(C4316&lt;=20,"Evening (17-20)","Late (21-23)")))))</f>
        <v/>
      </c>
    </row>
    <row r="4317" customFormat="false" ht="15" hidden="false" customHeight="false" outlineLevel="0" collapsed="false">
      <c r="L4317" s="37" t="str">
        <f aca="false">IF(C4317="","",IF(C4317&lt;=5,"Night (00-05)",IF(C4317&lt;=11,"Morning (06-11)",IF(C4317&lt;=16,"Afternoon (12-16)",IF(C4317&lt;=20,"Evening (17-20)","Late (21-23)")))))</f>
        <v/>
      </c>
    </row>
    <row r="4318" customFormat="false" ht="15" hidden="false" customHeight="false" outlineLevel="0" collapsed="false">
      <c r="L4318" s="37" t="str">
        <f aca="false">IF(C4318="","",IF(C4318&lt;=5,"Night (00-05)",IF(C4318&lt;=11,"Morning (06-11)",IF(C4318&lt;=16,"Afternoon (12-16)",IF(C4318&lt;=20,"Evening (17-20)","Late (21-23)")))))</f>
        <v/>
      </c>
    </row>
    <row r="4319" customFormat="false" ht="15" hidden="false" customHeight="false" outlineLevel="0" collapsed="false">
      <c r="L4319" s="37" t="str">
        <f aca="false">IF(C4319="","",IF(C4319&lt;=5,"Night (00-05)",IF(C4319&lt;=11,"Morning (06-11)",IF(C4319&lt;=16,"Afternoon (12-16)",IF(C4319&lt;=20,"Evening (17-20)","Late (21-23)")))))</f>
        <v/>
      </c>
    </row>
    <row r="4320" customFormat="false" ht="15" hidden="false" customHeight="false" outlineLevel="0" collapsed="false">
      <c r="L4320" s="37" t="str">
        <f aca="false">IF(C4320="","",IF(C4320&lt;=5,"Night (00-05)",IF(C4320&lt;=11,"Morning (06-11)",IF(C4320&lt;=16,"Afternoon (12-16)",IF(C4320&lt;=20,"Evening (17-20)","Late (21-23)")))))</f>
        <v/>
      </c>
    </row>
    <row r="4321" customFormat="false" ht="15" hidden="false" customHeight="false" outlineLevel="0" collapsed="false">
      <c r="L4321" s="37" t="str">
        <f aca="false">IF(C4321="","",IF(C4321&lt;=5,"Night (00-05)",IF(C4321&lt;=11,"Morning (06-11)",IF(C4321&lt;=16,"Afternoon (12-16)",IF(C4321&lt;=20,"Evening (17-20)","Late (21-23)")))))</f>
        <v/>
      </c>
    </row>
    <row r="4322" customFormat="false" ht="15" hidden="false" customHeight="false" outlineLevel="0" collapsed="false">
      <c r="L4322" s="37" t="str">
        <f aca="false">IF(C4322="","",IF(C4322&lt;=5,"Night (00-05)",IF(C4322&lt;=11,"Morning (06-11)",IF(C4322&lt;=16,"Afternoon (12-16)",IF(C4322&lt;=20,"Evening (17-20)","Late (21-23)")))))</f>
        <v/>
      </c>
    </row>
    <row r="4323" customFormat="false" ht="15" hidden="false" customHeight="false" outlineLevel="0" collapsed="false">
      <c r="L4323" s="37" t="str">
        <f aca="false">IF(C4323="","",IF(C4323&lt;=5,"Night (00-05)",IF(C4323&lt;=11,"Morning (06-11)",IF(C4323&lt;=16,"Afternoon (12-16)",IF(C4323&lt;=20,"Evening (17-20)","Late (21-23)")))))</f>
        <v/>
      </c>
    </row>
    <row r="4324" customFormat="false" ht="15" hidden="false" customHeight="false" outlineLevel="0" collapsed="false">
      <c r="L4324" s="37" t="str">
        <f aca="false">IF(C4324="","",IF(C4324&lt;=5,"Night (00-05)",IF(C4324&lt;=11,"Morning (06-11)",IF(C4324&lt;=16,"Afternoon (12-16)",IF(C4324&lt;=20,"Evening (17-20)","Late (21-23)")))))</f>
        <v/>
      </c>
    </row>
    <row r="4325" customFormat="false" ht="15" hidden="false" customHeight="false" outlineLevel="0" collapsed="false">
      <c r="L4325" s="37" t="str">
        <f aca="false">IF(C4325="","",IF(C4325&lt;=5,"Night (00-05)",IF(C4325&lt;=11,"Morning (06-11)",IF(C4325&lt;=16,"Afternoon (12-16)",IF(C4325&lt;=20,"Evening (17-20)","Late (21-23)")))))</f>
        <v/>
      </c>
    </row>
    <row r="4326" customFormat="false" ht="15" hidden="false" customHeight="false" outlineLevel="0" collapsed="false">
      <c r="L4326" s="37" t="str">
        <f aca="false">IF(C4326="","",IF(C4326&lt;=5,"Night (00-05)",IF(C4326&lt;=11,"Morning (06-11)",IF(C4326&lt;=16,"Afternoon (12-16)",IF(C4326&lt;=20,"Evening (17-20)","Late (21-23)")))))</f>
        <v/>
      </c>
    </row>
    <row r="4327" customFormat="false" ht="15" hidden="false" customHeight="false" outlineLevel="0" collapsed="false">
      <c r="L4327" s="37" t="str">
        <f aca="false">IF(C4327="","",IF(C4327&lt;=5,"Night (00-05)",IF(C4327&lt;=11,"Morning (06-11)",IF(C4327&lt;=16,"Afternoon (12-16)",IF(C4327&lt;=20,"Evening (17-20)","Late (21-23)")))))</f>
        <v/>
      </c>
    </row>
    <row r="4328" customFormat="false" ht="15" hidden="false" customHeight="false" outlineLevel="0" collapsed="false">
      <c r="L4328" s="37" t="str">
        <f aca="false">IF(C4328="","",IF(C4328&lt;=5,"Night (00-05)",IF(C4328&lt;=11,"Morning (06-11)",IF(C4328&lt;=16,"Afternoon (12-16)",IF(C4328&lt;=20,"Evening (17-20)","Late (21-23)")))))</f>
        <v/>
      </c>
    </row>
    <row r="4329" customFormat="false" ht="15" hidden="false" customHeight="false" outlineLevel="0" collapsed="false">
      <c r="L4329" s="37" t="str">
        <f aca="false">IF(C4329="","",IF(C4329&lt;=5,"Night (00-05)",IF(C4329&lt;=11,"Morning (06-11)",IF(C4329&lt;=16,"Afternoon (12-16)",IF(C4329&lt;=20,"Evening (17-20)","Late (21-23)")))))</f>
        <v/>
      </c>
    </row>
    <row r="4330" customFormat="false" ht="15" hidden="false" customHeight="false" outlineLevel="0" collapsed="false">
      <c r="L4330" s="37" t="str">
        <f aca="false">IF(C4330="","",IF(C4330&lt;=5,"Night (00-05)",IF(C4330&lt;=11,"Morning (06-11)",IF(C4330&lt;=16,"Afternoon (12-16)",IF(C4330&lt;=20,"Evening (17-20)","Late (21-23)")))))</f>
        <v/>
      </c>
    </row>
    <row r="4331" customFormat="false" ht="15" hidden="false" customHeight="false" outlineLevel="0" collapsed="false">
      <c r="L4331" s="37" t="str">
        <f aca="false">IF(C4331="","",IF(C4331&lt;=5,"Night (00-05)",IF(C4331&lt;=11,"Morning (06-11)",IF(C4331&lt;=16,"Afternoon (12-16)",IF(C4331&lt;=20,"Evening (17-20)","Late (21-23)")))))</f>
        <v/>
      </c>
    </row>
    <row r="4332" customFormat="false" ht="15" hidden="false" customHeight="false" outlineLevel="0" collapsed="false">
      <c r="L4332" s="37" t="str">
        <f aca="false">IF(C4332="","",IF(C4332&lt;=5,"Night (00-05)",IF(C4332&lt;=11,"Morning (06-11)",IF(C4332&lt;=16,"Afternoon (12-16)",IF(C4332&lt;=20,"Evening (17-20)","Late (21-23)")))))</f>
        <v/>
      </c>
    </row>
    <row r="4333" customFormat="false" ht="15" hidden="false" customHeight="false" outlineLevel="0" collapsed="false">
      <c r="L4333" s="37" t="str">
        <f aca="false">IF(C4333="","",IF(C4333&lt;=5,"Night (00-05)",IF(C4333&lt;=11,"Morning (06-11)",IF(C4333&lt;=16,"Afternoon (12-16)",IF(C4333&lt;=20,"Evening (17-20)","Late (21-23)")))))</f>
        <v/>
      </c>
    </row>
    <row r="4334" customFormat="false" ht="15" hidden="false" customHeight="false" outlineLevel="0" collapsed="false">
      <c r="L4334" s="37" t="str">
        <f aca="false">IF(C4334="","",IF(C4334&lt;=5,"Night (00-05)",IF(C4334&lt;=11,"Morning (06-11)",IF(C4334&lt;=16,"Afternoon (12-16)",IF(C4334&lt;=20,"Evening (17-20)","Late (21-23)")))))</f>
        <v/>
      </c>
    </row>
    <row r="4335" customFormat="false" ht="15" hidden="false" customHeight="false" outlineLevel="0" collapsed="false">
      <c r="L4335" s="37" t="str">
        <f aca="false">IF(C4335="","",IF(C4335&lt;=5,"Night (00-05)",IF(C4335&lt;=11,"Morning (06-11)",IF(C4335&lt;=16,"Afternoon (12-16)",IF(C4335&lt;=20,"Evening (17-20)","Late (21-23)")))))</f>
        <v/>
      </c>
    </row>
    <row r="4336" customFormat="false" ht="15" hidden="false" customHeight="false" outlineLevel="0" collapsed="false">
      <c r="L4336" s="37" t="str">
        <f aca="false">IF(C4336="","",IF(C4336&lt;=5,"Night (00-05)",IF(C4336&lt;=11,"Morning (06-11)",IF(C4336&lt;=16,"Afternoon (12-16)",IF(C4336&lt;=20,"Evening (17-20)","Late (21-23)")))))</f>
        <v/>
      </c>
    </row>
    <row r="4337" customFormat="false" ht="15" hidden="false" customHeight="false" outlineLevel="0" collapsed="false">
      <c r="L4337" s="37" t="str">
        <f aca="false">IF(C4337="","",IF(C4337&lt;=5,"Night (00-05)",IF(C4337&lt;=11,"Morning (06-11)",IF(C4337&lt;=16,"Afternoon (12-16)",IF(C4337&lt;=20,"Evening (17-20)","Late (21-23)")))))</f>
        <v/>
      </c>
    </row>
    <row r="4338" customFormat="false" ht="15" hidden="false" customHeight="false" outlineLevel="0" collapsed="false">
      <c r="L4338" s="37" t="str">
        <f aca="false">IF(C4338="","",IF(C4338&lt;=5,"Night (00-05)",IF(C4338&lt;=11,"Morning (06-11)",IF(C4338&lt;=16,"Afternoon (12-16)",IF(C4338&lt;=20,"Evening (17-20)","Late (21-23)")))))</f>
        <v/>
      </c>
    </row>
    <row r="4339" customFormat="false" ht="15" hidden="false" customHeight="false" outlineLevel="0" collapsed="false">
      <c r="L4339" s="37" t="str">
        <f aca="false">IF(C4339="","",IF(C4339&lt;=5,"Night (00-05)",IF(C4339&lt;=11,"Morning (06-11)",IF(C4339&lt;=16,"Afternoon (12-16)",IF(C4339&lt;=20,"Evening (17-20)","Late (21-23)")))))</f>
        <v/>
      </c>
    </row>
    <row r="4340" customFormat="false" ht="15" hidden="false" customHeight="false" outlineLevel="0" collapsed="false">
      <c r="L4340" s="37" t="str">
        <f aca="false">IF(C4340="","",IF(C4340&lt;=5,"Night (00-05)",IF(C4340&lt;=11,"Morning (06-11)",IF(C4340&lt;=16,"Afternoon (12-16)",IF(C4340&lt;=20,"Evening (17-20)","Late (21-23)")))))</f>
        <v/>
      </c>
    </row>
    <row r="4341" customFormat="false" ht="15" hidden="false" customHeight="false" outlineLevel="0" collapsed="false">
      <c r="L4341" s="37" t="str">
        <f aca="false">IF(C4341="","",IF(C4341&lt;=5,"Night (00-05)",IF(C4341&lt;=11,"Morning (06-11)",IF(C4341&lt;=16,"Afternoon (12-16)",IF(C4341&lt;=20,"Evening (17-20)","Late (21-23)")))))</f>
        <v/>
      </c>
    </row>
    <row r="4342" customFormat="false" ht="15" hidden="false" customHeight="false" outlineLevel="0" collapsed="false">
      <c r="L4342" s="37" t="str">
        <f aca="false">IF(C4342="","",IF(C4342&lt;=5,"Night (00-05)",IF(C4342&lt;=11,"Morning (06-11)",IF(C4342&lt;=16,"Afternoon (12-16)",IF(C4342&lt;=20,"Evening (17-20)","Late (21-23)")))))</f>
        <v/>
      </c>
    </row>
    <row r="4343" customFormat="false" ht="15" hidden="false" customHeight="false" outlineLevel="0" collapsed="false">
      <c r="L4343" s="37" t="str">
        <f aca="false">IF(C4343="","",IF(C4343&lt;=5,"Night (00-05)",IF(C4343&lt;=11,"Morning (06-11)",IF(C4343&lt;=16,"Afternoon (12-16)",IF(C4343&lt;=20,"Evening (17-20)","Late (21-23)")))))</f>
        <v/>
      </c>
    </row>
    <row r="4344" customFormat="false" ht="15" hidden="false" customHeight="false" outlineLevel="0" collapsed="false">
      <c r="L4344" s="37" t="str">
        <f aca="false">IF(C4344="","",IF(C4344&lt;=5,"Night (00-05)",IF(C4344&lt;=11,"Morning (06-11)",IF(C4344&lt;=16,"Afternoon (12-16)",IF(C4344&lt;=20,"Evening (17-20)","Late (21-23)")))))</f>
        <v/>
      </c>
    </row>
    <row r="4345" customFormat="false" ht="15" hidden="false" customHeight="false" outlineLevel="0" collapsed="false">
      <c r="L4345" s="37" t="str">
        <f aca="false">IF(C4345="","",IF(C4345&lt;=5,"Night (00-05)",IF(C4345&lt;=11,"Morning (06-11)",IF(C4345&lt;=16,"Afternoon (12-16)",IF(C4345&lt;=20,"Evening (17-20)","Late (21-23)")))))</f>
        <v/>
      </c>
    </row>
    <row r="4346" customFormat="false" ht="15" hidden="false" customHeight="false" outlineLevel="0" collapsed="false">
      <c r="L4346" s="37" t="str">
        <f aca="false">IF(C4346="","",IF(C4346&lt;=5,"Night (00-05)",IF(C4346&lt;=11,"Morning (06-11)",IF(C4346&lt;=16,"Afternoon (12-16)",IF(C4346&lt;=20,"Evening (17-20)","Late (21-23)")))))</f>
        <v/>
      </c>
    </row>
    <row r="4347" customFormat="false" ht="15" hidden="false" customHeight="false" outlineLevel="0" collapsed="false">
      <c r="L4347" s="37" t="str">
        <f aca="false">IF(C4347="","",IF(C4347&lt;=5,"Night (00-05)",IF(C4347&lt;=11,"Morning (06-11)",IF(C4347&lt;=16,"Afternoon (12-16)",IF(C4347&lt;=20,"Evening (17-20)","Late (21-23)")))))</f>
        <v/>
      </c>
    </row>
    <row r="4348" customFormat="false" ht="15" hidden="false" customHeight="false" outlineLevel="0" collapsed="false">
      <c r="L4348" s="37" t="str">
        <f aca="false">IF(C4348="","",IF(C4348&lt;=5,"Night (00-05)",IF(C4348&lt;=11,"Morning (06-11)",IF(C4348&lt;=16,"Afternoon (12-16)",IF(C4348&lt;=20,"Evening (17-20)","Late (21-23)")))))</f>
        <v/>
      </c>
    </row>
    <row r="4349" customFormat="false" ht="15" hidden="false" customHeight="false" outlineLevel="0" collapsed="false">
      <c r="L4349" s="37" t="str">
        <f aca="false">IF(C4349="","",IF(C4349&lt;=5,"Night (00-05)",IF(C4349&lt;=11,"Morning (06-11)",IF(C4349&lt;=16,"Afternoon (12-16)",IF(C4349&lt;=20,"Evening (17-20)","Late (21-23)")))))</f>
        <v/>
      </c>
    </row>
    <row r="4350" customFormat="false" ht="15" hidden="false" customHeight="false" outlineLevel="0" collapsed="false">
      <c r="L4350" s="37" t="str">
        <f aca="false">IF(C4350="","",IF(C4350&lt;=5,"Night (00-05)",IF(C4350&lt;=11,"Morning (06-11)",IF(C4350&lt;=16,"Afternoon (12-16)",IF(C4350&lt;=20,"Evening (17-20)","Late (21-23)")))))</f>
        <v/>
      </c>
    </row>
    <row r="4351" customFormat="false" ht="15" hidden="false" customHeight="false" outlineLevel="0" collapsed="false">
      <c r="L4351" s="37" t="str">
        <f aca="false">IF(C4351="","",IF(C4351&lt;=5,"Night (00-05)",IF(C4351&lt;=11,"Morning (06-11)",IF(C4351&lt;=16,"Afternoon (12-16)",IF(C4351&lt;=20,"Evening (17-20)","Late (21-23)")))))</f>
        <v/>
      </c>
    </row>
    <row r="4352" customFormat="false" ht="15" hidden="false" customHeight="false" outlineLevel="0" collapsed="false">
      <c r="L4352" s="37" t="str">
        <f aca="false">IF(C4352="","",IF(C4352&lt;=5,"Night (00-05)",IF(C4352&lt;=11,"Morning (06-11)",IF(C4352&lt;=16,"Afternoon (12-16)",IF(C4352&lt;=20,"Evening (17-20)","Late (21-23)")))))</f>
        <v/>
      </c>
    </row>
    <row r="4353" customFormat="false" ht="15" hidden="false" customHeight="false" outlineLevel="0" collapsed="false">
      <c r="L4353" s="37" t="str">
        <f aca="false">IF(C4353="","",IF(C4353&lt;=5,"Night (00-05)",IF(C4353&lt;=11,"Morning (06-11)",IF(C4353&lt;=16,"Afternoon (12-16)",IF(C4353&lt;=20,"Evening (17-20)","Late (21-23)")))))</f>
        <v/>
      </c>
    </row>
    <row r="4354" customFormat="false" ht="15" hidden="false" customHeight="false" outlineLevel="0" collapsed="false">
      <c r="L4354" s="37" t="str">
        <f aca="false">IF(C4354="","",IF(C4354&lt;=5,"Night (00-05)",IF(C4354&lt;=11,"Morning (06-11)",IF(C4354&lt;=16,"Afternoon (12-16)",IF(C4354&lt;=20,"Evening (17-20)","Late (21-23)")))))</f>
        <v/>
      </c>
    </row>
    <row r="4355" customFormat="false" ht="15" hidden="false" customHeight="false" outlineLevel="0" collapsed="false">
      <c r="L4355" s="37" t="str">
        <f aca="false">IF(C4355="","",IF(C4355&lt;=5,"Night (00-05)",IF(C4355&lt;=11,"Morning (06-11)",IF(C4355&lt;=16,"Afternoon (12-16)",IF(C4355&lt;=20,"Evening (17-20)","Late (21-23)")))))</f>
        <v/>
      </c>
    </row>
    <row r="4356" customFormat="false" ht="15" hidden="false" customHeight="false" outlineLevel="0" collapsed="false">
      <c r="L4356" s="37" t="str">
        <f aca="false">IF(C4356="","",IF(C4356&lt;=5,"Night (00-05)",IF(C4356&lt;=11,"Morning (06-11)",IF(C4356&lt;=16,"Afternoon (12-16)",IF(C4356&lt;=20,"Evening (17-20)","Late (21-23)")))))</f>
        <v/>
      </c>
    </row>
    <row r="4357" customFormat="false" ht="15" hidden="false" customHeight="false" outlineLevel="0" collapsed="false">
      <c r="L4357" s="37" t="str">
        <f aca="false">IF(C4357="","",IF(C4357&lt;=5,"Night (00-05)",IF(C4357&lt;=11,"Morning (06-11)",IF(C4357&lt;=16,"Afternoon (12-16)",IF(C4357&lt;=20,"Evening (17-20)","Late (21-23)")))))</f>
        <v/>
      </c>
    </row>
    <row r="4358" customFormat="false" ht="15" hidden="false" customHeight="false" outlineLevel="0" collapsed="false">
      <c r="L4358" s="37" t="str">
        <f aca="false">IF(C4358="","",IF(C4358&lt;=5,"Night (00-05)",IF(C4358&lt;=11,"Morning (06-11)",IF(C4358&lt;=16,"Afternoon (12-16)",IF(C4358&lt;=20,"Evening (17-20)","Late (21-23)")))))</f>
        <v/>
      </c>
    </row>
    <row r="4359" customFormat="false" ht="15" hidden="false" customHeight="false" outlineLevel="0" collapsed="false">
      <c r="L4359" s="37" t="str">
        <f aca="false">IF(C4359="","",IF(C4359&lt;=5,"Night (00-05)",IF(C4359&lt;=11,"Morning (06-11)",IF(C4359&lt;=16,"Afternoon (12-16)",IF(C4359&lt;=20,"Evening (17-20)","Late (21-23)")))))</f>
        <v/>
      </c>
    </row>
    <row r="4360" customFormat="false" ht="15" hidden="false" customHeight="false" outlineLevel="0" collapsed="false">
      <c r="L4360" s="37" t="str">
        <f aca="false">IF(C4360="","",IF(C4360&lt;=5,"Night (00-05)",IF(C4360&lt;=11,"Morning (06-11)",IF(C4360&lt;=16,"Afternoon (12-16)",IF(C4360&lt;=20,"Evening (17-20)","Late (21-23)")))))</f>
        <v/>
      </c>
    </row>
    <row r="4361" customFormat="false" ht="15" hidden="false" customHeight="false" outlineLevel="0" collapsed="false">
      <c r="L4361" s="37" t="str">
        <f aca="false">IF(C4361="","",IF(C4361&lt;=5,"Night (00-05)",IF(C4361&lt;=11,"Morning (06-11)",IF(C4361&lt;=16,"Afternoon (12-16)",IF(C4361&lt;=20,"Evening (17-20)","Late (21-23)")))))</f>
        <v/>
      </c>
    </row>
    <row r="4362" customFormat="false" ht="15" hidden="false" customHeight="false" outlineLevel="0" collapsed="false">
      <c r="L4362" s="37" t="str">
        <f aca="false">IF(C4362="","",IF(C4362&lt;=5,"Night (00-05)",IF(C4362&lt;=11,"Morning (06-11)",IF(C4362&lt;=16,"Afternoon (12-16)",IF(C4362&lt;=20,"Evening (17-20)","Late (21-23)")))))</f>
        <v/>
      </c>
    </row>
    <row r="4363" customFormat="false" ht="15" hidden="false" customHeight="false" outlineLevel="0" collapsed="false">
      <c r="L4363" s="37" t="str">
        <f aca="false">IF(C4363="","",IF(C4363&lt;=5,"Night (00-05)",IF(C4363&lt;=11,"Morning (06-11)",IF(C4363&lt;=16,"Afternoon (12-16)",IF(C4363&lt;=20,"Evening (17-20)","Late (21-23)")))))</f>
        <v/>
      </c>
    </row>
    <row r="4364" customFormat="false" ht="15" hidden="false" customHeight="false" outlineLevel="0" collapsed="false">
      <c r="L4364" s="37" t="str">
        <f aca="false">IF(C4364="","",IF(C4364&lt;=5,"Night (00-05)",IF(C4364&lt;=11,"Morning (06-11)",IF(C4364&lt;=16,"Afternoon (12-16)",IF(C4364&lt;=20,"Evening (17-20)","Late (21-23)")))))</f>
        <v/>
      </c>
    </row>
    <row r="4365" customFormat="false" ht="15" hidden="false" customHeight="false" outlineLevel="0" collapsed="false">
      <c r="L4365" s="37" t="str">
        <f aca="false">IF(C4365="","",IF(C4365&lt;=5,"Night (00-05)",IF(C4365&lt;=11,"Morning (06-11)",IF(C4365&lt;=16,"Afternoon (12-16)",IF(C4365&lt;=20,"Evening (17-20)","Late (21-23)")))))</f>
        <v/>
      </c>
    </row>
    <row r="4366" customFormat="false" ht="15" hidden="false" customHeight="false" outlineLevel="0" collapsed="false">
      <c r="L4366" s="37" t="str">
        <f aca="false">IF(C4366="","",IF(C4366&lt;=5,"Night (00-05)",IF(C4366&lt;=11,"Morning (06-11)",IF(C4366&lt;=16,"Afternoon (12-16)",IF(C4366&lt;=20,"Evening (17-20)","Late (21-23)")))))</f>
        <v/>
      </c>
    </row>
    <row r="4367" customFormat="false" ht="15" hidden="false" customHeight="false" outlineLevel="0" collapsed="false">
      <c r="L4367" s="37" t="str">
        <f aca="false">IF(C4367="","",IF(C4367&lt;=5,"Night (00-05)",IF(C4367&lt;=11,"Morning (06-11)",IF(C4367&lt;=16,"Afternoon (12-16)",IF(C4367&lt;=20,"Evening (17-20)","Late (21-23)")))))</f>
        <v/>
      </c>
    </row>
    <row r="4368" customFormat="false" ht="15" hidden="false" customHeight="false" outlineLevel="0" collapsed="false">
      <c r="L4368" s="37" t="str">
        <f aca="false">IF(C4368="","",IF(C4368&lt;=5,"Night (00-05)",IF(C4368&lt;=11,"Morning (06-11)",IF(C4368&lt;=16,"Afternoon (12-16)",IF(C4368&lt;=20,"Evening (17-20)","Late (21-23)")))))</f>
        <v/>
      </c>
    </row>
    <row r="4369" customFormat="false" ht="15" hidden="false" customHeight="false" outlineLevel="0" collapsed="false">
      <c r="L4369" s="37" t="str">
        <f aca="false">IF(C4369="","",IF(C4369&lt;=5,"Night (00-05)",IF(C4369&lt;=11,"Morning (06-11)",IF(C4369&lt;=16,"Afternoon (12-16)",IF(C4369&lt;=20,"Evening (17-20)","Late (21-23)")))))</f>
        <v/>
      </c>
    </row>
    <row r="4370" customFormat="false" ht="15" hidden="false" customHeight="false" outlineLevel="0" collapsed="false">
      <c r="L4370" s="37" t="str">
        <f aca="false">IF(C4370="","",IF(C4370&lt;=5,"Night (00-05)",IF(C4370&lt;=11,"Morning (06-11)",IF(C4370&lt;=16,"Afternoon (12-16)",IF(C4370&lt;=20,"Evening (17-20)","Late (21-23)")))))</f>
        <v/>
      </c>
    </row>
    <row r="4371" customFormat="false" ht="15" hidden="false" customHeight="false" outlineLevel="0" collapsed="false">
      <c r="L4371" s="37" t="str">
        <f aca="false">IF(C4371="","",IF(C4371&lt;=5,"Night (00-05)",IF(C4371&lt;=11,"Morning (06-11)",IF(C4371&lt;=16,"Afternoon (12-16)",IF(C4371&lt;=20,"Evening (17-20)","Late (21-23)")))))</f>
        <v/>
      </c>
    </row>
    <row r="4372" customFormat="false" ht="15" hidden="false" customHeight="false" outlineLevel="0" collapsed="false">
      <c r="L4372" s="37" t="str">
        <f aca="false">IF(C4372="","",IF(C4372&lt;=5,"Night (00-05)",IF(C4372&lt;=11,"Morning (06-11)",IF(C4372&lt;=16,"Afternoon (12-16)",IF(C4372&lt;=20,"Evening (17-20)","Late (21-23)")))))</f>
        <v/>
      </c>
    </row>
    <row r="4373" customFormat="false" ht="15" hidden="false" customHeight="false" outlineLevel="0" collapsed="false">
      <c r="L4373" s="37" t="str">
        <f aca="false">IF(C4373="","",IF(C4373&lt;=5,"Night (00-05)",IF(C4373&lt;=11,"Morning (06-11)",IF(C4373&lt;=16,"Afternoon (12-16)",IF(C4373&lt;=20,"Evening (17-20)","Late (21-23)")))))</f>
        <v/>
      </c>
    </row>
    <row r="4374" customFormat="false" ht="15" hidden="false" customHeight="false" outlineLevel="0" collapsed="false">
      <c r="L4374" s="37" t="str">
        <f aca="false">IF(C4374="","",IF(C4374&lt;=5,"Night (00-05)",IF(C4374&lt;=11,"Morning (06-11)",IF(C4374&lt;=16,"Afternoon (12-16)",IF(C4374&lt;=20,"Evening (17-20)","Late (21-23)")))))</f>
        <v/>
      </c>
    </row>
    <row r="4375" customFormat="false" ht="15" hidden="false" customHeight="false" outlineLevel="0" collapsed="false">
      <c r="L4375" s="37" t="str">
        <f aca="false">IF(C4375="","",IF(C4375&lt;=5,"Night (00-05)",IF(C4375&lt;=11,"Morning (06-11)",IF(C4375&lt;=16,"Afternoon (12-16)",IF(C4375&lt;=20,"Evening (17-20)","Late (21-23)")))))</f>
        <v/>
      </c>
    </row>
    <row r="4376" customFormat="false" ht="15" hidden="false" customHeight="false" outlineLevel="0" collapsed="false">
      <c r="L4376" s="37" t="str">
        <f aca="false">IF(C4376="","",IF(C4376&lt;=5,"Night (00-05)",IF(C4376&lt;=11,"Morning (06-11)",IF(C4376&lt;=16,"Afternoon (12-16)",IF(C4376&lt;=20,"Evening (17-20)","Late (21-23)")))))</f>
        <v/>
      </c>
    </row>
    <row r="4377" customFormat="false" ht="15" hidden="false" customHeight="false" outlineLevel="0" collapsed="false">
      <c r="L4377" s="37" t="str">
        <f aca="false">IF(C4377="","",IF(C4377&lt;=5,"Night (00-05)",IF(C4377&lt;=11,"Morning (06-11)",IF(C4377&lt;=16,"Afternoon (12-16)",IF(C4377&lt;=20,"Evening (17-20)","Late (21-23)")))))</f>
        <v/>
      </c>
    </row>
    <row r="4378" customFormat="false" ht="15" hidden="false" customHeight="false" outlineLevel="0" collapsed="false">
      <c r="L4378" s="37" t="str">
        <f aca="false">IF(C4378="","",IF(C4378&lt;=5,"Night (00-05)",IF(C4378&lt;=11,"Morning (06-11)",IF(C4378&lt;=16,"Afternoon (12-16)",IF(C4378&lt;=20,"Evening (17-20)","Late (21-23)")))))</f>
        <v/>
      </c>
    </row>
    <row r="4379" customFormat="false" ht="15" hidden="false" customHeight="false" outlineLevel="0" collapsed="false">
      <c r="L4379" s="37" t="str">
        <f aca="false">IF(C4379="","",IF(C4379&lt;=5,"Night (00-05)",IF(C4379&lt;=11,"Morning (06-11)",IF(C4379&lt;=16,"Afternoon (12-16)",IF(C4379&lt;=20,"Evening (17-20)","Late (21-23)")))))</f>
        <v/>
      </c>
    </row>
    <row r="4380" customFormat="false" ht="15" hidden="false" customHeight="false" outlineLevel="0" collapsed="false">
      <c r="L4380" s="37" t="str">
        <f aca="false">IF(C4380="","",IF(C4380&lt;=5,"Night (00-05)",IF(C4380&lt;=11,"Morning (06-11)",IF(C4380&lt;=16,"Afternoon (12-16)",IF(C4380&lt;=20,"Evening (17-20)","Late (21-23)")))))</f>
        <v/>
      </c>
    </row>
    <row r="4381" customFormat="false" ht="15" hidden="false" customHeight="false" outlineLevel="0" collapsed="false">
      <c r="L4381" s="37" t="str">
        <f aca="false">IF(C4381="","",IF(C4381&lt;=5,"Night (00-05)",IF(C4381&lt;=11,"Morning (06-11)",IF(C4381&lt;=16,"Afternoon (12-16)",IF(C4381&lt;=20,"Evening (17-20)","Late (21-23)")))))</f>
        <v/>
      </c>
    </row>
    <row r="4382" customFormat="false" ht="15" hidden="false" customHeight="false" outlineLevel="0" collapsed="false">
      <c r="L4382" s="37" t="str">
        <f aca="false">IF(C4382="","",IF(C4382&lt;=5,"Night (00-05)",IF(C4382&lt;=11,"Morning (06-11)",IF(C4382&lt;=16,"Afternoon (12-16)",IF(C4382&lt;=20,"Evening (17-20)","Late (21-23)")))))</f>
        <v/>
      </c>
    </row>
    <row r="4383" customFormat="false" ht="15" hidden="false" customHeight="false" outlineLevel="0" collapsed="false">
      <c r="L4383" s="37" t="str">
        <f aca="false">IF(C4383="","",IF(C4383&lt;=5,"Night (00-05)",IF(C4383&lt;=11,"Morning (06-11)",IF(C4383&lt;=16,"Afternoon (12-16)",IF(C4383&lt;=20,"Evening (17-20)","Late (21-23)")))))</f>
        <v/>
      </c>
    </row>
    <row r="4384" customFormat="false" ht="15" hidden="false" customHeight="false" outlineLevel="0" collapsed="false">
      <c r="L4384" s="37" t="str">
        <f aca="false">IF(C4384="","",IF(C4384&lt;=5,"Night (00-05)",IF(C4384&lt;=11,"Morning (06-11)",IF(C4384&lt;=16,"Afternoon (12-16)",IF(C4384&lt;=20,"Evening (17-20)","Late (21-23)")))))</f>
        <v/>
      </c>
    </row>
    <row r="4385" customFormat="false" ht="15" hidden="false" customHeight="false" outlineLevel="0" collapsed="false">
      <c r="L4385" s="37" t="str">
        <f aca="false">IF(C4385="","",IF(C4385&lt;=5,"Night (00-05)",IF(C4385&lt;=11,"Morning (06-11)",IF(C4385&lt;=16,"Afternoon (12-16)",IF(C4385&lt;=20,"Evening (17-20)","Late (21-23)")))))</f>
        <v/>
      </c>
    </row>
    <row r="4386" customFormat="false" ht="15" hidden="false" customHeight="false" outlineLevel="0" collapsed="false">
      <c r="L4386" s="37" t="str">
        <f aca="false">IF(C4386="","",IF(C4386&lt;=5,"Night (00-05)",IF(C4386&lt;=11,"Morning (06-11)",IF(C4386&lt;=16,"Afternoon (12-16)",IF(C4386&lt;=20,"Evening (17-20)","Late (21-23)")))))</f>
        <v/>
      </c>
    </row>
    <row r="4387" customFormat="false" ht="15" hidden="false" customHeight="false" outlineLevel="0" collapsed="false">
      <c r="L4387" s="37" t="str">
        <f aca="false">IF(C4387="","",IF(C4387&lt;=5,"Night (00-05)",IF(C4387&lt;=11,"Morning (06-11)",IF(C4387&lt;=16,"Afternoon (12-16)",IF(C4387&lt;=20,"Evening (17-20)","Late (21-23)")))))</f>
        <v/>
      </c>
    </row>
    <row r="4388" customFormat="false" ht="15" hidden="false" customHeight="false" outlineLevel="0" collapsed="false">
      <c r="L4388" s="37" t="str">
        <f aca="false">IF(C4388="","",IF(C4388&lt;=5,"Night (00-05)",IF(C4388&lt;=11,"Morning (06-11)",IF(C4388&lt;=16,"Afternoon (12-16)",IF(C4388&lt;=20,"Evening (17-20)","Late (21-23)")))))</f>
        <v/>
      </c>
    </row>
    <row r="4389" customFormat="false" ht="15" hidden="false" customHeight="false" outlineLevel="0" collapsed="false">
      <c r="L4389" s="37" t="str">
        <f aca="false">IF(C4389="","",IF(C4389&lt;=5,"Night (00-05)",IF(C4389&lt;=11,"Morning (06-11)",IF(C4389&lt;=16,"Afternoon (12-16)",IF(C4389&lt;=20,"Evening (17-20)","Late (21-23)")))))</f>
        <v/>
      </c>
    </row>
    <row r="4390" customFormat="false" ht="15" hidden="false" customHeight="false" outlineLevel="0" collapsed="false">
      <c r="L4390" s="37" t="str">
        <f aca="false">IF(C4390="","",IF(C4390&lt;=5,"Night (00-05)",IF(C4390&lt;=11,"Morning (06-11)",IF(C4390&lt;=16,"Afternoon (12-16)",IF(C4390&lt;=20,"Evening (17-20)","Late (21-23)")))))</f>
        <v/>
      </c>
    </row>
    <row r="4391" customFormat="false" ht="15" hidden="false" customHeight="false" outlineLevel="0" collapsed="false">
      <c r="L4391" s="37" t="str">
        <f aca="false">IF(C4391="","",IF(C4391&lt;=5,"Night (00-05)",IF(C4391&lt;=11,"Morning (06-11)",IF(C4391&lt;=16,"Afternoon (12-16)",IF(C4391&lt;=20,"Evening (17-20)","Late (21-23)")))))</f>
        <v/>
      </c>
    </row>
    <row r="4392" customFormat="false" ht="15" hidden="false" customHeight="false" outlineLevel="0" collapsed="false">
      <c r="L4392" s="37" t="str">
        <f aca="false">IF(C4392="","",IF(C4392&lt;=5,"Night (00-05)",IF(C4392&lt;=11,"Morning (06-11)",IF(C4392&lt;=16,"Afternoon (12-16)",IF(C4392&lt;=20,"Evening (17-20)","Late (21-23)")))))</f>
        <v/>
      </c>
    </row>
    <row r="4393" customFormat="false" ht="15" hidden="false" customHeight="false" outlineLevel="0" collapsed="false">
      <c r="L4393" s="37" t="str">
        <f aca="false">IF(C4393="","",IF(C4393&lt;=5,"Night (00-05)",IF(C4393&lt;=11,"Morning (06-11)",IF(C4393&lt;=16,"Afternoon (12-16)",IF(C4393&lt;=20,"Evening (17-20)","Late (21-23)")))))</f>
        <v/>
      </c>
    </row>
    <row r="4394" customFormat="false" ht="15" hidden="false" customHeight="false" outlineLevel="0" collapsed="false">
      <c r="L4394" s="37" t="str">
        <f aca="false">IF(C4394="","",IF(C4394&lt;=5,"Night (00-05)",IF(C4394&lt;=11,"Morning (06-11)",IF(C4394&lt;=16,"Afternoon (12-16)",IF(C4394&lt;=20,"Evening (17-20)","Late (21-23)")))))</f>
        <v/>
      </c>
    </row>
    <row r="4395" customFormat="false" ht="15" hidden="false" customHeight="false" outlineLevel="0" collapsed="false">
      <c r="L4395" s="37" t="str">
        <f aca="false">IF(C4395="","",IF(C4395&lt;=5,"Night (00-05)",IF(C4395&lt;=11,"Morning (06-11)",IF(C4395&lt;=16,"Afternoon (12-16)",IF(C4395&lt;=20,"Evening (17-20)","Late (21-23)")))))</f>
        <v/>
      </c>
    </row>
    <row r="4396" customFormat="false" ht="15" hidden="false" customHeight="false" outlineLevel="0" collapsed="false">
      <c r="L4396" s="37" t="str">
        <f aca="false">IF(C4396="","",IF(C4396&lt;=5,"Night (00-05)",IF(C4396&lt;=11,"Morning (06-11)",IF(C4396&lt;=16,"Afternoon (12-16)",IF(C4396&lt;=20,"Evening (17-20)","Late (21-23)")))))</f>
        <v/>
      </c>
    </row>
    <row r="4397" customFormat="false" ht="15" hidden="false" customHeight="false" outlineLevel="0" collapsed="false">
      <c r="L4397" s="37" t="str">
        <f aca="false">IF(C4397="","",IF(C4397&lt;=5,"Night (00-05)",IF(C4397&lt;=11,"Morning (06-11)",IF(C4397&lt;=16,"Afternoon (12-16)",IF(C4397&lt;=20,"Evening (17-20)","Late (21-23)")))))</f>
        <v/>
      </c>
    </row>
    <row r="4398" customFormat="false" ht="15" hidden="false" customHeight="false" outlineLevel="0" collapsed="false">
      <c r="L4398" s="37" t="str">
        <f aca="false">IF(C4398="","",IF(C4398&lt;=5,"Night (00-05)",IF(C4398&lt;=11,"Morning (06-11)",IF(C4398&lt;=16,"Afternoon (12-16)",IF(C4398&lt;=20,"Evening (17-20)","Late (21-23)")))))</f>
        <v/>
      </c>
    </row>
    <row r="4399" customFormat="false" ht="15" hidden="false" customHeight="false" outlineLevel="0" collapsed="false">
      <c r="L4399" s="37" t="str">
        <f aca="false">IF(C4399="","",IF(C4399&lt;=5,"Night (00-05)",IF(C4399&lt;=11,"Morning (06-11)",IF(C4399&lt;=16,"Afternoon (12-16)",IF(C4399&lt;=20,"Evening (17-20)","Late (21-23)")))))</f>
        <v/>
      </c>
    </row>
    <row r="4400" customFormat="false" ht="15" hidden="false" customHeight="false" outlineLevel="0" collapsed="false">
      <c r="L4400" s="37" t="str">
        <f aca="false">IF(C4400="","",IF(C4400&lt;=5,"Night (00-05)",IF(C4400&lt;=11,"Morning (06-11)",IF(C4400&lt;=16,"Afternoon (12-16)",IF(C4400&lt;=20,"Evening (17-20)","Late (21-23)")))))</f>
        <v/>
      </c>
    </row>
    <row r="4401" customFormat="false" ht="15" hidden="false" customHeight="false" outlineLevel="0" collapsed="false">
      <c r="L4401" s="37" t="str">
        <f aca="false">IF(C4401="","",IF(C4401&lt;=5,"Night (00-05)",IF(C4401&lt;=11,"Morning (06-11)",IF(C4401&lt;=16,"Afternoon (12-16)",IF(C4401&lt;=20,"Evening (17-20)","Late (21-23)")))))</f>
        <v/>
      </c>
    </row>
    <row r="4402" customFormat="false" ht="15" hidden="false" customHeight="false" outlineLevel="0" collapsed="false">
      <c r="L4402" s="37" t="str">
        <f aca="false">IF(C4402="","",IF(C4402&lt;=5,"Night (00-05)",IF(C4402&lt;=11,"Morning (06-11)",IF(C4402&lt;=16,"Afternoon (12-16)",IF(C4402&lt;=20,"Evening (17-20)","Late (21-23)")))))</f>
        <v/>
      </c>
    </row>
    <row r="4403" customFormat="false" ht="15" hidden="false" customHeight="false" outlineLevel="0" collapsed="false">
      <c r="L4403" s="37" t="str">
        <f aca="false">IF(C4403="","",IF(C4403&lt;=5,"Night (00-05)",IF(C4403&lt;=11,"Morning (06-11)",IF(C4403&lt;=16,"Afternoon (12-16)",IF(C4403&lt;=20,"Evening (17-20)","Late (21-23)")))))</f>
        <v/>
      </c>
    </row>
    <row r="4404" customFormat="false" ht="15" hidden="false" customHeight="false" outlineLevel="0" collapsed="false">
      <c r="L4404" s="37" t="str">
        <f aca="false">IF(C4404="","",IF(C4404&lt;=5,"Night (00-05)",IF(C4404&lt;=11,"Morning (06-11)",IF(C4404&lt;=16,"Afternoon (12-16)",IF(C4404&lt;=20,"Evening (17-20)","Late (21-23)")))))</f>
        <v/>
      </c>
    </row>
    <row r="4405" customFormat="false" ht="15" hidden="false" customHeight="false" outlineLevel="0" collapsed="false">
      <c r="L4405" s="37" t="str">
        <f aca="false">IF(C4405="","",IF(C4405&lt;=5,"Night (00-05)",IF(C4405&lt;=11,"Morning (06-11)",IF(C4405&lt;=16,"Afternoon (12-16)",IF(C4405&lt;=20,"Evening (17-20)","Late (21-23)")))))</f>
        <v/>
      </c>
    </row>
    <row r="4406" customFormat="false" ht="15" hidden="false" customHeight="false" outlineLevel="0" collapsed="false">
      <c r="L4406" s="37" t="str">
        <f aca="false">IF(C4406="","",IF(C4406&lt;=5,"Night (00-05)",IF(C4406&lt;=11,"Morning (06-11)",IF(C4406&lt;=16,"Afternoon (12-16)",IF(C4406&lt;=20,"Evening (17-20)","Late (21-23)")))))</f>
        <v/>
      </c>
    </row>
    <row r="4407" customFormat="false" ht="15" hidden="false" customHeight="false" outlineLevel="0" collapsed="false">
      <c r="L4407" s="37" t="str">
        <f aca="false">IF(C4407="","",IF(C4407&lt;=5,"Night (00-05)",IF(C4407&lt;=11,"Morning (06-11)",IF(C4407&lt;=16,"Afternoon (12-16)",IF(C4407&lt;=20,"Evening (17-20)","Late (21-23)")))))</f>
        <v/>
      </c>
    </row>
    <row r="4408" customFormat="false" ht="15" hidden="false" customHeight="false" outlineLevel="0" collapsed="false">
      <c r="L4408" s="37" t="str">
        <f aca="false">IF(C4408="","",IF(C4408&lt;=5,"Night (00-05)",IF(C4408&lt;=11,"Morning (06-11)",IF(C4408&lt;=16,"Afternoon (12-16)",IF(C4408&lt;=20,"Evening (17-20)","Late (21-23)")))))</f>
        <v/>
      </c>
    </row>
    <row r="4409" customFormat="false" ht="15" hidden="false" customHeight="false" outlineLevel="0" collapsed="false">
      <c r="L4409" s="37" t="str">
        <f aca="false">IF(C4409="","",IF(C4409&lt;=5,"Night (00-05)",IF(C4409&lt;=11,"Morning (06-11)",IF(C4409&lt;=16,"Afternoon (12-16)",IF(C4409&lt;=20,"Evening (17-20)","Late (21-23)")))))</f>
        <v/>
      </c>
    </row>
    <row r="4410" customFormat="false" ht="15" hidden="false" customHeight="false" outlineLevel="0" collapsed="false">
      <c r="L4410" s="37" t="str">
        <f aca="false">IF(C4410="","",IF(C4410&lt;=5,"Night (00-05)",IF(C4410&lt;=11,"Morning (06-11)",IF(C4410&lt;=16,"Afternoon (12-16)",IF(C4410&lt;=20,"Evening (17-20)","Late (21-23)")))))</f>
        <v/>
      </c>
    </row>
    <row r="4411" customFormat="false" ht="15" hidden="false" customHeight="false" outlineLevel="0" collapsed="false">
      <c r="L4411" s="37" t="str">
        <f aca="false">IF(C4411="","",IF(C4411&lt;=5,"Night (00-05)",IF(C4411&lt;=11,"Morning (06-11)",IF(C4411&lt;=16,"Afternoon (12-16)",IF(C4411&lt;=20,"Evening (17-20)","Late (21-23)")))))</f>
        <v/>
      </c>
    </row>
    <row r="4412" customFormat="false" ht="15" hidden="false" customHeight="false" outlineLevel="0" collapsed="false">
      <c r="L4412" s="37" t="str">
        <f aca="false">IF(C4412="","",IF(C4412&lt;=5,"Night (00-05)",IF(C4412&lt;=11,"Morning (06-11)",IF(C4412&lt;=16,"Afternoon (12-16)",IF(C4412&lt;=20,"Evening (17-20)","Late (21-23)")))))</f>
        <v/>
      </c>
    </row>
    <row r="4413" customFormat="false" ht="15" hidden="false" customHeight="false" outlineLevel="0" collapsed="false">
      <c r="L4413" s="37" t="str">
        <f aca="false">IF(C4413="","",IF(C4413&lt;=5,"Night (00-05)",IF(C4413&lt;=11,"Morning (06-11)",IF(C4413&lt;=16,"Afternoon (12-16)",IF(C4413&lt;=20,"Evening (17-20)","Late (21-23)")))))</f>
        <v/>
      </c>
    </row>
    <row r="4414" customFormat="false" ht="15" hidden="false" customHeight="false" outlineLevel="0" collapsed="false">
      <c r="L4414" s="37" t="str">
        <f aca="false">IF(C4414="","",IF(C4414&lt;=5,"Night (00-05)",IF(C4414&lt;=11,"Morning (06-11)",IF(C4414&lt;=16,"Afternoon (12-16)",IF(C4414&lt;=20,"Evening (17-20)","Late (21-23)")))))</f>
        <v/>
      </c>
    </row>
    <row r="4415" customFormat="false" ht="15" hidden="false" customHeight="false" outlineLevel="0" collapsed="false">
      <c r="L4415" s="37" t="str">
        <f aca="false">IF(C4415="","",IF(C4415&lt;=5,"Night (00-05)",IF(C4415&lt;=11,"Morning (06-11)",IF(C4415&lt;=16,"Afternoon (12-16)",IF(C4415&lt;=20,"Evening (17-20)","Late (21-23)")))))</f>
        <v/>
      </c>
    </row>
    <row r="4416" customFormat="false" ht="15" hidden="false" customHeight="false" outlineLevel="0" collapsed="false">
      <c r="L4416" s="37" t="str">
        <f aca="false">IF(C4416="","",IF(C4416&lt;=5,"Night (00-05)",IF(C4416&lt;=11,"Morning (06-11)",IF(C4416&lt;=16,"Afternoon (12-16)",IF(C4416&lt;=20,"Evening (17-20)","Late (21-23)")))))</f>
        <v/>
      </c>
    </row>
    <row r="4417" customFormat="false" ht="15" hidden="false" customHeight="false" outlineLevel="0" collapsed="false">
      <c r="L4417" s="37" t="str">
        <f aca="false">IF(C4417="","",IF(C4417&lt;=5,"Night (00-05)",IF(C4417&lt;=11,"Morning (06-11)",IF(C4417&lt;=16,"Afternoon (12-16)",IF(C4417&lt;=20,"Evening (17-20)","Late (21-23)")))))</f>
        <v/>
      </c>
    </row>
    <row r="4418" customFormat="false" ht="15" hidden="false" customHeight="false" outlineLevel="0" collapsed="false">
      <c r="L4418" s="37" t="str">
        <f aca="false">IF(C4418="","",IF(C4418&lt;=5,"Night (00-05)",IF(C4418&lt;=11,"Morning (06-11)",IF(C4418&lt;=16,"Afternoon (12-16)",IF(C4418&lt;=20,"Evening (17-20)","Late (21-23)")))))</f>
        <v/>
      </c>
    </row>
    <row r="4419" customFormat="false" ht="15" hidden="false" customHeight="false" outlineLevel="0" collapsed="false">
      <c r="L4419" s="37" t="str">
        <f aca="false">IF(C4419="","",IF(C4419&lt;=5,"Night (00-05)",IF(C4419&lt;=11,"Morning (06-11)",IF(C4419&lt;=16,"Afternoon (12-16)",IF(C4419&lt;=20,"Evening (17-20)","Late (21-23)")))))</f>
        <v/>
      </c>
    </row>
    <row r="4420" customFormat="false" ht="15" hidden="false" customHeight="false" outlineLevel="0" collapsed="false">
      <c r="L4420" s="37" t="str">
        <f aca="false">IF(C4420="","",IF(C4420&lt;=5,"Night (00-05)",IF(C4420&lt;=11,"Morning (06-11)",IF(C4420&lt;=16,"Afternoon (12-16)",IF(C4420&lt;=20,"Evening (17-20)","Late (21-23)")))))</f>
        <v/>
      </c>
    </row>
    <row r="4421" customFormat="false" ht="15" hidden="false" customHeight="false" outlineLevel="0" collapsed="false">
      <c r="L4421" s="37" t="str">
        <f aca="false">IF(C4421="","",IF(C4421&lt;=5,"Night (00-05)",IF(C4421&lt;=11,"Morning (06-11)",IF(C4421&lt;=16,"Afternoon (12-16)",IF(C4421&lt;=20,"Evening (17-20)","Late (21-23)")))))</f>
        <v/>
      </c>
    </row>
    <row r="4422" customFormat="false" ht="15" hidden="false" customHeight="false" outlineLevel="0" collapsed="false">
      <c r="L4422" s="37" t="str">
        <f aca="false">IF(C4422="","",IF(C4422&lt;=5,"Night (00-05)",IF(C4422&lt;=11,"Morning (06-11)",IF(C4422&lt;=16,"Afternoon (12-16)",IF(C4422&lt;=20,"Evening (17-20)","Late (21-23)")))))</f>
        <v/>
      </c>
    </row>
    <row r="4423" customFormat="false" ht="15" hidden="false" customHeight="false" outlineLevel="0" collapsed="false">
      <c r="L4423" s="37" t="str">
        <f aca="false">IF(C4423="","",IF(C4423&lt;=5,"Night (00-05)",IF(C4423&lt;=11,"Morning (06-11)",IF(C4423&lt;=16,"Afternoon (12-16)",IF(C4423&lt;=20,"Evening (17-20)","Late (21-23)")))))</f>
        <v/>
      </c>
    </row>
    <row r="4424" customFormat="false" ht="15" hidden="false" customHeight="false" outlineLevel="0" collapsed="false">
      <c r="L4424" s="37" t="str">
        <f aca="false">IF(C4424="","",IF(C4424&lt;=5,"Night (00-05)",IF(C4424&lt;=11,"Morning (06-11)",IF(C4424&lt;=16,"Afternoon (12-16)",IF(C4424&lt;=20,"Evening (17-20)","Late (21-23)")))))</f>
        <v/>
      </c>
    </row>
    <row r="4425" customFormat="false" ht="15" hidden="false" customHeight="false" outlineLevel="0" collapsed="false">
      <c r="L4425" s="37" t="str">
        <f aca="false">IF(C4425="","",IF(C4425&lt;=5,"Night (00-05)",IF(C4425&lt;=11,"Morning (06-11)",IF(C4425&lt;=16,"Afternoon (12-16)",IF(C4425&lt;=20,"Evening (17-20)","Late (21-23)")))))</f>
        <v/>
      </c>
    </row>
    <row r="4426" customFormat="false" ht="15" hidden="false" customHeight="false" outlineLevel="0" collapsed="false">
      <c r="L4426" s="37" t="str">
        <f aca="false">IF(C4426="","",IF(C4426&lt;=5,"Night (00-05)",IF(C4426&lt;=11,"Morning (06-11)",IF(C4426&lt;=16,"Afternoon (12-16)",IF(C4426&lt;=20,"Evening (17-20)","Late (21-23)")))))</f>
        <v/>
      </c>
    </row>
    <row r="4427" customFormat="false" ht="15" hidden="false" customHeight="false" outlineLevel="0" collapsed="false">
      <c r="L4427" s="37" t="str">
        <f aca="false">IF(C4427="","",IF(C4427&lt;=5,"Night (00-05)",IF(C4427&lt;=11,"Morning (06-11)",IF(C4427&lt;=16,"Afternoon (12-16)",IF(C4427&lt;=20,"Evening (17-20)","Late (21-23)")))))</f>
        <v/>
      </c>
    </row>
    <row r="4428" customFormat="false" ht="15" hidden="false" customHeight="false" outlineLevel="0" collapsed="false">
      <c r="L4428" s="37" t="str">
        <f aca="false">IF(C4428="","",IF(C4428&lt;=5,"Night (00-05)",IF(C4428&lt;=11,"Morning (06-11)",IF(C4428&lt;=16,"Afternoon (12-16)",IF(C4428&lt;=20,"Evening (17-20)","Late (21-23)")))))</f>
        <v/>
      </c>
    </row>
    <row r="4429" customFormat="false" ht="15" hidden="false" customHeight="false" outlineLevel="0" collapsed="false">
      <c r="L4429" s="37" t="str">
        <f aca="false">IF(C4429="","",IF(C4429&lt;=5,"Night (00-05)",IF(C4429&lt;=11,"Morning (06-11)",IF(C4429&lt;=16,"Afternoon (12-16)",IF(C4429&lt;=20,"Evening (17-20)","Late (21-23)")))))</f>
        <v/>
      </c>
    </row>
    <row r="4430" customFormat="false" ht="15" hidden="false" customHeight="false" outlineLevel="0" collapsed="false">
      <c r="L4430" s="37" t="str">
        <f aca="false">IF(C4430="","",IF(C4430&lt;=5,"Night (00-05)",IF(C4430&lt;=11,"Morning (06-11)",IF(C4430&lt;=16,"Afternoon (12-16)",IF(C4430&lt;=20,"Evening (17-20)","Late (21-23)")))))</f>
        <v/>
      </c>
    </row>
    <row r="4431" customFormat="false" ht="15" hidden="false" customHeight="false" outlineLevel="0" collapsed="false">
      <c r="L4431" s="37" t="str">
        <f aca="false">IF(C4431="","",IF(C4431&lt;=5,"Night (00-05)",IF(C4431&lt;=11,"Morning (06-11)",IF(C4431&lt;=16,"Afternoon (12-16)",IF(C4431&lt;=20,"Evening (17-20)","Late (21-23)")))))</f>
        <v/>
      </c>
    </row>
    <row r="4432" customFormat="false" ht="15" hidden="false" customHeight="false" outlineLevel="0" collapsed="false">
      <c r="L4432" s="37" t="str">
        <f aca="false">IF(C4432="","",IF(C4432&lt;=5,"Night (00-05)",IF(C4432&lt;=11,"Morning (06-11)",IF(C4432&lt;=16,"Afternoon (12-16)",IF(C4432&lt;=20,"Evening (17-20)","Late (21-23)")))))</f>
        <v/>
      </c>
    </row>
    <row r="4433" customFormat="false" ht="15" hidden="false" customHeight="false" outlineLevel="0" collapsed="false">
      <c r="L4433" s="37" t="str">
        <f aca="false">IF(C4433="","",IF(C4433&lt;=5,"Night (00-05)",IF(C4433&lt;=11,"Morning (06-11)",IF(C4433&lt;=16,"Afternoon (12-16)",IF(C4433&lt;=20,"Evening (17-20)","Late (21-23)")))))</f>
        <v/>
      </c>
    </row>
    <row r="4434" customFormat="false" ht="15" hidden="false" customHeight="false" outlineLevel="0" collapsed="false">
      <c r="L4434" s="37" t="str">
        <f aca="false">IF(C4434="","",IF(C4434&lt;=5,"Night (00-05)",IF(C4434&lt;=11,"Morning (06-11)",IF(C4434&lt;=16,"Afternoon (12-16)",IF(C4434&lt;=20,"Evening (17-20)","Late (21-23)")))))</f>
        <v/>
      </c>
    </row>
    <row r="4435" customFormat="false" ht="15" hidden="false" customHeight="false" outlineLevel="0" collapsed="false">
      <c r="L4435" s="37" t="str">
        <f aca="false">IF(C4435="","",IF(C4435&lt;=5,"Night (00-05)",IF(C4435&lt;=11,"Morning (06-11)",IF(C4435&lt;=16,"Afternoon (12-16)",IF(C4435&lt;=20,"Evening (17-20)","Late (21-23)")))))</f>
        <v/>
      </c>
    </row>
    <row r="4436" customFormat="false" ht="15" hidden="false" customHeight="false" outlineLevel="0" collapsed="false">
      <c r="L4436" s="37" t="str">
        <f aca="false">IF(C4436="","",IF(C4436&lt;=5,"Night (00-05)",IF(C4436&lt;=11,"Morning (06-11)",IF(C4436&lt;=16,"Afternoon (12-16)",IF(C4436&lt;=20,"Evening (17-20)","Late (21-23)")))))</f>
        <v/>
      </c>
    </row>
    <row r="4437" customFormat="false" ht="15" hidden="false" customHeight="false" outlineLevel="0" collapsed="false">
      <c r="L4437" s="37" t="str">
        <f aca="false">IF(C4437="","",IF(C4437&lt;=5,"Night (00-05)",IF(C4437&lt;=11,"Morning (06-11)",IF(C4437&lt;=16,"Afternoon (12-16)",IF(C4437&lt;=20,"Evening (17-20)","Late (21-23)")))))</f>
        <v/>
      </c>
    </row>
    <row r="4438" customFormat="false" ht="15" hidden="false" customHeight="false" outlineLevel="0" collapsed="false">
      <c r="L4438" s="37" t="str">
        <f aca="false">IF(C4438="","",IF(C4438&lt;=5,"Night (00-05)",IF(C4438&lt;=11,"Morning (06-11)",IF(C4438&lt;=16,"Afternoon (12-16)",IF(C4438&lt;=20,"Evening (17-20)","Late (21-23)")))))</f>
        <v/>
      </c>
    </row>
    <row r="4439" customFormat="false" ht="15" hidden="false" customHeight="false" outlineLevel="0" collapsed="false">
      <c r="L4439" s="37" t="str">
        <f aca="false">IF(C4439="","",IF(C4439&lt;=5,"Night (00-05)",IF(C4439&lt;=11,"Morning (06-11)",IF(C4439&lt;=16,"Afternoon (12-16)",IF(C4439&lt;=20,"Evening (17-20)","Late (21-23)")))))</f>
        <v/>
      </c>
    </row>
    <row r="4440" customFormat="false" ht="15" hidden="false" customHeight="false" outlineLevel="0" collapsed="false">
      <c r="L4440" s="37" t="str">
        <f aca="false">IF(C4440="","",IF(C4440&lt;=5,"Night (00-05)",IF(C4440&lt;=11,"Morning (06-11)",IF(C4440&lt;=16,"Afternoon (12-16)",IF(C4440&lt;=20,"Evening (17-20)","Late (21-23)")))))</f>
        <v/>
      </c>
    </row>
    <row r="4441" customFormat="false" ht="15" hidden="false" customHeight="false" outlineLevel="0" collapsed="false">
      <c r="L4441" s="37" t="str">
        <f aca="false">IF(C4441="","",IF(C4441&lt;=5,"Night (00-05)",IF(C4441&lt;=11,"Morning (06-11)",IF(C4441&lt;=16,"Afternoon (12-16)",IF(C4441&lt;=20,"Evening (17-20)","Late (21-23)")))))</f>
        <v/>
      </c>
    </row>
    <row r="4442" customFormat="false" ht="15" hidden="false" customHeight="false" outlineLevel="0" collapsed="false">
      <c r="L4442" s="37" t="str">
        <f aca="false">IF(C4442="","",IF(C4442&lt;=5,"Night (00-05)",IF(C4442&lt;=11,"Morning (06-11)",IF(C4442&lt;=16,"Afternoon (12-16)",IF(C4442&lt;=20,"Evening (17-20)","Late (21-23)")))))</f>
        <v/>
      </c>
    </row>
    <row r="4443" customFormat="false" ht="15" hidden="false" customHeight="false" outlineLevel="0" collapsed="false">
      <c r="L4443" s="37" t="str">
        <f aca="false">IF(C4443="","",IF(C4443&lt;=5,"Night (00-05)",IF(C4443&lt;=11,"Morning (06-11)",IF(C4443&lt;=16,"Afternoon (12-16)",IF(C4443&lt;=20,"Evening (17-20)","Late (21-23)")))))</f>
        <v/>
      </c>
    </row>
    <row r="4444" customFormat="false" ht="15" hidden="false" customHeight="false" outlineLevel="0" collapsed="false">
      <c r="L4444" s="37" t="str">
        <f aca="false">IF(C4444="","",IF(C4444&lt;=5,"Night (00-05)",IF(C4444&lt;=11,"Morning (06-11)",IF(C4444&lt;=16,"Afternoon (12-16)",IF(C4444&lt;=20,"Evening (17-20)","Late (21-23)")))))</f>
        <v/>
      </c>
    </row>
    <row r="4445" customFormat="false" ht="15" hidden="false" customHeight="false" outlineLevel="0" collapsed="false">
      <c r="L4445" s="37" t="str">
        <f aca="false">IF(C4445="","",IF(C4445&lt;=5,"Night (00-05)",IF(C4445&lt;=11,"Morning (06-11)",IF(C4445&lt;=16,"Afternoon (12-16)",IF(C4445&lt;=20,"Evening (17-20)","Late (21-23)")))))</f>
        <v/>
      </c>
    </row>
    <row r="4446" customFormat="false" ht="15" hidden="false" customHeight="false" outlineLevel="0" collapsed="false">
      <c r="L4446" s="37" t="str">
        <f aca="false">IF(C4446="","",IF(C4446&lt;=5,"Night (00-05)",IF(C4446&lt;=11,"Morning (06-11)",IF(C4446&lt;=16,"Afternoon (12-16)",IF(C4446&lt;=20,"Evening (17-20)","Late (21-23)")))))</f>
        <v/>
      </c>
    </row>
    <row r="4447" customFormat="false" ht="15" hidden="false" customHeight="false" outlineLevel="0" collapsed="false">
      <c r="L4447" s="37" t="str">
        <f aca="false">IF(C4447="","",IF(C4447&lt;=5,"Night (00-05)",IF(C4447&lt;=11,"Morning (06-11)",IF(C4447&lt;=16,"Afternoon (12-16)",IF(C4447&lt;=20,"Evening (17-20)","Late (21-23)")))))</f>
        <v/>
      </c>
    </row>
    <row r="4448" customFormat="false" ht="15" hidden="false" customHeight="false" outlineLevel="0" collapsed="false">
      <c r="L4448" s="37" t="str">
        <f aca="false">IF(C4448="","",IF(C4448&lt;=5,"Night (00-05)",IF(C4448&lt;=11,"Morning (06-11)",IF(C4448&lt;=16,"Afternoon (12-16)",IF(C4448&lt;=20,"Evening (17-20)","Late (21-23)")))))</f>
        <v/>
      </c>
    </row>
    <row r="4449" customFormat="false" ht="15" hidden="false" customHeight="false" outlineLevel="0" collapsed="false">
      <c r="L4449" s="37" t="str">
        <f aca="false">IF(C4449="","",IF(C4449&lt;=5,"Night (00-05)",IF(C4449&lt;=11,"Morning (06-11)",IF(C4449&lt;=16,"Afternoon (12-16)",IF(C4449&lt;=20,"Evening (17-20)","Late (21-23)")))))</f>
        <v/>
      </c>
    </row>
    <row r="4450" customFormat="false" ht="15" hidden="false" customHeight="false" outlineLevel="0" collapsed="false">
      <c r="L4450" s="37" t="str">
        <f aca="false">IF(C4450="","",IF(C4450&lt;=5,"Night (00-05)",IF(C4450&lt;=11,"Morning (06-11)",IF(C4450&lt;=16,"Afternoon (12-16)",IF(C4450&lt;=20,"Evening (17-20)","Late (21-23)")))))</f>
        <v/>
      </c>
    </row>
    <row r="4451" customFormat="false" ht="15" hidden="false" customHeight="false" outlineLevel="0" collapsed="false">
      <c r="L4451" s="37" t="str">
        <f aca="false">IF(C4451="","",IF(C4451&lt;=5,"Night (00-05)",IF(C4451&lt;=11,"Morning (06-11)",IF(C4451&lt;=16,"Afternoon (12-16)",IF(C4451&lt;=20,"Evening (17-20)","Late (21-23)")))))</f>
        <v/>
      </c>
    </row>
    <row r="4452" customFormat="false" ht="15" hidden="false" customHeight="false" outlineLevel="0" collapsed="false">
      <c r="L4452" s="37" t="str">
        <f aca="false">IF(C4452="","",IF(C4452&lt;=5,"Night (00-05)",IF(C4452&lt;=11,"Morning (06-11)",IF(C4452&lt;=16,"Afternoon (12-16)",IF(C4452&lt;=20,"Evening (17-20)","Late (21-23)")))))</f>
        <v/>
      </c>
    </row>
    <row r="4453" customFormat="false" ht="15" hidden="false" customHeight="false" outlineLevel="0" collapsed="false">
      <c r="L4453" s="37" t="str">
        <f aca="false">IF(C4453="","",IF(C4453&lt;=5,"Night (00-05)",IF(C4453&lt;=11,"Morning (06-11)",IF(C4453&lt;=16,"Afternoon (12-16)",IF(C4453&lt;=20,"Evening (17-20)","Late (21-23)")))))</f>
        <v/>
      </c>
    </row>
    <row r="4454" customFormat="false" ht="15" hidden="false" customHeight="false" outlineLevel="0" collapsed="false">
      <c r="L4454" s="37" t="str">
        <f aca="false">IF(C4454="","",IF(C4454&lt;=5,"Night (00-05)",IF(C4454&lt;=11,"Morning (06-11)",IF(C4454&lt;=16,"Afternoon (12-16)",IF(C4454&lt;=20,"Evening (17-20)","Late (21-23)")))))</f>
        <v/>
      </c>
    </row>
    <row r="4455" customFormat="false" ht="15" hidden="false" customHeight="false" outlineLevel="0" collapsed="false">
      <c r="L4455" s="37" t="str">
        <f aca="false">IF(C4455="","",IF(C4455&lt;=5,"Night (00-05)",IF(C4455&lt;=11,"Morning (06-11)",IF(C4455&lt;=16,"Afternoon (12-16)",IF(C4455&lt;=20,"Evening (17-20)","Late (21-23)")))))</f>
        <v/>
      </c>
    </row>
    <row r="4456" customFormat="false" ht="15" hidden="false" customHeight="false" outlineLevel="0" collapsed="false">
      <c r="L4456" s="37" t="str">
        <f aca="false">IF(C4456="","",IF(C4456&lt;=5,"Night (00-05)",IF(C4456&lt;=11,"Morning (06-11)",IF(C4456&lt;=16,"Afternoon (12-16)",IF(C4456&lt;=20,"Evening (17-20)","Late (21-23)")))))</f>
        <v/>
      </c>
    </row>
    <row r="4457" customFormat="false" ht="15" hidden="false" customHeight="false" outlineLevel="0" collapsed="false">
      <c r="L4457" s="37" t="str">
        <f aca="false">IF(C4457="","",IF(C4457&lt;=5,"Night (00-05)",IF(C4457&lt;=11,"Morning (06-11)",IF(C4457&lt;=16,"Afternoon (12-16)",IF(C4457&lt;=20,"Evening (17-20)","Late (21-23)")))))</f>
        <v/>
      </c>
    </row>
    <row r="4458" customFormat="false" ht="15" hidden="false" customHeight="false" outlineLevel="0" collapsed="false">
      <c r="L4458" s="37" t="str">
        <f aca="false">IF(C4458="","",IF(C4458&lt;=5,"Night (00-05)",IF(C4458&lt;=11,"Morning (06-11)",IF(C4458&lt;=16,"Afternoon (12-16)",IF(C4458&lt;=20,"Evening (17-20)","Late (21-23)")))))</f>
        <v/>
      </c>
    </row>
    <row r="4459" customFormat="false" ht="15" hidden="false" customHeight="false" outlineLevel="0" collapsed="false">
      <c r="L4459" s="37" t="str">
        <f aca="false">IF(C4459="","",IF(C4459&lt;=5,"Night (00-05)",IF(C4459&lt;=11,"Morning (06-11)",IF(C4459&lt;=16,"Afternoon (12-16)",IF(C4459&lt;=20,"Evening (17-20)","Late (21-23)")))))</f>
        <v/>
      </c>
    </row>
    <row r="4460" customFormat="false" ht="15" hidden="false" customHeight="false" outlineLevel="0" collapsed="false">
      <c r="L4460" s="37" t="str">
        <f aca="false">IF(C4460="","",IF(C4460&lt;=5,"Night (00-05)",IF(C4460&lt;=11,"Morning (06-11)",IF(C4460&lt;=16,"Afternoon (12-16)",IF(C4460&lt;=20,"Evening (17-20)","Late (21-23)")))))</f>
        <v/>
      </c>
    </row>
    <row r="4461" customFormat="false" ht="15" hidden="false" customHeight="false" outlineLevel="0" collapsed="false">
      <c r="L4461" s="37" t="str">
        <f aca="false">IF(C4461="","",IF(C4461&lt;=5,"Night (00-05)",IF(C4461&lt;=11,"Morning (06-11)",IF(C4461&lt;=16,"Afternoon (12-16)",IF(C4461&lt;=20,"Evening (17-20)","Late (21-23)")))))</f>
        <v/>
      </c>
    </row>
    <row r="4462" customFormat="false" ht="15" hidden="false" customHeight="false" outlineLevel="0" collapsed="false">
      <c r="L4462" s="37" t="str">
        <f aca="false">IF(C4462="","",IF(C4462&lt;=5,"Night (00-05)",IF(C4462&lt;=11,"Morning (06-11)",IF(C4462&lt;=16,"Afternoon (12-16)",IF(C4462&lt;=20,"Evening (17-20)","Late (21-23)")))))</f>
        <v/>
      </c>
    </row>
    <row r="4463" customFormat="false" ht="15" hidden="false" customHeight="false" outlineLevel="0" collapsed="false">
      <c r="L4463" s="37" t="str">
        <f aca="false">IF(C4463="","",IF(C4463&lt;=5,"Night (00-05)",IF(C4463&lt;=11,"Morning (06-11)",IF(C4463&lt;=16,"Afternoon (12-16)",IF(C4463&lt;=20,"Evening (17-20)","Late (21-23)")))))</f>
        <v/>
      </c>
    </row>
    <row r="4464" customFormat="false" ht="15" hidden="false" customHeight="false" outlineLevel="0" collapsed="false">
      <c r="L4464" s="37" t="str">
        <f aca="false">IF(C4464="","",IF(C4464&lt;=5,"Night (00-05)",IF(C4464&lt;=11,"Morning (06-11)",IF(C4464&lt;=16,"Afternoon (12-16)",IF(C4464&lt;=20,"Evening (17-20)","Late (21-23)")))))</f>
        <v/>
      </c>
    </row>
    <row r="4465" customFormat="false" ht="15" hidden="false" customHeight="false" outlineLevel="0" collapsed="false">
      <c r="L4465" s="37" t="str">
        <f aca="false">IF(C4465="","",IF(C4465&lt;=5,"Night (00-05)",IF(C4465&lt;=11,"Morning (06-11)",IF(C4465&lt;=16,"Afternoon (12-16)",IF(C4465&lt;=20,"Evening (17-20)","Late (21-23)")))))</f>
        <v/>
      </c>
    </row>
    <row r="4466" customFormat="false" ht="15" hidden="false" customHeight="false" outlineLevel="0" collapsed="false">
      <c r="L4466" s="37" t="str">
        <f aca="false">IF(C4466="","",IF(C4466&lt;=5,"Night (00-05)",IF(C4466&lt;=11,"Morning (06-11)",IF(C4466&lt;=16,"Afternoon (12-16)",IF(C4466&lt;=20,"Evening (17-20)","Late (21-23)")))))</f>
        <v/>
      </c>
    </row>
    <row r="4467" customFormat="false" ht="15" hidden="false" customHeight="false" outlineLevel="0" collapsed="false">
      <c r="L4467" s="37" t="str">
        <f aca="false">IF(C4467="","",IF(C4467&lt;=5,"Night (00-05)",IF(C4467&lt;=11,"Morning (06-11)",IF(C4467&lt;=16,"Afternoon (12-16)",IF(C4467&lt;=20,"Evening (17-20)","Late (21-23)")))))</f>
        <v/>
      </c>
    </row>
    <row r="4468" customFormat="false" ht="15" hidden="false" customHeight="false" outlineLevel="0" collapsed="false">
      <c r="L4468" s="37" t="str">
        <f aca="false">IF(C4468="","",IF(C4468&lt;=5,"Night (00-05)",IF(C4468&lt;=11,"Morning (06-11)",IF(C4468&lt;=16,"Afternoon (12-16)",IF(C4468&lt;=20,"Evening (17-20)","Late (21-23)")))))</f>
        <v/>
      </c>
    </row>
    <row r="4469" customFormat="false" ht="15" hidden="false" customHeight="false" outlineLevel="0" collapsed="false">
      <c r="L4469" s="37" t="str">
        <f aca="false">IF(C4469="","",IF(C4469&lt;=5,"Night (00-05)",IF(C4469&lt;=11,"Morning (06-11)",IF(C4469&lt;=16,"Afternoon (12-16)",IF(C4469&lt;=20,"Evening (17-20)","Late (21-23)")))))</f>
        <v/>
      </c>
    </row>
    <row r="4470" customFormat="false" ht="15" hidden="false" customHeight="false" outlineLevel="0" collapsed="false">
      <c r="L4470" s="37" t="str">
        <f aca="false">IF(C4470="","",IF(C4470&lt;=5,"Night (00-05)",IF(C4470&lt;=11,"Morning (06-11)",IF(C4470&lt;=16,"Afternoon (12-16)",IF(C4470&lt;=20,"Evening (17-20)","Late (21-23)")))))</f>
        <v/>
      </c>
    </row>
    <row r="4471" customFormat="false" ht="15" hidden="false" customHeight="false" outlineLevel="0" collapsed="false">
      <c r="L4471" s="37" t="str">
        <f aca="false">IF(C4471="","",IF(C4471&lt;=5,"Night (00-05)",IF(C4471&lt;=11,"Morning (06-11)",IF(C4471&lt;=16,"Afternoon (12-16)",IF(C4471&lt;=20,"Evening (17-20)","Late (21-23)")))))</f>
        <v/>
      </c>
    </row>
    <row r="4472" customFormat="false" ht="15" hidden="false" customHeight="false" outlineLevel="0" collapsed="false">
      <c r="L4472" s="37" t="str">
        <f aca="false">IF(C4472="","",IF(C4472&lt;=5,"Night (00-05)",IF(C4472&lt;=11,"Morning (06-11)",IF(C4472&lt;=16,"Afternoon (12-16)",IF(C4472&lt;=20,"Evening (17-20)","Late (21-23)")))))</f>
        <v/>
      </c>
    </row>
    <row r="4473" customFormat="false" ht="15" hidden="false" customHeight="false" outlineLevel="0" collapsed="false">
      <c r="L4473" s="37" t="str">
        <f aca="false">IF(C4473="","",IF(C4473&lt;=5,"Night (00-05)",IF(C4473&lt;=11,"Morning (06-11)",IF(C4473&lt;=16,"Afternoon (12-16)",IF(C4473&lt;=20,"Evening (17-20)","Late (21-23)")))))</f>
        <v/>
      </c>
    </row>
    <row r="4474" customFormat="false" ht="15" hidden="false" customHeight="false" outlineLevel="0" collapsed="false">
      <c r="L4474" s="37" t="str">
        <f aca="false">IF(C4474="","",IF(C4474&lt;=5,"Night (00-05)",IF(C4474&lt;=11,"Morning (06-11)",IF(C4474&lt;=16,"Afternoon (12-16)",IF(C4474&lt;=20,"Evening (17-20)","Late (21-23)")))))</f>
        <v/>
      </c>
    </row>
    <row r="4475" customFormat="false" ht="15" hidden="false" customHeight="false" outlineLevel="0" collapsed="false">
      <c r="L4475" s="37" t="str">
        <f aca="false">IF(C4475="","",IF(C4475&lt;=5,"Night (00-05)",IF(C4475&lt;=11,"Morning (06-11)",IF(C4475&lt;=16,"Afternoon (12-16)",IF(C4475&lt;=20,"Evening (17-20)","Late (21-23)")))))</f>
        <v/>
      </c>
    </row>
    <row r="4476" customFormat="false" ht="15" hidden="false" customHeight="false" outlineLevel="0" collapsed="false">
      <c r="L4476" s="37" t="str">
        <f aca="false">IF(C4476="","",IF(C4476&lt;=5,"Night (00-05)",IF(C4476&lt;=11,"Morning (06-11)",IF(C4476&lt;=16,"Afternoon (12-16)",IF(C4476&lt;=20,"Evening (17-20)","Late (21-23)")))))</f>
        <v/>
      </c>
    </row>
    <row r="4477" customFormat="false" ht="15" hidden="false" customHeight="false" outlineLevel="0" collapsed="false">
      <c r="L4477" s="37" t="str">
        <f aca="false">IF(C4477="","",IF(C4477&lt;=5,"Night (00-05)",IF(C4477&lt;=11,"Morning (06-11)",IF(C4477&lt;=16,"Afternoon (12-16)",IF(C4477&lt;=20,"Evening (17-20)","Late (21-23)")))))</f>
        <v/>
      </c>
    </row>
    <row r="4478" customFormat="false" ht="15" hidden="false" customHeight="false" outlineLevel="0" collapsed="false">
      <c r="L4478" s="37" t="str">
        <f aca="false">IF(C4478="","",IF(C4478&lt;=5,"Night (00-05)",IF(C4478&lt;=11,"Morning (06-11)",IF(C4478&lt;=16,"Afternoon (12-16)",IF(C4478&lt;=20,"Evening (17-20)","Late (21-23)")))))</f>
        <v/>
      </c>
    </row>
    <row r="4479" customFormat="false" ht="15" hidden="false" customHeight="false" outlineLevel="0" collapsed="false">
      <c r="L4479" s="37" t="str">
        <f aca="false">IF(C4479="","",IF(C4479&lt;=5,"Night (00-05)",IF(C4479&lt;=11,"Morning (06-11)",IF(C4479&lt;=16,"Afternoon (12-16)",IF(C4479&lt;=20,"Evening (17-20)","Late (21-23)")))))</f>
        <v/>
      </c>
    </row>
    <row r="4480" customFormat="false" ht="15" hidden="false" customHeight="false" outlineLevel="0" collapsed="false">
      <c r="L4480" s="37" t="str">
        <f aca="false">IF(C4480="","",IF(C4480&lt;=5,"Night (00-05)",IF(C4480&lt;=11,"Morning (06-11)",IF(C4480&lt;=16,"Afternoon (12-16)",IF(C4480&lt;=20,"Evening (17-20)","Late (21-23)")))))</f>
        <v/>
      </c>
    </row>
    <row r="4481" customFormat="false" ht="15" hidden="false" customHeight="false" outlineLevel="0" collapsed="false">
      <c r="L4481" s="37" t="str">
        <f aca="false">IF(C4481="","",IF(C4481&lt;=5,"Night (00-05)",IF(C4481&lt;=11,"Morning (06-11)",IF(C4481&lt;=16,"Afternoon (12-16)",IF(C4481&lt;=20,"Evening (17-20)","Late (21-23)")))))</f>
        <v/>
      </c>
    </row>
    <row r="4482" customFormat="false" ht="15" hidden="false" customHeight="false" outlineLevel="0" collapsed="false">
      <c r="L4482" s="37" t="str">
        <f aca="false">IF(C4482="","",IF(C4482&lt;=5,"Night (00-05)",IF(C4482&lt;=11,"Morning (06-11)",IF(C4482&lt;=16,"Afternoon (12-16)",IF(C4482&lt;=20,"Evening (17-20)","Late (21-23)")))))</f>
        <v/>
      </c>
    </row>
    <row r="4483" customFormat="false" ht="15" hidden="false" customHeight="false" outlineLevel="0" collapsed="false">
      <c r="L4483" s="37" t="str">
        <f aca="false">IF(C4483="","",IF(C4483&lt;=5,"Night (00-05)",IF(C4483&lt;=11,"Morning (06-11)",IF(C4483&lt;=16,"Afternoon (12-16)",IF(C4483&lt;=20,"Evening (17-20)","Late (21-23)")))))</f>
        <v/>
      </c>
    </row>
    <row r="4484" customFormat="false" ht="15" hidden="false" customHeight="false" outlineLevel="0" collapsed="false">
      <c r="L4484" s="37" t="str">
        <f aca="false">IF(C4484="","",IF(C4484&lt;=5,"Night (00-05)",IF(C4484&lt;=11,"Morning (06-11)",IF(C4484&lt;=16,"Afternoon (12-16)",IF(C4484&lt;=20,"Evening (17-20)","Late (21-23)")))))</f>
        <v/>
      </c>
    </row>
    <row r="4485" customFormat="false" ht="15" hidden="false" customHeight="false" outlineLevel="0" collapsed="false">
      <c r="L4485" s="37" t="str">
        <f aca="false">IF(C4485="","",IF(C4485&lt;=5,"Night (00-05)",IF(C4485&lt;=11,"Morning (06-11)",IF(C4485&lt;=16,"Afternoon (12-16)",IF(C4485&lt;=20,"Evening (17-20)","Late (21-23)")))))</f>
        <v/>
      </c>
    </row>
    <row r="4486" customFormat="false" ht="15" hidden="false" customHeight="false" outlineLevel="0" collapsed="false">
      <c r="L4486" s="37" t="str">
        <f aca="false">IF(C4486="","",IF(C4486&lt;=5,"Night (00-05)",IF(C4486&lt;=11,"Morning (06-11)",IF(C4486&lt;=16,"Afternoon (12-16)",IF(C4486&lt;=20,"Evening (17-20)","Late (21-23)")))))</f>
        <v/>
      </c>
    </row>
    <row r="4487" customFormat="false" ht="15" hidden="false" customHeight="false" outlineLevel="0" collapsed="false">
      <c r="L4487" s="37" t="str">
        <f aca="false">IF(C4487="","",IF(C4487&lt;=5,"Night (00-05)",IF(C4487&lt;=11,"Morning (06-11)",IF(C4487&lt;=16,"Afternoon (12-16)",IF(C4487&lt;=20,"Evening (17-20)","Late (21-23)")))))</f>
        <v/>
      </c>
    </row>
    <row r="4488" customFormat="false" ht="15" hidden="false" customHeight="false" outlineLevel="0" collapsed="false">
      <c r="L4488" s="37" t="str">
        <f aca="false">IF(C4488="","",IF(C4488&lt;=5,"Night (00-05)",IF(C4488&lt;=11,"Morning (06-11)",IF(C4488&lt;=16,"Afternoon (12-16)",IF(C4488&lt;=20,"Evening (17-20)","Late (21-23)")))))</f>
        <v/>
      </c>
    </row>
    <row r="4489" customFormat="false" ht="15" hidden="false" customHeight="false" outlineLevel="0" collapsed="false">
      <c r="L4489" s="37" t="str">
        <f aca="false">IF(C4489="","",IF(C4489&lt;=5,"Night (00-05)",IF(C4489&lt;=11,"Morning (06-11)",IF(C4489&lt;=16,"Afternoon (12-16)",IF(C4489&lt;=20,"Evening (17-20)","Late (21-23)")))))</f>
        <v/>
      </c>
    </row>
    <row r="4490" customFormat="false" ht="15" hidden="false" customHeight="false" outlineLevel="0" collapsed="false">
      <c r="L4490" s="37" t="str">
        <f aca="false">IF(C4490="","",IF(C4490&lt;=5,"Night (00-05)",IF(C4490&lt;=11,"Morning (06-11)",IF(C4490&lt;=16,"Afternoon (12-16)",IF(C4490&lt;=20,"Evening (17-20)","Late (21-23)")))))</f>
        <v/>
      </c>
    </row>
    <row r="4491" customFormat="false" ht="15" hidden="false" customHeight="false" outlineLevel="0" collapsed="false">
      <c r="L4491" s="37" t="str">
        <f aca="false">IF(C4491="","",IF(C4491&lt;=5,"Night (00-05)",IF(C4491&lt;=11,"Morning (06-11)",IF(C4491&lt;=16,"Afternoon (12-16)",IF(C4491&lt;=20,"Evening (17-20)","Late (21-23)")))))</f>
        <v/>
      </c>
    </row>
    <row r="4492" customFormat="false" ht="15" hidden="false" customHeight="false" outlineLevel="0" collapsed="false">
      <c r="L4492" s="37" t="str">
        <f aca="false">IF(C4492="","",IF(C4492&lt;=5,"Night (00-05)",IF(C4492&lt;=11,"Morning (06-11)",IF(C4492&lt;=16,"Afternoon (12-16)",IF(C4492&lt;=20,"Evening (17-20)","Late (21-23)")))))</f>
        <v/>
      </c>
    </row>
    <row r="4493" customFormat="false" ht="15" hidden="false" customHeight="false" outlineLevel="0" collapsed="false">
      <c r="L4493" s="37" t="str">
        <f aca="false">IF(C4493="","",IF(C4493&lt;=5,"Night (00-05)",IF(C4493&lt;=11,"Morning (06-11)",IF(C4493&lt;=16,"Afternoon (12-16)",IF(C4493&lt;=20,"Evening (17-20)","Late (21-23)")))))</f>
        <v/>
      </c>
    </row>
    <row r="4494" customFormat="false" ht="15" hidden="false" customHeight="false" outlineLevel="0" collapsed="false">
      <c r="L4494" s="37" t="str">
        <f aca="false">IF(C4494="","",IF(C4494&lt;=5,"Night (00-05)",IF(C4494&lt;=11,"Morning (06-11)",IF(C4494&lt;=16,"Afternoon (12-16)",IF(C4494&lt;=20,"Evening (17-20)","Late (21-23)")))))</f>
        <v/>
      </c>
    </row>
    <row r="4495" customFormat="false" ht="15" hidden="false" customHeight="false" outlineLevel="0" collapsed="false">
      <c r="L4495" s="37" t="str">
        <f aca="false">IF(C4495="","",IF(C4495&lt;=5,"Night (00-05)",IF(C4495&lt;=11,"Morning (06-11)",IF(C4495&lt;=16,"Afternoon (12-16)",IF(C4495&lt;=20,"Evening (17-20)","Late (21-23)")))))</f>
        <v/>
      </c>
    </row>
    <row r="4496" customFormat="false" ht="15" hidden="false" customHeight="false" outlineLevel="0" collapsed="false">
      <c r="L4496" s="37" t="str">
        <f aca="false">IF(C4496="","",IF(C4496&lt;=5,"Night (00-05)",IF(C4496&lt;=11,"Morning (06-11)",IF(C4496&lt;=16,"Afternoon (12-16)",IF(C4496&lt;=20,"Evening (17-20)","Late (21-23)")))))</f>
        <v/>
      </c>
    </row>
    <row r="4497" customFormat="false" ht="15" hidden="false" customHeight="false" outlineLevel="0" collapsed="false">
      <c r="L4497" s="37" t="str">
        <f aca="false">IF(C4497="","",IF(C4497&lt;=5,"Night (00-05)",IF(C4497&lt;=11,"Morning (06-11)",IF(C4497&lt;=16,"Afternoon (12-16)",IF(C4497&lt;=20,"Evening (17-20)","Late (21-23)")))))</f>
        <v/>
      </c>
    </row>
    <row r="4498" customFormat="false" ht="15" hidden="false" customHeight="false" outlineLevel="0" collapsed="false">
      <c r="L4498" s="37" t="str">
        <f aca="false">IF(C4498="","",IF(C4498&lt;=5,"Night (00-05)",IF(C4498&lt;=11,"Morning (06-11)",IF(C4498&lt;=16,"Afternoon (12-16)",IF(C4498&lt;=20,"Evening (17-20)","Late (21-23)")))))</f>
        <v/>
      </c>
    </row>
    <row r="4499" customFormat="false" ht="15" hidden="false" customHeight="false" outlineLevel="0" collapsed="false">
      <c r="L4499" s="37" t="str">
        <f aca="false">IF(C4499="","",IF(C4499&lt;=5,"Night (00-05)",IF(C4499&lt;=11,"Morning (06-11)",IF(C4499&lt;=16,"Afternoon (12-16)",IF(C4499&lt;=20,"Evening (17-20)","Late (21-23)")))))</f>
        <v/>
      </c>
    </row>
    <row r="4500" customFormat="false" ht="15" hidden="false" customHeight="false" outlineLevel="0" collapsed="false">
      <c r="L4500" s="37" t="str">
        <f aca="false">IF(C4500="","",IF(C4500&lt;=5,"Night (00-05)",IF(C4500&lt;=11,"Morning (06-11)",IF(C4500&lt;=16,"Afternoon (12-16)",IF(C4500&lt;=20,"Evening (17-20)","Late (21-23)")))))</f>
        <v/>
      </c>
    </row>
    <row r="4501" customFormat="false" ht="15" hidden="false" customHeight="false" outlineLevel="0" collapsed="false">
      <c r="L4501" s="37" t="str">
        <f aca="false">IF(C4501="","",IF(C4501&lt;=5,"Night (00-05)",IF(C4501&lt;=11,"Morning (06-11)",IF(C4501&lt;=16,"Afternoon (12-16)",IF(C4501&lt;=20,"Evening (17-20)","Late (21-23)")))))</f>
        <v/>
      </c>
    </row>
    <row r="4502" customFormat="false" ht="15" hidden="false" customHeight="false" outlineLevel="0" collapsed="false">
      <c r="L4502" s="37" t="str">
        <f aca="false">IF(C4502="","",IF(C4502&lt;=5,"Night (00-05)",IF(C4502&lt;=11,"Morning (06-11)",IF(C4502&lt;=16,"Afternoon (12-16)",IF(C4502&lt;=20,"Evening (17-20)","Late (21-23)")))))</f>
        <v/>
      </c>
    </row>
    <row r="4503" customFormat="false" ht="15" hidden="false" customHeight="false" outlineLevel="0" collapsed="false">
      <c r="L4503" s="37" t="str">
        <f aca="false">IF(C4503="","",IF(C4503&lt;=5,"Night (00-05)",IF(C4503&lt;=11,"Morning (06-11)",IF(C4503&lt;=16,"Afternoon (12-16)",IF(C4503&lt;=20,"Evening (17-20)","Late (21-23)")))))</f>
        <v/>
      </c>
    </row>
    <row r="4504" customFormat="false" ht="15" hidden="false" customHeight="false" outlineLevel="0" collapsed="false">
      <c r="L4504" s="37" t="str">
        <f aca="false">IF(C4504="","",IF(C4504&lt;=5,"Night (00-05)",IF(C4504&lt;=11,"Morning (06-11)",IF(C4504&lt;=16,"Afternoon (12-16)",IF(C4504&lt;=20,"Evening (17-20)","Late (21-23)")))))</f>
        <v/>
      </c>
    </row>
    <row r="4505" customFormat="false" ht="15" hidden="false" customHeight="false" outlineLevel="0" collapsed="false">
      <c r="L4505" s="37" t="str">
        <f aca="false">IF(C4505="","",IF(C4505&lt;=5,"Night (00-05)",IF(C4505&lt;=11,"Morning (06-11)",IF(C4505&lt;=16,"Afternoon (12-16)",IF(C4505&lt;=20,"Evening (17-20)","Late (21-23)")))))</f>
        <v/>
      </c>
    </row>
    <row r="4506" customFormat="false" ht="15" hidden="false" customHeight="false" outlineLevel="0" collapsed="false">
      <c r="L4506" s="37" t="str">
        <f aca="false">IF(C4506="","",IF(C4506&lt;=5,"Night (00-05)",IF(C4506&lt;=11,"Morning (06-11)",IF(C4506&lt;=16,"Afternoon (12-16)",IF(C4506&lt;=20,"Evening (17-20)","Late (21-23)")))))</f>
        <v/>
      </c>
    </row>
    <row r="4507" customFormat="false" ht="15" hidden="false" customHeight="false" outlineLevel="0" collapsed="false">
      <c r="L4507" s="37" t="str">
        <f aca="false">IF(C4507="","",IF(C4507&lt;=5,"Night (00-05)",IF(C4507&lt;=11,"Morning (06-11)",IF(C4507&lt;=16,"Afternoon (12-16)",IF(C4507&lt;=20,"Evening (17-20)","Late (21-23)")))))</f>
        <v/>
      </c>
    </row>
    <row r="4508" customFormat="false" ht="15" hidden="false" customHeight="false" outlineLevel="0" collapsed="false">
      <c r="L4508" s="37" t="str">
        <f aca="false">IF(C4508="","",IF(C4508&lt;=5,"Night (00-05)",IF(C4508&lt;=11,"Morning (06-11)",IF(C4508&lt;=16,"Afternoon (12-16)",IF(C4508&lt;=20,"Evening (17-20)","Late (21-23)")))))</f>
        <v/>
      </c>
    </row>
    <row r="4509" customFormat="false" ht="15" hidden="false" customHeight="false" outlineLevel="0" collapsed="false">
      <c r="L4509" s="37" t="str">
        <f aca="false">IF(C4509="","",IF(C4509&lt;=5,"Night (00-05)",IF(C4509&lt;=11,"Morning (06-11)",IF(C4509&lt;=16,"Afternoon (12-16)",IF(C4509&lt;=20,"Evening (17-20)","Late (21-23)")))))</f>
        <v/>
      </c>
    </row>
    <row r="4510" customFormat="false" ht="15" hidden="false" customHeight="false" outlineLevel="0" collapsed="false">
      <c r="L4510" s="37" t="str">
        <f aca="false">IF(C4510="","",IF(C4510&lt;=5,"Night (00-05)",IF(C4510&lt;=11,"Morning (06-11)",IF(C4510&lt;=16,"Afternoon (12-16)",IF(C4510&lt;=20,"Evening (17-20)","Late (21-23)")))))</f>
        <v/>
      </c>
    </row>
    <row r="4511" customFormat="false" ht="15" hidden="false" customHeight="false" outlineLevel="0" collapsed="false">
      <c r="L4511" s="37" t="str">
        <f aca="false">IF(C4511="","",IF(C4511&lt;=5,"Night (00-05)",IF(C4511&lt;=11,"Morning (06-11)",IF(C4511&lt;=16,"Afternoon (12-16)",IF(C4511&lt;=20,"Evening (17-20)","Late (21-23)")))))</f>
        <v/>
      </c>
    </row>
    <row r="4512" customFormat="false" ht="15" hidden="false" customHeight="false" outlineLevel="0" collapsed="false">
      <c r="L4512" s="37" t="str">
        <f aca="false">IF(C4512="","",IF(C4512&lt;=5,"Night (00-05)",IF(C4512&lt;=11,"Morning (06-11)",IF(C4512&lt;=16,"Afternoon (12-16)",IF(C4512&lt;=20,"Evening (17-20)","Late (21-23)")))))</f>
        <v/>
      </c>
    </row>
    <row r="4513" customFormat="false" ht="15" hidden="false" customHeight="false" outlineLevel="0" collapsed="false">
      <c r="L4513" s="37" t="str">
        <f aca="false">IF(C4513="","",IF(C4513&lt;=5,"Night (00-05)",IF(C4513&lt;=11,"Morning (06-11)",IF(C4513&lt;=16,"Afternoon (12-16)",IF(C4513&lt;=20,"Evening (17-20)","Late (21-23)")))))</f>
        <v/>
      </c>
    </row>
    <row r="4514" customFormat="false" ht="15" hidden="false" customHeight="false" outlineLevel="0" collapsed="false">
      <c r="L4514" s="37" t="str">
        <f aca="false">IF(C4514="","",IF(C4514&lt;=5,"Night (00-05)",IF(C4514&lt;=11,"Morning (06-11)",IF(C4514&lt;=16,"Afternoon (12-16)",IF(C4514&lt;=20,"Evening (17-20)","Late (21-23)")))))</f>
        <v/>
      </c>
    </row>
    <row r="4515" customFormat="false" ht="15" hidden="false" customHeight="false" outlineLevel="0" collapsed="false">
      <c r="L4515" s="37" t="str">
        <f aca="false">IF(C4515="","",IF(C4515&lt;=5,"Night (00-05)",IF(C4515&lt;=11,"Morning (06-11)",IF(C4515&lt;=16,"Afternoon (12-16)",IF(C4515&lt;=20,"Evening (17-20)","Late (21-23)")))))</f>
        <v/>
      </c>
    </row>
    <row r="4516" customFormat="false" ht="15" hidden="false" customHeight="false" outlineLevel="0" collapsed="false">
      <c r="L4516" s="37" t="str">
        <f aca="false">IF(C4516="","",IF(C4516&lt;=5,"Night (00-05)",IF(C4516&lt;=11,"Morning (06-11)",IF(C4516&lt;=16,"Afternoon (12-16)",IF(C4516&lt;=20,"Evening (17-20)","Late (21-23)")))))</f>
        <v/>
      </c>
    </row>
    <row r="4517" customFormat="false" ht="15" hidden="false" customHeight="false" outlineLevel="0" collapsed="false">
      <c r="L4517" s="37" t="str">
        <f aca="false">IF(C4517="","",IF(C4517&lt;=5,"Night (00-05)",IF(C4517&lt;=11,"Morning (06-11)",IF(C4517&lt;=16,"Afternoon (12-16)",IF(C4517&lt;=20,"Evening (17-20)","Late (21-23)")))))</f>
        <v/>
      </c>
    </row>
    <row r="4518" customFormat="false" ht="15" hidden="false" customHeight="false" outlineLevel="0" collapsed="false">
      <c r="L4518" s="37" t="str">
        <f aca="false">IF(C4518="","",IF(C4518&lt;=5,"Night (00-05)",IF(C4518&lt;=11,"Morning (06-11)",IF(C4518&lt;=16,"Afternoon (12-16)",IF(C4518&lt;=20,"Evening (17-20)","Late (21-23)")))))</f>
        <v/>
      </c>
    </row>
    <row r="4519" customFormat="false" ht="15" hidden="false" customHeight="false" outlineLevel="0" collapsed="false">
      <c r="L4519" s="37" t="str">
        <f aca="false">IF(C4519="","",IF(C4519&lt;=5,"Night (00-05)",IF(C4519&lt;=11,"Morning (06-11)",IF(C4519&lt;=16,"Afternoon (12-16)",IF(C4519&lt;=20,"Evening (17-20)","Late (21-23)")))))</f>
        <v/>
      </c>
    </row>
    <row r="4520" customFormat="false" ht="15" hidden="false" customHeight="false" outlineLevel="0" collapsed="false">
      <c r="L4520" s="37" t="str">
        <f aca="false">IF(C4520="","",IF(C4520&lt;=5,"Night (00-05)",IF(C4520&lt;=11,"Morning (06-11)",IF(C4520&lt;=16,"Afternoon (12-16)",IF(C4520&lt;=20,"Evening (17-20)","Late (21-23)")))))</f>
        <v/>
      </c>
    </row>
    <row r="4521" customFormat="false" ht="15" hidden="false" customHeight="false" outlineLevel="0" collapsed="false">
      <c r="L4521" s="37" t="str">
        <f aca="false">IF(C4521="","",IF(C4521&lt;=5,"Night (00-05)",IF(C4521&lt;=11,"Morning (06-11)",IF(C4521&lt;=16,"Afternoon (12-16)",IF(C4521&lt;=20,"Evening (17-20)","Late (21-23)")))))</f>
        <v/>
      </c>
    </row>
    <row r="4522" customFormat="false" ht="15" hidden="false" customHeight="false" outlineLevel="0" collapsed="false">
      <c r="L4522" s="37" t="str">
        <f aca="false">IF(C4522="","",IF(C4522&lt;=5,"Night (00-05)",IF(C4522&lt;=11,"Morning (06-11)",IF(C4522&lt;=16,"Afternoon (12-16)",IF(C4522&lt;=20,"Evening (17-20)","Late (21-23)")))))</f>
        <v/>
      </c>
    </row>
    <row r="4523" customFormat="false" ht="15" hidden="false" customHeight="false" outlineLevel="0" collapsed="false">
      <c r="L4523" s="37" t="str">
        <f aca="false">IF(C4523="","",IF(C4523&lt;=5,"Night (00-05)",IF(C4523&lt;=11,"Morning (06-11)",IF(C4523&lt;=16,"Afternoon (12-16)",IF(C4523&lt;=20,"Evening (17-20)","Late (21-23)")))))</f>
        <v/>
      </c>
    </row>
    <row r="4524" customFormat="false" ht="15" hidden="false" customHeight="false" outlineLevel="0" collapsed="false">
      <c r="L4524" s="37" t="str">
        <f aca="false">IF(C4524="","",IF(C4524&lt;=5,"Night (00-05)",IF(C4524&lt;=11,"Morning (06-11)",IF(C4524&lt;=16,"Afternoon (12-16)",IF(C4524&lt;=20,"Evening (17-20)","Late (21-23)")))))</f>
        <v/>
      </c>
    </row>
    <row r="4525" customFormat="false" ht="15" hidden="false" customHeight="false" outlineLevel="0" collapsed="false">
      <c r="L4525" s="37" t="str">
        <f aca="false">IF(C4525="","",IF(C4525&lt;=5,"Night (00-05)",IF(C4525&lt;=11,"Morning (06-11)",IF(C4525&lt;=16,"Afternoon (12-16)",IF(C4525&lt;=20,"Evening (17-20)","Late (21-23)")))))</f>
        <v/>
      </c>
    </row>
    <row r="4526" customFormat="false" ht="15" hidden="false" customHeight="false" outlineLevel="0" collapsed="false">
      <c r="L4526" s="37" t="str">
        <f aca="false">IF(C4526="","",IF(C4526&lt;=5,"Night (00-05)",IF(C4526&lt;=11,"Morning (06-11)",IF(C4526&lt;=16,"Afternoon (12-16)",IF(C4526&lt;=20,"Evening (17-20)","Late (21-23)")))))</f>
        <v/>
      </c>
    </row>
    <row r="4527" customFormat="false" ht="15" hidden="false" customHeight="false" outlineLevel="0" collapsed="false">
      <c r="L4527" s="37" t="str">
        <f aca="false">IF(C4527="","",IF(C4527&lt;=5,"Night (00-05)",IF(C4527&lt;=11,"Morning (06-11)",IF(C4527&lt;=16,"Afternoon (12-16)",IF(C4527&lt;=20,"Evening (17-20)","Late (21-23)")))))</f>
        <v/>
      </c>
    </row>
    <row r="4528" customFormat="false" ht="15" hidden="false" customHeight="false" outlineLevel="0" collapsed="false">
      <c r="L4528" s="37" t="str">
        <f aca="false">IF(C4528="","",IF(C4528&lt;=5,"Night (00-05)",IF(C4528&lt;=11,"Morning (06-11)",IF(C4528&lt;=16,"Afternoon (12-16)",IF(C4528&lt;=20,"Evening (17-20)","Late (21-23)")))))</f>
        <v/>
      </c>
    </row>
    <row r="4529" customFormat="false" ht="15" hidden="false" customHeight="false" outlineLevel="0" collapsed="false">
      <c r="L4529" s="37" t="str">
        <f aca="false">IF(C4529="","",IF(C4529&lt;=5,"Night (00-05)",IF(C4529&lt;=11,"Morning (06-11)",IF(C4529&lt;=16,"Afternoon (12-16)",IF(C4529&lt;=20,"Evening (17-20)","Late (21-23)")))))</f>
        <v/>
      </c>
    </row>
    <row r="4530" customFormat="false" ht="15" hidden="false" customHeight="false" outlineLevel="0" collapsed="false">
      <c r="L4530" s="37" t="str">
        <f aca="false">IF(C4530="","",IF(C4530&lt;=5,"Night (00-05)",IF(C4530&lt;=11,"Morning (06-11)",IF(C4530&lt;=16,"Afternoon (12-16)",IF(C4530&lt;=20,"Evening (17-20)","Late (21-23)")))))</f>
        <v/>
      </c>
    </row>
    <row r="4531" customFormat="false" ht="15" hidden="false" customHeight="false" outlineLevel="0" collapsed="false">
      <c r="L4531" s="37" t="str">
        <f aca="false">IF(C4531="","",IF(C4531&lt;=5,"Night (00-05)",IF(C4531&lt;=11,"Morning (06-11)",IF(C4531&lt;=16,"Afternoon (12-16)",IF(C4531&lt;=20,"Evening (17-20)","Late (21-23)")))))</f>
        <v/>
      </c>
    </row>
    <row r="4532" customFormat="false" ht="15" hidden="false" customHeight="false" outlineLevel="0" collapsed="false">
      <c r="L4532" s="37" t="str">
        <f aca="false">IF(C4532="","",IF(C4532&lt;=5,"Night (00-05)",IF(C4532&lt;=11,"Morning (06-11)",IF(C4532&lt;=16,"Afternoon (12-16)",IF(C4532&lt;=20,"Evening (17-20)","Late (21-23)")))))</f>
        <v/>
      </c>
    </row>
    <row r="4533" customFormat="false" ht="15" hidden="false" customHeight="false" outlineLevel="0" collapsed="false">
      <c r="L4533" s="37" t="str">
        <f aca="false">IF(C4533="","",IF(C4533&lt;=5,"Night (00-05)",IF(C4533&lt;=11,"Morning (06-11)",IF(C4533&lt;=16,"Afternoon (12-16)",IF(C4533&lt;=20,"Evening (17-20)","Late (21-23)")))))</f>
        <v/>
      </c>
    </row>
    <row r="4534" customFormat="false" ht="15" hidden="false" customHeight="false" outlineLevel="0" collapsed="false">
      <c r="L4534" s="37" t="str">
        <f aca="false">IF(C4534="","",IF(C4534&lt;=5,"Night (00-05)",IF(C4534&lt;=11,"Morning (06-11)",IF(C4534&lt;=16,"Afternoon (12-16)",IF(C4534&lt;=20,"Evening (17-20)","Late (21-23)")))))</f>
        <v/>
      </c>
    </row>
    <row r="4535" customFormat="false" ht="15" hidden="false" customHeight="false" outlineLevel="0" collapsed="false">
      <c r="L4535" s="37" t="str">
        <f aca="false">IF(C4535="","",IF(C4535&lt;=5,"Night (00-05)",IF(C4535&lt;=11,"Morning (06-11)",IF(C4535&lt;=16,"Afternoon (12-16)",IF(C4535&lt;=20,"Evening (17-20)","Late (21-23)")))))</f>
        <v/>
      </c>
    </row>
    <row r="4536" customFormat="false" ht="15" hidden="false" customHeight="false" outlineLevel="0" collapsed="false">
      <c r="L4536" s="37" t="str">
        <f aca="false">IF(C4536="","",IF(C4536&lt;=5,"Night (00-05)",IF(C4536&lt;=11,"Morning (06-11)",IF(C4536&lt;=16,"Afternoon (12-16)",IF(C4536&lt;=20,"Evening (17-20)","Late (21-23)")))))</f>
        <v/>
      </c>
    </row>
    <row r="4537" customFormat="false" ht="15" hidden="false" customHeight="false" outlineLevel="0" collapsed="false">
      <c r="L4537" s="37" t="str">
        <f aca="false">IF(C4537="","",IF(C4537&lt;=5,"Night (00-05)",IF(C4537&lt;=11,"Morning (06-11)",IF(C4537&lt;=16,"Afternoon (12-16)",IF(C4537&lt;=20,"Evening (17-20)","Late (21-23)")))))</f>
        <v/>
      </c>
    </row>
    <row r="4538" customFormat="false" ht="15" hidden="false" customHeight="false" outlineLevel="0" collapsed="false">
      <c r="L4538" s="37" t="str">
        <f aca="false">IF(C4538="","",IF(C4538&lt;=5,"Night (00-05)",IF(C4538&lt;=11,"Morning (06-11)",IF(C4538&lt;=16,"Afternoon (12-16)",IF(C4538&lt;=20,"Evening (17-20)","Late (21-23)")))))</f>
        <v/>
      </c>
    </row>
    <row r="4539" customFormat="false" ht="15" hidden="false" customHeight="false" outlineLevel="0" collapsed="false">
      <c r="L4539" s="37" t="str">
        <f aca="false">IF(C4539="","",IF(C4539&lt;=5,"Night (00-05)",IF(C4539&lt;=11,"Morning (06-11)",IF(C4539&lt;=16,"Afternoon (12-16)",IF(C4539&lt;=20,"Evening (17-20)","Late (21-23)")))))</f>
        <v/>
      </c>
    </row>
    <row r="4540" customFormat="false" ht="15" hidden="false" customHeight="false" outlineLevel="0" collapsed="false">
      <c r="L4540" s="37" t="str">
        <f aca="false">IF(C4540="","",IF(C4540&lt;=5,"Night (00-05)",IF(C4540&lt;=11,"Morning (06-11)",IF(C4540&lt;=16,"Afternoon (12-16)",IF(C4540&lt;=20,"Evening (17-20)","Late (21-23)")))))</f>
        <v/>
      </c>
    </row>
    <row r="4541" customFormat="false" ht="15" hidden="false" customHeight="false" outlineLevel="0" collapsed="false">
      <c r="L4541" s="37" t="str">
        <f aca="false">IF(C4541="","",IF(C4541&lt;=5,"Night (00-05)",IF(C4541&lt;=11,"Morning (06-11)",IF(C4541&lt;=16,"Afternoon (12-16)",IF(C4541&lt;=20,"Evening (17-20)","Late (21-23)")))))</f>
        <v/>
      </c>
    </row>
    <row r="4542" customFormat="false" ht="15" hidden="false" customHeight="false" outlineLevel="0" collapsed="false">
      <c r="L4542" s="37" t="str">
        <f aca="false">IF(C4542="","",IF(C4542&lt;=5,"Night (00-05)",IF(C4542&lt;=11,"Morning (06-11)",IF(C4542&lt;=16,"Afternoon (12-16)",IF(C4542&lt;=20,"Evening (17-20)","Late (21-23)")))))</f>
        <v/>
      </c>
    </row>
    <row r="4543" customFormat="false" ht="15" hidden="false" customHeight="false" outlineLevel="0" collapsed="false">
      <c r="L4543" s="37" t="str">
        <f aca="false">IF(C4543="","",IF(C4543&lt;=5,"Night (00-05)",IF(C4543&lt;=11,"Morning (06-11)",IF(C4543&lt;=16,"Afternoon (12-16)",IF(C4543&lt;=20,"Evening (17-20)","Late (21-23)")))))</f>
        <v/>
      </c>
    </row>
    <row r="4544" customFormat="false" ht="15" hidden="false" customHeight="false" outlineLevel="0" collapsed="false">
      <c r="L4544" s="37" t="str">
        <f aca="false">IF(C4544="","",IF(C4544&lt;=5,"Night (00-05)",IF(C4544&lt;=11,"Morning (06-11)",IF(C4544&lt;=16,"Afternoon (12-16)",IF(C4544&lt;=20,"Evening (17-20)","Late (21-23)")))))</f>
        <v/>
      </c>
    </row>
    <row r="4545" customFormat="false" ht="15" hidden="false" customHeight="false" outlineLevel="0" collapsed="false">
      <c r="L4545" s="37" t="str">
        <f aca="false">IF(C4545="","",IF(C4545&lt;=5,"Night (00-05)",IF(C4545&lt;=11,"Morning (06-11)",IF(C4545&lt;=16,"Afternoon (12-16)",IF(C4545&lt;=20,"Evening (17-20)","Late (21-23)")))))</f>
        <v/>
      </c>
    </row>
    <row r="4546" customFormat="false" ht="15" hidden="false" customHeight="false" outlineLevel="0" collapsed="false">
      <c r="L4546" s="37" t="str">
        <f aca="false">IF(C4546="","",IF(C4546&lt;=5,"Night (00-05)",IF(C4546&lt;=11,"Morning (06-11)",IF(C4546&lt;=16,"Afternoon (12-16)",IF(C4546&lt;=20,"Evening (17-20)","Late (21-23)")))))</f>
        <v/>
      </c>
    </row>
    <row r="4547" customFormat="false" ht="15" hidden="false" customHeight="false" outlineLevel="0" collapsed="false">
      <c r="L4547" s="37" t="str">
        <f aca="false">IF(C4547="","",IF(C4547&lt;=5,"Night (00-05)",IF(C4547&lt;=11,"Morning (06-11)",IF(C4547&lt;=16,"Afternoon (12-16)",IF(C4547&lt;=20,"Evening (17-20)","Late (21-23)")))))</f>
        <v/>
      </c>
    </row>
    <row r="4548" customFormat="false" ht="15" hidden="false" customHeight="false" outlineLevel="0" collapsed="false">
      <c r="L4548" s="37" t="str">
        <f aca="false">IF(C4548="","",IF(C4548&lt;=5,"Night (00-05)",IF(C4548&lt;=11,"Morning (06-11)",IF(C4548&lt;=16,"Afternoon (12-16)",IF(C4548&lt;=20,"Evening (17-20)","Late (21-23)")))))</f>
        <v/>
      </c>
    </row>
    <row r="4549" customFormat="false" ht="15" hidden="false" customHeight="false" outlineLevel="0" collapsed="false">
      <c r="L4549" s="37" t="str">
        <f aca="false">IF(C4549="","",IF(C4549&lt;=5,"Night (00-05)",IF(C4549&lt;=11,"Morning (06-11)",IF(C4549&lt;=16,"Afternoon (12-16)",IF(C4549&lt;=20,"Evening (17-20)","Late (21-23)")))))</f>
        <v/>
      </c>
    </row>
    <row r="4550" customFormat="false" ht="15" hidden="false" customHeight="false" outlineLevel="0" collapsed="false">
      <c r="L4550" s="37" t="str">
        <f aca="false">IF(C4550="","",IF(C4550&lt;=5,"Night (00-05)",IF(C4550&lt;=11,"Morning (06-11)",IF(C4550&lt;=16,"Afternoon (12-16)",IF(C4550&lt;=20,"Evening (17-20)","Late (21-23)")))))</f>
        <v/>
      </c>
    </row>
    <row r="4551" customFormat="false" ht="15" hidden="false" customHeight="false" outlineLevel="0" collapsed="false">
      <c r="L4551" s="37" t="str">
        <f aca="false">IF(C4551="","",IF(C4551&lt;=5,"Night (00-05)",IF(C4551&lt;=11,"Morning (06-11)",IF(C4551&lt;=16,"Afternoon (12-16)",IF(C4551&lt;=20,"Evening (17-20)","Late (21-23)")))))</f>
        <v/>
      </c>
    </row>
    <row r="4552" customFormat="false" ht="15" hidden="false" customHeight="false" outlineLevel="0" collapsed="false">
      <c r="L4552" s="37" t="str">
        <f aca="false">IF(C4552="","",IF(C4552&lt;=5,"Night (00-05)",IF(C4552&lt;=11,"Morning (06-11)",IF(C4552&lt;=16,"Afternoon (12-16)",IF(C4552&lt;=20,"Evening (17-20)","Late (21-23)")))))</f>
        <v/>
      </c>
    </row>
    <row r="4553" customFormat="false" ht="15" hidden="false" customHeight="false" outlineLevel="0" collapsed="false">
      <c r="L4553" s="37" t="str">
        <f aca="false">IF(C4553="","",IF(C4553&lt;=5,"Night (00-05)",IF(C4553&lt;=11,"Morning (06-11)",IF(C4553&lt;=16,"Afternoon (12-16)",IF(C4553&lt;=20,"Evening (17-20)","Late (21-23)")))))</f>
        <v/>
      </c>
    </row>
    <row r="4554" customFormat="false" ht="15" hidden="false" customHeight="false" outlineLevel="0" collapsed="false">
      <c r="L4554" s="37" t="str">
        <f aca="false">IF(C4554="","",IF(C4554&lt;=5,"Night (00-05)",IF(C4554&lt;=11,"Morning (06-11)",IF(C4554&lt;=16,"Afternoon (12-16)",IF(C4554&lt;=20,"Evening (17-20)","Late (21-23)")))))</f>
        <v/>
      </c>
    </row>
    <row r="4555" customFormat="false" ht="15" hidden="false" customHeight="false" outlineLevel="0" collapsed="false">
      <c r="L4555" s="37" t="str">
        <f aca="false">IF(C4555="","",IF(C4555&lt;=5,"Night (00-05)",IF(C4555&lt;=11,"Morning (06-11)",IF(C4555&lt;=16,"Afternoon (12-16)",IF(C4555&lt;=20,"Evening (17-20)","Late (21-23)")))))</f>
        <v/>
      </c>
    </row>
    <row r="4556" customFormat="false" ht="15" hidden="false" customHeight="false" outlineLevel="0" collapsed="false">
      <c r="L4556" s="37" t="str">
        <f aca="false">IF(C4556="","",IF(C4556&lt;=5,"Night (00-05)",IF(C4556&lt;=11,"Morning (06-11)",IF(C4556&lt;=16,"Afternoon (12-16)",IF(C4556&lt;=20,"Evening (17-20)","Late (21-23)")))))</f>
        <v/>
      </c>
    </row>
    <row r="4557" customFormat="false" ht="15" hidden="false" customHeight="false" outlineLevel="0" collapsed="false">
      <c r="L4557" s="37" t="str">
        <f aca="false">IF(C4557="","",IF(C4557&lt;=5,"Night (00-05)",IF(C4557&lt;=11,"Morning (06-11)",IF(C4557&lt;=16,"Afternoon (12-16)",IF(C4557&lt;=20,"Evening (17-20)","Late (21-23)")))))</f>
        <v/>
      </c>
    </row>
    <row r="4558" customFormat="false" ht="15" hidden="false" customHeight="false" outlineLevel="0" collapsed="false">
      <c r="L4558" s="37" t="str">
        <f aca="false">IF(C4558="","",IF(C4558&lt;=5,"Night (00-05)",IF(C4558&lt;=11,"Morning (06-11)",IF(C4558&lt;=16,"Afternoon (12-16)",IF(C4558&lt;=20,"Evening (17-20)","Late (21-23)")))))</f>
        <v/>
      </c>
    </row>
    <row r="4559" customFormat="false" ht="15" hidden="false" customHeight="false" outlineLevel="0" collapsed="false">
      <c r="L4559" s="37" t="str">
        <f aca="false">IF(C4559="","",IF(C4559&lt;=5,"Night (00-05)",IF(C4559&lt;=11,"Morning (06-11)",IF(C4559&lt;=16,"Afternoon (12-16)",IF(C4559&lt;=20,"Evening (17-20)","Late (21-23)")))))</f>
        <v/>
      </c>
    </row>
    <row r="4560" customFormat="false" ht="15" hidden="false" customHeight="false" outlineLevel="0" collapsed="false">
      <c r="L4560" s="37" t="str">
        <f aca="false">IF(C4560="","",IF(C4560&lt;=5,"Night (00-05)",IF(C4560&lt;=11,"Morning (06-11)",IF(C4560&lt;=16,"Afternoon (12-16)",IF(C4560&lt;=20,"Evening (17-20)","Late (21-23)")))))</f>
        <v/>
      </c>
    </row>
    <row r="4561" customFormat="false" ht="15" hidden="false" customHeight="false" outlineLevel="0" collapsed="false">
      <c r="L4561" s="37" t="str">
        <f aca="false">IF(C4561="","",IF(C4561&lt;=5,"Night (00-05)",IF(C4561&lt;=11,"Morning (06-11)",IF(C4561&lt;=16,"Afternoon (12-16)",IF(C4561&lt;=20,"Evening (17-20)","Late (21-23)")))))</f>
        <v/>
      </c>
    </row>
    <row r="4562" customFormat="false" ht="15" hidden="false" customHeight="false" outlineLevel="0" collapsed="false">
      <c r="L4562" s="37" t="str">
        <f aca="false">IF(C4562="","",IF(C4562&lt;=5,"Night (00-05)",IF(C4562&lt;=11,"Morning (06-11)",IF(C4562&lt;=16,"Afternoon (12-16)",IF(C4562&lt;=20,"Evening (17-20)","Late (21-23)")))))</f>
        <v/>
      </c>
    </row>
    <row r="4563" customFormat="false" ht="15" hidden="false" customHeight="false" outlineLevel="0" collapsed="false">
      <c r="L4563" s="37" t="str">
        <f aca="false">IF(C4563="","",IF(C4563&lt;=5,"Night (00-05)",IF(C4563&lt;=11,"Morning (06-11)",IF(C4563&lt;=16,"Afternoon (12-16)",IF(C4563&lt;=20,"Evening (17-20)","Late (21-23)")))))</f>
        <v/>
      </c>
    </row>
    <row r="4564" customFormat="false" ht="15" hidden="false" customHeight="false" outlineLevel="0" collapsed="false">
      <c r="L4564" s="37" t="str">
        <f aca="false">IF(C4564="","",IF(C4564&lt;=5,"Night (00-05)",IF(C4564&lt;=11,"Morning (06-11)",IF(C4564&lt;=16,"Afternoon (12-16)",IF(C4564&lt;=20,"Evening (17-20)","Late (21-23)")))))</f>
        <v/>
      </c>
    </row>
    <row r="4565" customFormat="false" ht="15" hidden="false" customHeight="false" outlineLevel="0" collapsed="false">
      <c r="L4565" s="37" t="str">
        <f aca="false">IF(C4565="","",IF(C4565&lt;=5,"Night (00-05)",IF(C4565&lt;=11,"Morning (06-11)",IF(C4565&lt;=16,"Afternoon (12-16)",IF(C4565&lt;=20,"Evening (17-20)","Late (21-23)")))))</f>
        <v/>
      </c>
    </row>
    <row r="4566" customFormat="false" ht="15" hidden="false" customHeight="false" outlineLevel="0" collapsed="false">
      <c r="L4566" s="37" t="str">
        <f aca="false">IF(C4566="","",IF(C4566&lt;=5,"Night (00-05)",IF(C4566&lt;=11,"Morning (06-11)",IF(C4566&lt;=16,"Afternoon (12-16)",IF(C4566&lt;=20,"Evening (17-20)","Late (21-23)")))))</f>
        <v/>
      </c>
    </row>
    <row r="4567" customFormat="false" ht="15" hidden="false" customHeight="false" outlineLevel="0" collapsed="false">
      <c r="L4567" s="37" t="str">
        <f aca="false">IF(C4567="","",IF(C4567&lt;=5,"Night (00-05)",IF(C4567&lt;=11,"Morning (06-11)",IF(C4567&lt;=16,"Afternoon (12-16)",IF(C4567&lt;=20,"Evening (17-20)","Late (21-23)")))))</f>
        <v/>
      </c>
    </row>
    <row r="4568" customFormat="false" ht="15" hidden="false" customHeight="false" outlineLevel="0" collapsed="false">
      <c r="L4568" s="37" t="str">
        <f aca="false">IF(C4568="","",IF(C4568&lt;=5,"Night (00-05)",IF(C4568&lt;=11,"Morning (06-11)",IF(C4568&lt;=16,"Afternoon (12-16)",IF(C4568&lt;=20,"Evening (17-20)","Late (21-23)")))))</f>
        <v/>
      </c>
    </row>
    <row r="4569" customFormat="false" ht="15" hidden="false" customHeight="false" outlineLevel="0" collapsed="false">
      <c r="L4569" s="37" t="str">
        <f aca="false">IF(C4569="","",IF(C4569&lt;=5,"Night (00-05)",IF(C4569&lt;=11,"Morning (06-11)",IF(C4569&lt;=16,"Afternoon (12-16)",IF(C4569&lt;=20,"Evening (17-20)","Late (21-23)")))))</f>
        <v/>
      </c>
    </row>
    <row r="4570" customFormat="false" ht="15" hidden="false" customHeight="false" outlineLevel="0" collapsed="false">
      <c r="L4570" s="37" t="str">
        <f aca="false">IF(C4570="","",IF(C4570&lt;=5,"Night (00-05)",IF(C4570&lt;=11,"Morning (06-11)",IF(C4570&lt;=16,"Afternoon (12-16)",IF(C4570&lt;=20,"Evening (17-20)","Late (21-23)")))))</f>
        <v/>
      </c>
    </row>
    <row r="4571" customFormat="false" ht="15" hidden="false" customHeight="false" outlineLevel="0" collapsed="false">
      <c r="L4571" s="37" t="str">
        <f aca="false">IF(C4571="","",IF(C4571&lt;=5,"Night (00-05)",IF(C4571&lt;=11,"Morning (06-11)",IF(C4571&lt;=16,"Afternoon (12-16)",IF(C4571&lt;=20,"Evening (17-20)","Late (21-23)")))))</f>
        <v/>
      </c>
    </row>
    <row r="4572" customFormat="false" ht="15" hidden="false" customHeight="false" outlineLevel="0" collapsed="false">
      <c r="L4572" s="37" t="str">
        <f aca="false">IF(C4572="","",IF(C4572&lt;=5,"Night (00-05)",IF(C4572&lt;=11,"Morning (06-11)",IF(C4572&lt;=16,"Afternoon (12-16)",IF(C4572&lt;=20,"Evening (17-20)","Late (21-23)")))))</f>
        <v/>
      </c>
    </row>
    <row r="4573" customFormat="false" ht="15" hidden="false" customHeight="false" outlineLevel="0" collapsed="false">
      <c r="L4573" s="37" t="str">
        <f aca="false">IF(C4573="","",IF(C4573&lt;=5,"Night (00-05)",IF(C4573&lt;=11,"Morning (06-11)",IF(C4573&lt;=16,"Afternoon (12-16)",IF(C4573&lt;=20,"Evening (17-20)","Late (21-23)")))))</f>
        <v/>
      </c>
    </row>
    <row r="4574" customFormat="false" ht="15" hidden="false" customHeight="false" outlineLevel="0" collapsed="false">
      <c r="L4574" s="37" t="str">
        <f aca="false">IF(C4574="","",IF(C4574&lt;=5,"Night (00-05)",IF(C4574&lt;=11,"Morning (06-11)",IF(C4574&lt;=16,"Afternoon (12-16)",IF(C4574&lt;=20,"Evening (17-20)","Late (21-23)")))))</f>
        <v/>
      </c>
    </row>
    <row r="4575" customFormat="false" ht="15" hidden="false" customHeight="false" outlineLevel="0" collapsed="false">
      <c r="L4575" s="37" t="str">
        <f aca="false">IF(C4575="","",IF(C4575&lt;=5,"Night (00-05)",IF(C4575&lt;=11,"Morning (06-11)",IF(C4575&lt;=16,"Afternoon (12-16)",IF(C4575&lt;=20,"Evening (17-20)","Late (21-23)")))))</f>
        <v/>
      </c>
    </row>
    <row r="4576" customFormat="false" ht="15" hidden="false" customHeight="false" outlineLevel="0" collapsed="false">
      <c r="L4576" s="37" t="str">
        <f aca="false">IF(C4576="","",IF(C4576&lt;=5,"Night (00-05)",IF(C4576&lt;=11,"Morning (06-11)",IF(C4576&lt;=16,"Afternoon (12-16)",IF(C4576&lt;=20,"Evening (17-20)","Late (21-23)")))))</f>
        <v/>
      </c>
    </row>
    <row r="4577" customFormat="false" ht="15" hidden="false" customHeight="false" outlineLevel="0" collapsed="false">
      <c r="L4577" s="37" t="str">
        <f aca="false">IF(C4577="","",IF(C4577&lt;=5,"Night (00-05)",IF(C4577&lt;=11,"Morning (06-11)",IF(C4577&lt;=16,"Afternoon (12-16)",IF(C4577&lt;=20,"Evening (17-20)","Late (21-23)")))))</f>
        <v/>
      </c>
    </row>
    <row r="4578" customFormat="false" ht="15" hidden="false" customHeight="false" outlineLevel="0" collapsed="false">
      <c r="L4578" s="37" t="str">
        <f aca="false">IF(C4578="","",IF(C4578&lt;=5,"Night (00-05)",IF(C4578&lt;=11,"Morning (06-11)",IF(C4578&lt;=16,"Afternoon (12-16)",IF(C4578&lt;=20,"Evening (17-20)","Late (21-23)")))))</f>
        <v/>
      </c>
    </row>
    <row r="4579" customFormat="false" ht="15" hidden="false" customHeight="false" outlineLevel="0" collapsed="false">
      <c r="L4579" s="37" t="str">
        <f aca="false">IF(C4579="","",IF(C4579&lt;=5,"Night (00-05)",IF(C4579&lt;=11,"Morning (06-11)",IF(C4579&lt;=16,"Afternoon (12-16)",IF(C4579&lt;=20,"Evening (17-20)","Late (21-23)")))))</f>
        <v/>
      </c>
    </row>
    <row r="4580" customFormat="false" ht="15" hidden="false" customHeight="false" outlineLevel="0" collapsed="false">
      <c r="L4580" s="37" t="str">
        <f aca="false">IF(C4580="","",IF(C4580&lt;=5,"Night (00-05)",IF(C4580&lt;=11,"Morning (06-11)",IF(C4580&lt;=16,"Afternoon (12-16)",IF(C4580&lt;=20,"Evening (17-20)","Late (21-23)")))))</f>
        <v/>
      </c>
    </row>
    <row r="4581" customFormat="false" ht="15" hidden="false" customHeight="false" outlineLevel="0" collapsed="false">
      <c r="L4581" s="37" t="str">
        <f aca="false">IF(C4581="","",IF(C4581&lt;=5,"Night (00-05)",IF(C4581&lt;=11,"Morning (06-11)",IF(C4581&lt;=16,"Afternoon (12-16)",IF(C4581&lt;=20,"Evening (17-20)","Late (21-23)")))))</f>
        <v/>
      </c>
    </row>
    <row r="4582" customFormat="false" ht="15" hidden="false" customHeight="false" outlineLevel="0" collapsed="false">
      <c r="L4582" s="37" t="str">
        <f aca="false">IF(C4582="","",IF(C4582&lt;=5,"Night (00-05)",IF(C4582&lt;=11,"Morning (06-11)",IF(C4582&lt;=16,"Afternoon (12-16)",IF(C4582&lt;=20,"Evening (17-20)","Late (21-23)")))))</f>
        <v/>
      </c>
    </row>
    <row r="4583" customFormat="false" ht="15" hidden="false" customHeight="false" outlineLevel="0" collapsed="false">
      <c r="L4583" s="37" t="str">
        <f aca="false">IF(C4583="","",IF(C4583&lt;=5,"Night (00-05)",IF(C4583&lt;=11,"Morning (06-11)",IF(C4583&lt;=16,"Afternoon (12-16)",IF(C4583&lt;=20,"Evening (17-20)","Late (21-23)")))))</f>
        <v/>
      </c>
    </row>
    <row r="4584" customFormat="false" ht="15" hidden="false" customHeight="false" outlineLevel="0" collapsed="false">
      <c r="L4584" s="37" t="str">
        <f aca="false">IF(C4584="","",IF(C4584&lt;=5,"Night (00-05)",IF(C4584&lt;=11,"Morning (06-11)",IF(C4584&lt;=16,"Afternoon (12-16)",IF(C4584&lt;=20,"Evening (17-20)","Late (21-23)")))))</f>
        <v/>
      </c>
    </row>
    <row r="4585" customFormat="false" ht="15" hidden="false" customHeight="false" outlineLevel="0" collapsed="false">
      <c r="L4585" s="37" t="str">
        <f aca="false">IF(C4585="","",IF(C4585&lt;=5,"Night (00-05)",IF(C4585&lt;=11,"Morning (06-11)",IF(C4585&lt;=16,"Afternoon (12-16)",IF(C4585&lt;=20,"Evening (17-20)","Late (21-23)")))))</f>
        <v/>
      </c>
    </row>
    <row r="4586" customFormat="false" ht="15" hidden="false" customHeight="false" outlineLevel="0" collapsed="false">
      <c r="L4586" s="37" t="str">
        <f aca="false">IF(C4586="","",IF(C4586&lt;=5,"Night (00-05)",IF(C4586&lt;=11,"Morning (06-11)",IF(C4586&lt;=16,"Afternoon (12-16)",IF(C4586&lt;=20,"Evening (17-20)","Late (21-23)")))))</f>
        <v/>
      </c>
    </row>
    <row r="4587" customFormat="false" ht="15" hidden="false" customHeight="false" outlineLevel="0" collapsed="false">
      <c r="L4587" s="37" t="str">
        <f aca="false">IF(C4587="","",IF(C4587&lt;=5,"Night (00-05)",IF(C4587&lt;=11,"Morning (06-11)",IF(C4587&lt;=16,"Afternoon (12-16)",IF(C4587&lt;=20,"Evening (17-20)","Late (21-23)")))))</f>
        <v/>
      </c>
    </row>
    <row r="4588" customFormat="false" ht="15" hidden="false" customHeight="false" outlineLevel="0" collapsed="false">
      <c r="L4588" s="37" t="str">
        <f aca="false">IF(C4588="","",IF(C4588&lt;=5,"Night (00-05)",IF(C4588&lt;=11,"Morning (06-11)",IF(C4588&lt;=16,"Afternoon (12-16)",IF(C4588&lt;=20,"Evening (17-20)","Late (21-23)")))))</f>
        <v/>
      </c>
    </row>
    <row r="4589" customFormat="false" ht="15" hidden="false" customHeight="false" outlineLevel="0" collapsed="false">
      <c r="L4589" s="37" t="str">
        <f aca="false">IF(C4589="","",IF(C4589&lt;=5,"Night (00-05)",IF(C4589&lt;=11,"Morning (06-11)",IF(C4589&lt;=16,"Afternoon (12-16)",IF(C4589&lt;=20,"Evening (17-20)","Late (21-23)")))))</f>
        <v/>
      </c>
    </row>
    <row r="4590" customFormat="false" ht="15" hidden="false" customHeight="false" outlineLevel="0" collapsed="false">
      <c r="L4590" s="37" t="str">
        <f aca="false">IF(C4590="","",IF(C4590&lt;=5,"Night (00-05)",IF(C4590&lt;=11,"Morning (06-11)",IF(C4590&lt;=16,"Afternoon (12-16)",IF(C4590&lt;=20,"Evening (17-20)","Late (21-23)")))))</f>
        <v/>
      </c>
    </row>
    <row r="4591" customFormat="false" ht="15" hidden="false" customHeight="false" outlineLevel="0" collapsed="false">
      <c r="L4591" s="37" t="str">
        <f aca="false">IF(C4591="","",IF(C4591&lt;=5,"Night (00-05)",IF(C4591&lt;=11,"Morning (06-11)",IF(C4591&lt;=16,"Afternoon (12-16)",IF(C4591&lt;=20,"Evening (17-20)","Late (21-23)")))))</f>
        <v/>
      </c>
    </row>
    <row r="4592" customFormat="false" ht="15" hidden="false" customHeight="false" outlineLevel="0" collapsed="false">
      <c r="L4592" s="37" t="str">
        <f aca="false">IF(C4592="","",IF(C4592&lt;=5,"Night (00-05)",IF(C4592&lt;=11,"Morning (06-11)",IF(C4592&lt;=16,"Afternoon (12-16)",IF(C4592&lt;=20,"Evening (17-20)","Late (21-23)")))))</f>
        <v/>
      </c>
    </row>
    <row r="4593" customFormat="false" ht="15" hidden="false" customHeight="false" outlineLevel="0" collapsed="false">
      <c r="L4593" s="37" t="str">
        <f aca="false">IF(C4593="","",IF(C4593&lt;=5,"Night (00-05)",IF(C4593&lt;=11,"Morning (06-11)",IF(C4593&lt;=16,"Afternoon (12-16)",IF(C4593&lt;=20,"Evening (17-20)","Late (21-23)")))))</f>
        <v/>
      </c>
    </row>
    <row r="4594" customFormat="false" ht="15" hidden="false" customHeight="false" outlineLevel="0" collapsed="false">
      <c r="L4594" s="37" t="str">
        <f aca="false">IF(C4594="","",IF(C4594&lt;=5,"Night (00-05)",IF(C4594&lt;=11,"Morning (06-11)",IF(C4594&lt;=16,"Afternoon (12-16)",IF(C4594&lt;=20,"Evening (17-20)","Late (21-23)")))))</f>
        <v/>
      </c>
    </row>
    <row r="4595" customFormat="false" ht="15" hidden="false" customHeight="false" outlineLevel="0" collapsed="false">
      <c r="L4595" s="37" t="str">
        <f aca="false">IF(C4595="","",IF(C4595&lt;=5,"Night (00-05)",IF(C4595&lt;=11,"Morning (06-11)",IF(C4595&lt;=16,"Afternoon (12-16)",IF(C4595&lt;=20,"Evening (17-20)","Late (21-23)")))))</f>
        <v/>
      </c>
    </row>
    <row r="4596" customFormat="false" ht="15" hidden="false" customHeight="false" outlineLevel="0" collapsed="false">
      <c r="L4596" s="37" t="str">
        <f aca="false">IF(C4596="","",IF(C4596&lt;=5,"Night (00-05)",IF(C4596&lt;=11,"Morning (06-11)",IF(C4596&lt;=16,"Afternoon (12-16)",IF(C4596&lt;=20,"Evening (17-20)","Late (21-23)")))))</f>
        <v/>
      </c>
    </row>
    <row r="4597" customFormat="false" ht="15" hidden="false" customHeight="false" outlineLevel="0" collapsed="false">
      <c r="L4597" s="37" t="str">
        <f aca="false">IF(C4597="","",IF(C4597&lt;=5,"Night (00-05)",IF(C4597&lt;=11,"Morning (06-11)",IF(C4597&lt;=16,"Afternoon (12-16)",IF(C4597&lt;=20,"Evening (17-20)","Late (21-23)")))))</f>
        <v/>
      </c>
    </row>
    <row r="4598" customFormat="false" ht="15" hidden="false" customHeight="false" outlineLevel="0" collapsed="false">
      <c r="L4598" s="37" t="str">
        <f aca="false">IF(C4598="","",IF(C4598&lt;=5,"Night (00-05)",IF(C4598&lt;=11,"Morning (06-11)",IF(C4598&lt;=16,"Afternoon (12-16)",IF(C4598&lt;=20,"Evening (17-20)","Late (21-23)")))))</f>
        <v/>
      </c>
    </row>
    <row r="4599" customFormat="false" ht="15" hidden="false" customHeight="false" outlineLevel="0" collapsed="false">
      <c r="L4599" s="37" t="str">
        <f aca="false">IF(C4599="","",IF(C4599&lt;=5,"Night (00-05)",IF(C4599&lt;=11,"Morning (06-11)",IF(C4599&lt;=16,"Afternoon (12-16)",IF(C4599&lt;=20,"Evening (17-20)","Late (21-23)")))))</f>
        <v/>
      </c>
    </row>
    <row r="4600" customFormat="false" ht="15" hidden="false" customHeight="false" outlineLevel="0" collapsed="false">
      <c r="L4600" s="37" t="str">
        <f aca="false">IF(C4600="","",IF(C4600&lt;=5,"Night (00-05)",IF(C4600&lt;=11,"Morning (06-11)",IF(C4600&lt;=16,"Afternoon (12-16)",IF(C4600&lt;=20,"Evening (17-20)","Late (21-23)")))))</f>
        <v/>
      </c>
    </row>
    <row r="4601" customFormat="false" ht="15" hidden="false" customHeight="false" outlineLevel="0" collapsed="false">
      <c r="L4601" s="37" t="str">
        <f aca="false">IF(C4601="","",IF(C4601&lt;=5,"Night (00-05)",IF(C4601&lt;=11,"Morning (06-11)",IF(C4601&lt;=16,"Afternoon (12-16)",IF(C4601&lt;=20,"Evening (17-20)","Late (21-23)")))))</f>
        <v/>
      </c>
    </row>
    <row r="4602" customFormat="false" ht="15" hidden="false" customHeight="false" outlineLevel="0" collapsed="false">
      <c r="L4602" s="37" t="str">
        <f aca="false">IF(C4602="","",IF(C4602&lt;=5,"Night (00-05)",IF(C4602&lt;=11,"Morning (06-11)",IF(C4602&lt;=16,"Afternoon (12-16)",IF(C4602&lt;=20,"Evening (17-20)","Late (21-23)")))))</f>
        <v/>
      </c>
    </row>
    <row r="4603" customFormat="false" ht="15" hidden="false" customHeight="false" outlineLevel="0" collapsed="false">
      <c r="L4603" s="37" t="str">
        <f aca="false">IF(C4603="","",IF(C4603&lt;=5,"Night (00-05)",IF(C4603&lt;=11,"Morning (06-11)",IF(C4603&lt;=16,"Afternoon (12-16)",IF(C4603&lt;=20,"Evening (17-20)","Late (21-23)")))))</f>
        <v/>
      </c>
    </row>
    <row r="4604" customFormat="false" ht="15" hidden="false" customHeight="false" outlineLevel="0" collapsed="false">
      <c r="L4604" s="37" t="str">
        <f aca="false">IF(C4604="","",IF(C4604&lt;=5,"Night (00-05)",IF(C4604&lt;=11,"Morning (06-11)",IF(C4604&lt;=16,"Afternoon (12-16)",IF(C4604&lt;=20,"Evening (17-20)","Late (21-23)")))))</f>
        <v/>
      </c>
    </row>
    <row r="4605" customFormat="false" ht="15" hidden="false" customHeight="false" outlineLevel="0" collapsed="false">
      <c r="L4605" s="37" t="str">
        <f aca="false">IF(C4605="","",IF(C4605&lt;=5,"Night (00-05)",IF(C4605&lt;=11,"Morning (06-11)",IF(C4605&lt;=16,"Afternoon (12-16)",IF(C4605&lt;=20,"Evening (17-20)","Late (21-23)")))))</f>
        <v/>
      </c>
    </row>
    <row r="4606" customFormat="false" ht="15" hidden="false" customHeight="false" outlineLevel="0" collapsed="false">
      <c r="L4606" s="37" t="str">
        <f aca="false">IF(C4606="","",IF(C4606&lt;=5,"Night (00-05)",IF(C4606&lt;=11,"Morning (06-11)",IF(C4606&lt;=16,"Afternoon (12-16)",IF(C4606&lt;=20,"Evening (17-20)","Late (21-23)")))))</f>
        <v/>
      </c>
    </row>
    <row r="4607" customFormat="false" ht="15" hidden="false" customHeight="false" outlineLevel="0" collapsed="false">
      <c r="L4607" s="37" t="str">
        <f aca="false">IF(C4607="","",IF(C4607&lt;=5,"Night (00-05)",IF(C4607&lt;=11,"Morning (06-11)",IF(C4607&lt;=16,"Afternoon (12-16)",IF(C4607&lt;=20,"Evening (17-20)","Late (21-23)")))))</f>
        <v/>
      </c>
    </row>
    <row r="4608" customFormat="false" ht="15" hidden="false" customHeight="false" outlineLevel="0" collapsed="false">
      <c r="L4608" s="37" t="str">
        <f aca="false">IF(C4608="","",IF(C4608&lt;=5,"Night (00-05)",IF(C4608&lt;=11,"Morning (06-11)",IF(C4608&lt;=16,"Afternoon (12-16)",IF(C4608&lt;=20,"Evening (17-20)","Late (21-23)")))))</f>
        <v/>
      </c>
    </row>
    <row r="4609" customFormat="false" ht="15" hidden="false" customHeight="false" outlineLevel="0" collapsed="false">
      <c r="L4609" s="37" t="str">
        <f aca="false">IF(C4609="","",IF(C4609&lt;=5,"Night (00-05)",IF(C4609&lt;=11,"Morning (06-11)",IF(C4609&lt;=16,"Afternoon (12-16)",IF(C4609&lt;=20,"Evening (17-20)","Late (21-23)")))))</f>
        <v/>
      </c>
    </row>
    <row r="4610" customFormat="false" ht="15" hidden="false" customHeight="false" outlineLevel="0" collapsed="false">
      <c r="L4610" s="37" t="str">
        <f aca="false">IF(C4610="","",IF(C4610&lt;=5,"Night (00-05)",IF(C4610&lt;=11,"Morning (06-11)",IF(C4610&lt;=16,"Afternoon (12-16)",IF(C4610&lt;=20,"Evening (17-20)","Late (21-23)")))))</f>
        <v/>
      </c>
    </row>
    <row r="4611" customFormat="false" ht="15" hidden="false" customHeight="false" outlineLevel="0" collapsed="false">
      <c r="L4611" s="37" t="str">
        <f aca="false">IF(C4611="","",IF(C4611&lt;=5,"Night (00-05)",IF(C4611&lt;=11,"Morning (06-11)",IF(C4611&lt;=16,"Afternoon (12-16)",IF(C4611&lt;=20,"Evening (17-20)","Late (21-23)")))))</f>
        <v/>
      </c>
    </row>
    <row r="4612" customFormat="false" ht="15" hidden="false" customHeight="false" outlineLevel="0" collapsed="false">
      <c r="L4612" s="37" t="str">
        <f aca="false">IF(C4612="","",IF(C4612&lt;=5,"Night (00-05)",IF(C4612&lt;=11,"Morning (06-11)",IF(C4612&lt;=16,"Afternoon (12-16)",IF(C4612&lt;=20,"Evening (17-20)","Late (21-23)")))))</f>
        <v/>
      </c>
    </row>
    <row r="4613" customFormat="false" ht="15" hidden="false" customHeight="false" outlineLevel="0" collapsed="false">
      <c r="L4613" s="37" t="str">
        <f aca="false">IF(C4613="","",IF(C4613&lt;=5,"Night (00-05)",IF(C4613&lt;=11,"Morning (06-11)",IF(C4613&lt;=16,"Afternoon (12-16)",IF(C4613&lt;=20,"Evening (17-20)","Late (21-23)")))))</f>
        <v/>
      </c>
    </row>
    <row r="4614" customFormat="false" ht="15" hidden="false" customHeight="false" outlineLevel="0" collapsed="false">
      <c r="L4614" s="37" t="str">
        <f aca="false">IF(C4614="","",IF(C4614&lt;=5,"Night (00-05)",IF(C4614&lt;=11,"Morning (06-11)",IF(C4614&lt;=16,"Afternoon (12-16)",IF(C4614&lt;=20,"Evening (17-20)","Late (21-23)")))))</f>
        <v/>
      </c>
    </row>
    <row r="4615" customFormat="false" ht="15" hidden="false" customHeight="false" outlineLevel="0" collapsed="false">
      <c r="L4615" s="37" t="str">
        <f aca="false">IF(C4615="","",IF(C4615&lt;=5,"Night (00-05)",IF(C4615&lt;=11,"Morning (06-11)",IF(C4615&lt;=16,"Afternoon (12-16)",IF(C4615&lt;=20,"Evening (17-20)","Late (21-23)")))))</f>
        <v/>
      </c>
    </row>
    <row r="4616" customFormat="false" ht="15" hidden="false" customHeight="false" outlineLevel="0" collapsed="false">
      <c r="L4616" s="37" t="str">
        <f aca="false">IF(C4616="","",IF(C4616&lt;=5,"Night (00-05)",IF(C4616&lt;=11,"Morning (06-11)",IF(C4616&lt;=16,"Afternoon (12-16)",IF(C4616&lt;=20,"Evening (17-20)","Late (21-23)")))))</f>
        <v/>
      </c>
    </row>
    <row r="4617" customFormat="false" ht="15" hidden="false" customHeight="false" outlineLevel="0" collapsed="false">
      <c r="L4617" s="37" t="str">
        <f aca="false">IF(C4617="","",IF(C4617&lt;=5,"Night (00-05)",IF(C4617&lt;=11,"Morning (06-11)",IF(C4617&lt;=16,"Afternoon (12-16)",IF(C4617&lt;=20,"Evening (17-20)","Late (21-23)")))))</f>
        <v/>
      </c>
    </row>
    <row r="4618" customFormat="false" ht="15" hidden="false" customHeight="false" outlineLevel="0" collapsed="false">
      <c r="L4618" s="37" t="str">
        <f aca="false">IF(C4618="","",IF(C4618&lt;=5,"Night (00-05)",IF(C4618&lt;=11,"Morning (06-11)",IF(C4618&lt;=16,"Afternoon (12-16)",IF(C4618&lt;=20,"Evening (17-20)","Late (21-23)")))))</f>
        <v/>
      </c>
    </row>
    <row r="4619" customFormat="false" ht="15" hidden="false" customHeight="false" outlineLevel="0" collapsed="false">
      <c r="L4619" s="37" t="str">
        <f aca="false">IF(C4619="","",IF(C4619&lt;=5,"Night (00-05)",IF(C4619&lt;=11,"Morning (06-11)",IF(C4619&lt;=16,"Afternoon (12-16)",IF(C4619&lt;=20,"Evening (17-20)","Late (21-23)")))))</f>
        <v/>
      </c>
    </row>
    <row r="4620" customFormat="false" ht="15" hidden="false" customHeight="false" outlineLevel="0" collapsed="false">
      <c r="L4620" s="37" t="str">
        <f aca="false">IF(C4620="","",IF(C4620&lt;=5,"Night (00-05)",IF(C4620&lt;=11,"Morning (06-11)",IF(C4620&lt;=16,"Afternoon (12-16)",IF(C4620&lt;=20,"Evening (17-20)","Late (21-23)")))))</f>
        <v/>
      </c>
    </row>
    <row r="4621" customFormat="false" ht="15" hidden="false" customHeight="false" outlineLevel="0" collapsed="false">
      <c r="L4621" s="37" t="str">
        <f aca="false">IF(C4621="","",IF(C4621&lt;=5,"Night (00-05)",IF(C4621&lt;=11,"Morning (06-11)",IF(C4621&lt;=16,"Afternoon (12-16)",IF(C4621&lt;=20,"Evening (17-20)","Late (21-23)")))))</f>
        <v/>
      </c>
    </row>
    <row r="4622" customFormat="false" ht="15" hidden="false" customHeight="false" outlineLevel="0" collapsed="false">
      <c r="L4622" s="37" t="str">
        <f aca="false">IF(C4622="","",IF(C4622&lt;=5,"Night (00-05)",IF(C4622&lt;=11,"Morning (06-11)",IF(C4622&lt;=16,"Afternoon (12-16)",IF(C4622&lt;=20,"Evening (17-20)","Late (21-23)")))))</f>
        <v/>
      </c>
    </row>
    <row r="4623" customFormat="false" ht="15" hidden="false" customHeight="false" outlineLevel="0" collapsed="false">
      <c r="L4623" s="37" t="str">
        <f aca="false">IF(C4623="","",IF(C4623&lt;=5,"Night (00-05)",IF(C4623&lt;=11,"Morning (06-11)",IF(C4623&lt;=16,"Afternoon (12-16)",IF(C4623&lt;=20,"Evening (17-20)","Late (21-23)")))))</f>
        <v/>
      </c>
    </row>
    <row r="4624" customFormat="false" ht="15" hidden="false" customHeight="false" outlineLevel="0" collapsed="false">
      <c r="L4624" s="37" t="str">
        <f aca="false">IF(C4624="","",IF(C4624&lt;=5,"Night (00-05)",IF(C4624&lt;=11,"Morning (06-11)",IF(C4624&lt;=16,"Afternoon (12-16)",IF(C4624&lt;=20,"Evening (17-20)","Late (21-23)")))))</f>
        <v/>
      </c>
    </row>
    <row r="4625" customFormat="false" ht="15" hidden="false" customHeight="false" outlineLevel="0" collapsed="false">
      <c r="L4625" s="37" t="str">
        <f aca="false">IF(C4625="","",IF(C4625&lt;=5,"Night (00-05)",IF(C4625&lt;=11,"Morning (06-11)",IF(C4625&lt;=16,"Afternoon (12-16)",IF(C4625&lt;=20,"Evening (17-20)","Late (21-23)")))))</f>
        <v/>
      </c>
    </row>
    <row r="4626" customFormat="false" ht="15" hidden="false" customHeight="false" outlineLevel="0" collapsed="false">
      <c r="L4626" s="37" t="str">
        <f aca="false">IF(C4626="","",IF(C4626&lt;=5,"Night (00-05)",IF(C4626&lt;=11,"Morning (06-11)",IF(C4626&lt;=16,"Afternoon (12-16)",IF(C4626&lt;=20,"Evening (17-20)","Late (21-23)")))))</f>
        <v/>
      </c>
    </row>
    <row r="4627" customFormat="false" ht="15" hidden="false" customHeight="false" outlineLevel="0" collapsed="false">
      <c r="L4627" s="37" t="str">
        <f aca="false">IF(C4627="","",IF(C4627&lt;=5,"Night (00-05)",IF(C4627&lt;=11,"Morning (06-11)",IF(C4627&lt;=16,"Afternoon (12-16)",IF(C4627&lt;=20,"Evening (17-20)","Late (21-23)")))))</f>
        <v/>
      </c>
    </row>
    <row r="4628" customFormat="false" ht="15" hidden="false" customHeight="false" outlineLevel="0" collapsed="false">
      <c r="L4628" s="37" t="str">
        <f aca="false">IF(C4628="","",IF(C4628&lt;=5,"Night (00-05)",IF(C4628&lt;=11,"Morning (06-11)",IF(C4628&lt;=16,"Afternoon (12-16)",IF(C4628&lt;=20,"Evening (17-20)","Late (21-23)")))))</f>
        <v/>
      </c>
    </row>
    <row r="4629" customFormat="false" ht="15" hidden="false" customHeight="false" outlineLevel="0" collapsed="false">
      <c r="L4629" s="37" t="str">
        <f aca="false">IF(C4629="","",IF(C4629&lt;=5,"Night (00-05)",IF(C4629&lt;=11,"Morning (06-11)",IF(C4629&lt;=16,"Afternoon (12-16)",IF(C4629&lt;=20,"Evening (17-20)","Late (21-23)")))))</f>
        <v/>
      </c>
    </row>
    <row r="4630" customFormat="false" ht="15" hidden="false" customHeight="false" outlineLevel="0" collapsed="false">
      <c r="L4630" s="37" t="str">
        <f aca="false">IF(C4630="","",IF(C4630&lt;=5,"Night (00-05)",IF(C4630&lt;=11,"Morning (06-11)",IF(C4630&lt;=16,"Afternoon (12-16)",IF(C4630&lt;=20,"Evening (17-20)","Late (21-23)")))))</f>
        <v/>
      </c>
    </row>
    <row r="4631" customFormat="false" ht="15" hidden="false" customHeight="false" outlineLevel="0" collapsed="false">
      <c r="L4631" s="37" t="str">
        <f aca="false">IF(C4631="","",IF(C4631&lt;=5,"Night (00-05)",IF(C4631&lt;=11,"Morning (06-11)",IF(C4631&lt;=16,"Afternoon (12-16)",IF(C4631&lt;=20,"Evening (17-20)","Late (21-23)")))))</f>
        <v/>
      </c>
    </row>
    <row r="4632" customFormat="false" ht="15" hidden="false" customHeight="false" outlineLevel="0" collapsed="false">
      <c r="L4632" s="37" t="str">
        <f aca="false">IF(C4632="","",IF(C4632&lt;=5,"Night (00-05)",IF(C4632&lt;=11,"Morning (06-11)",IF(C4632&lt;=16,"Afternoon (12-16)",IF(C4632&lt;=20,"Evening (17-20)","Late (21-23)")))))</f>
        <v/>
      </c>
    </row>
    <row r="4633" customFormat="false" ht="15" hidden="false" customHeight="false" outlineLevel="0" collapsed="false">
      <c r="L4633" s="37" t="str">
        <f aca="false">IF(C4633="","",IF(C4633&lt;=5,"Night (00-05)",IF(C4633&lt;=11,"Morning (06-11)",IF(C4633&lt;=16,"Afternoon (12-16)",IF(C4633&lt;=20,"Evening (17-20)","Late (21-23)")))))</f>
        <v/>
      </c>
    </row>
    <row r="4634" customFormat="false" ht="15" hidden="false" customHeight="false" outlineLevel="0" collapsed="false">
      <c r="L4634" s="37" t="str">
        <f aca="false">IF(C4634="","",IF(C4634&lt;=5,"Night (00-05)",IF(C4634&lt;=11,"Morning (06-11)",IF(C4634&lt;=16,"Afternoon (12-16)",IF(C4634&lt;=20,"Evening (17-20)","Late (21-23)")))))</f>
        <v/>
      </c>
    </row>
    <row r="4635" customFormat="false" ht="15" hidden="false" customHeight="false" outlineLevel="0" collapsed="false">
      <c r="L4635" s="37" t="str">
        <f aca="false">IF(C4635="","",IF(C4635&lt;=5,"Night (00-05)",IF(C4635&lt;=11,"Morning (06-11)",IF(C4635&lt;=16,"Afternoon (12-16)",IF(C4635&lt;=20,"Evening (17-20)","Late (21-23)")))))</f>
        <v/>
      </c>
    </row>
    <row r="4636" customFormat="false" ht="15" hidden="false" customHeight="false" outlineLevel="0" collapsed="false">
      <c r="L4636" s="37" t="str">
        <f aca="false">IF(C4636="","",IF(C4636&lt;=5,"Night (00-05)",IF(C4636&lt;=11,"Morning (06-11)",IF(C4636&lt;=16,"Afternoon (12-16)",IF(C4636&lt;=20,"Evening (17-20)","Late (21-23)")))))</f>
        <v/>
      </c>
    </row>
    <row r="4637" customFormat="false" ht="15" hidden="false" customHeight="false" outlineLevel="0" collapsed="false">
      <c r="L4637" s="37" t="str">
        <f aca="false">IF(C4637="","",IF(C4637&lt;=5,"Night (00-05)",IF(C4637&lt;=11,"Morning (06-11)",IF(C4637&lt;=16,"Afternoon (12-16)",IF(C4637&lt;=20,"Evening (17-20)","Late (21-23)")))))</f>
        <v/>
      </c>
    </row>
    <row r="4638" customFormat="false" ht="15" hidden="false" customHeight="false" outlineLevel="0" collapsed="false">
      <c r="L4638" s="37" t="str">
        <f aca="false">IF(C4638="","",IF(C4638&lt;=5,"Night (00-05)",IF(C4638&lt;=11,"Morning (06-11)",IF(C4638&lt;=16,"Afternoon (12-16)",IF(C4638&lt;=20,"Evening (17-20)","Late (21-23)")))))</f>
        <v/>
      </c>
    </row>
    <row r="4639" customFormat="false" ht="15" hidden="false" customHeight="false" outlineLevel="0" collapsed="false">
      <c r="L4639" s="37" t="str">
        <f aca="false">IF(C4639="","",IF(C4639&lt;=5,"Night (00-05)",IF(C4639&lt;=11,"Morning (06-11)",IF(C4639&lt;=16,"Afternoon (12-16)",IF(C4639&lt;=20,"Evening (17-20)","Late (21-23)")))))</f>
        <v/>
      </c>
    </row>
    <row r="4640" customFormat="false" ht="15" hidden="false" customHeight="false" outlineLevel="0" collapsed="false">
      <c r="L4640" s="37" t="str">
        <f aca="false">IF(C4640="","",IF(C4640&lt;=5,"Night (00-05)",IF(C4640&lt;=11,"Morning (06-11)",IF(C4640&lt;=16,"Afternoon (12-16)",IF(C4640&lt;=20,"Evening (17-20)","Late (21-23)")))))</f>
        <v/>
      </c>
    </row>
    <row r="4641" customFormat="false" ht="15" hidden="false" customHeight="false" outlineLevel="0" collapsed="false">
      <c r="L4641" s="37" t="str">
        <f aca="false">IF(C4641="","",IF(C4641&lt;=5,"Night (00-05)",IF(C4641&lt;=11,"Morning (06-11)",IF(C4641&lt;=16,"Afternoon (12-16)",IF(C4641&lt;=20,"Evening (17-20)","Late (21-23)")))))</f>
        <v/>
      </c>
    </row>
    <row r="4642" customFormat="false" ht="15" hidden="false" customHeight="false" outlineLevel="0" collapsed="false">
      <c r="L4642" s="37" t="str">
        <f aca="false">IF(C4642="","",IF(C4642&lt;=5,"Night (00-05)",IF(C4642&lt;=11,"Morning (06-11)",IF(C4642&lt;=16,"Afternoon (12-16)",IF(C4642&lt;=20,"Evening (17-20)","Late (21-23)")))))</f>
        <v/>
      </c>
    </row>
    <row r="4643" customFormat="false" ht="15" hidden="false" customHeight="false" outlineLevel="0" collapsed="false">
      <c r="L4643" s="37" t="str">
        <f aca="false">IF(C4643="","",IF(C4643&lt;=5,"Night (00-05)",IF(C4643&lt;=11,"Morning (06-11)",IF(C4643&lt;=16,"Afternoon (12-16)",IF(C4643&lt;=20,"Evening (17-20)","Late (21-23)")))))</f>
        <v/>
      </c>
    </row>
    <row r="4644" customFormat="false" ht="15" hidden="false" customHeight="false" outlineLevel="0" collapsed="false">
      <c r="L4644" s="37" t="str">
        <f aca="false">IF(C4644="","",IF(C4644&lt;=5,"Night (00-05)",IF(C4644&lt;=11,"Morning (06-11)",IF(C4644&lt;=16,"Afternoon (12-16)",IF(C4644&lt;=20,"Evening (17-20)","Late (21-23)")))))</f>
        <v/>
      </c>
    </row>
    <row r="4645" customFormat="false" ht="15" hidden="false" customHeight="false" outlineLevel="0" collapsed="false">
      <c r="L4645" s="37" t="str">
        <f aca="false">IF(C4645="","",IF(C4645&lt;=5,"Night (00-05)",IF(C4645&lt;=11,"Morning (06-11)",IF(C4645&lt;=16,"Afternoon (12-16)",IF(C4645&lt;=20,"Evening (17-20)","Late (21-23)")))))</f>
        <v/>
      </c>
    </row>
    <row r="4646" customFormat="false" ht="15" hidden="false" customHeight="false" outlineLevel="0" collapsed="false">
      <c r="L4646" s="37" t="str">
        <f aca="false">IF(C4646="","",IF(C4646&lt;=5,"Night (00-05)",IF(C4646&lt;=11,"Morning (06-11)",IF(C4646&lt;=16,"Afternoon (12-16)",IF(C4646&lt;=20,"Evening (17-20)","Late (21-23)")))))</f>
        <v/>
      </c>
    </row>
    <row r="4647" customFormat="false" ht="15" hidden="false" customHeight="false" outlineLevel="0" collapsed="false">
      <c r="L4647" s="37" t="str">
        <f aca="false">IF(C4647="","",IF(C4647&lt;=5,"Night (00-05)",IF(C4647&lt;=11,"Morning (06-11)",IF(C4647&lt;=16,"Afternoon (12-16)",IF(C4647&lt;=20,"Evening (17-20)","Late (21-23)")))))</f>
        <v/>
      </c>
    </row>
    <row r="4648" customFormat="false" ht="15" hidden="false" customHeight="false" outlineLevel="0" collapsed="false">
      <c r="L4648" s="37" t="str">
        <f aca="false">IF(C4648="","",IF(C4648&lt;=5,"Night (00-05)",IF(C4648&lt;=11,"Morning (06-11)",IF(C4648&lt;=16,"Afternoon (12-16)",IF(C4648&lt;=20,"Evening (17-20)","Late (21-23)")))))</f>
        <v/>
      </c>
    </row>
    <row r="4649" customFormat="false" ht="15" hidden="false" customHeight="false" outlineLevel="0" collapsed="false">
      <c r="L4649" s="37" t="str">
        <f aca="false">IF(C4649="","",IF(C4649&lt;=5,"Night (00-05)",IF(C4649&lt;=11,"Morning (06-11)",IF(C4649&lt;=16,"Afternoon (12-16)",IF(C4649&lt;=20,"Evening (17-20)","Late (21-23)")))))</f>
        <v/>
      </c>
    </row>
    <row r="4650" customFormat="false" ht="15" hidden="false" customHeight="false" outlineLevel="0" collapsed="false">
      <c r="L4650" s="37" t="str">
        <f aca="false">IF(C4650="","",IF(C4650&lt;=5,"Night (00-05)",IF(C4650&lt;=11,"Morning (06-11)",IF(C4650&lt;=16,"Afternoon (12-16)",IF(C4650&lt;=20,"Evening (17-20)","Late (21-23)")))))</f>
        <v/>
      </c>
    </row>
    <row r="4651" customFormat="false" ht="15" hidden="false" customHeight="false" outlineLevel="0" collapsed="false">
      <c r="L4651" s="37" t="str">
        <f aca="false">IF(C4651="","",IF(C4651&lt;=5,"Night (00-05)",IF(C4651&lt;=11,"Morning (06-11)",IF(C4651&lt;=16,"Afternoon (12-16)",IF(C4651&lt;=20,"Evening (17-20)","Late (21-23)")))))</f>
        <v/>
      </c>
    </row>
    <row r="4652" customFormat="false" ht="15" hidden="false" customHeight="false" outlineLevel="0" collapsed="false">
      <c r="L4652" s="37" t="str">
        <f aca="false">IF(C4652="","",IF(C4652&lt;=5,"Night (00-05)",IF(C4652&lt;=11,"Morning (06-11)",IF(C4652&lt;=16,"Afternoon (12-16)",IF(C4652&lt;=20,"Evening (17-20)","Late (21-23)")))))</f>
        <v/>
      </c>
    </row>
    <row r="4653" customFormat="false" ht="15" hidden="false" customHeight="false" outlineLevel="0" collapsed="false">
      <c r="L4653" s="37" t="str">
        <f aca="false">IF(C4653="","",IF(C4653&lt;=5,"Night (00-05)",IF(C4653&lt;=11,"Morning (06-11)",IF(C4653&lt;=16,"Afternoon (12-16)",IF(C4653&lt;=20,"Evening (17-20)","Late (21-23)")))))</f>
        <v/>
      </c>
    </row>
    <row r="4654" customFormat="false" ht="15" hidden="false" customHeight="false" outlineLevel="0" collapsed="false">
      <c r="L4654" s="37" t="str">
        <f aca="false">IF(C4654="","",IF(C4654&lt;=5,"Night (00-05)",IF(C4654&lt;=11,"Morning (06-11)",IF(C4654&lt;=16,"Afternoon (12-16)",IF(C4654&lt;=20,"Evening (17-20)","Late (21-23)")))))</f>
        <v/>
      </c>
    </row>
    <row r="4655" customFormat="false" ht="15" hidden="false" customHeight="false" outlineLevel="0" collapsed="false">
      <c r="L4655" s="37" t="str">
        <f aca="false">IF(C4655="","",IF(C4655&lt;=5,"Night (00-05)",IF(C4655&lt;=11,"Morning (06-11)",IF(C4655&lt;=16,"Afternoon (12-16)",IF(C4655&lt;=20,"Evening (17-20)","Late (21-23)")))))</f>
        <v/>
      </c>
    </row>
    <row r="4656" customFormat="false" ht="15" hidden="false" customHeight="false" outlineLevel="0" collapsed="false">
      <c r="L4656" s="37" t="str">
        <f aca="false">IF(C4656="","",IF(C4656&lt;=5,"Night (00-05)",IF(C4656&lt;=11,"Morning (06-11)",IF(C4656&lt;=16,"Afternoon (12-16)",IF(C4656&lt;=20,"Evening (17-20)","Late (21-23)")))))</f>
        <v/>
      </c>
    </row>
    <row r="4657" customFormat="false" ht="15" hidden="false" customHeight="false" outlineLevel="0" collapsed="false">
      <c r="L4657" s="37" t="str">
        <f aca="false">IF(C4657="","",IF(C4657&lt;=5,"Night (00-05)",IF(C4657&lt;=11,"Morning (06-11)",IF(C4657&lt;=16,"Afternoon (12-16)",IF(C4657&lt;=20,"Evening (17-20)","Late (21-23)")))))</f>
        <v/>
      </c>
    </row>
    <row r="4658" customFormat="false" ht="15" hidden="false" customHeight="false" outlineLevel="0" collapsed="false">
      <c r="L4658" s="37" t="str">
        <f aca="false">IF(C4658="","",IF(C4658&lt;=5,"Night (00-05)",IF(C4658&lt;=11,"Morning (06-11)",IF(C4658&lt;=16,"Afternoon (12-16)",IF(C4658&lt;=20,"Evening (17-20)","Late (21-23)")))))</f>
        <v/>
      </c>
    </row>
    <row r="4659" customFormat="false" ht="15" hidden="false" customHeight="false" outlineLevel="0" collapsed="false">
      <c r="L4659" s="37" t="str">
        <f aca="false">IF(C4659="","",IF(C4659&lt;=5,"Night (00-05)",IF(C4659&lt;=11,"Morning (06-11)",IF(C4659&lt;=16,"Afternoon (12-16)",IF(C4659&lt;=20,"Evening (17-20)","Late (21-23)")))))</f>
        <v/>
      </c>
    </row>
    <row r="4660" customFormat="false" ht="15" hidden="false" customHeight="false" outlineLevel="0" collapsed="false">
      <c r="L4660" s="37" t="str">
        <f aca="false">IF(C4660="","",IF(C4660&lt;=5,"Night (00-05)",IF(C4660&lt;=11,"Morning (06-11)",IF(C4660&lt;=16,"Afternoon (12-16)",IF(C4660&lt;=20,"Evening (17-20)","Late (21-23)")))))</f>
        <v/>
      </c>
    </row>
    <row r="4661" customFormat="false" ht="15" hidden="false" customHeight="false" outlineLevel="0" collapsed="false">
      <c r="L4661" s="37" t="str">
        <f aca="false">IF(C4661="","",IF(C4661&lt;=5,"Night (00-05)",IF(C4661&lt;=11,"Morning (06-11)",IF(C4661&lt;=16,"Afternoon (12-16)",IF(C4661&lt;=20,"Evening (17-20)","Late (21-23)")))))</f>
        <v/>
      </c>
    </row>
    <row r="4662" customFormat="false" ht="15" hidden="false" customHeight="false" outlineLevel="0" collapsed="false">
      <c r="L4662" s="37" t="str">
        <f aca="false">IF(C4662="","",IF(C4662&lt;=5,"Night (00-05)",IF(C4662&lt;=11,"Morning (06-11)",IF(C4662&lt;=16,"Afternoon (12-16)",IF(C4662&lt;=20,"Evening (17-20)","Late (21-23)")))))</f>
        <v/>
      </c>
    </row>
    <row r="4663" customFormat="false" ht="15" hidden="false" customHeight="false" outlineLevel="0" collapsed="false">
      <c r="L4663" s="37" t="str">
        <f aca="false">IF(C4663="","",IF(C4663&lt;=5,"Night (00-05)",IF(C4663&lt;=11,"Morning (06-11)",IF(C4663&lt;=16,"Afternoon (12-16)",IF(C4663&lt;=20,"Evening (17-20)","Late (21-23)")))))</f>
        <v/>
      </c>
    </row>
    <row r="4664" customFormat="false" ht="15" hidden="false" customHeight="false" outlineLevel="0" collapsed="false">
      <c r="L4664" s="37" t="str">
        <f aca="false">IF(C4664="","",IF(C4664&lt;=5,"Night (00-05)",IF(C4664&lt;=11,"Morning (06-11)",IF(C4664&lt;=16,"Afternoon (12-16)",IF(C4664&lt;=20,"Evening (17-20)","Late (21-23)")))))</f>
        <v/>
      </c>
    </row>
    <row r="4665" customFormat="false" ht="15" hidden="false" customHeight="false" outlineLevel="0" collapsed="false">
      <c r="L4665" s="37" t="str">
        <f aca="false">IF(C4665="","",IF(C4665&lt;=5,"Night (00-05)",IF(C4665&lt;=11,"Morning (06-11)",IF(C4665&lt;=16,"Afternoon (12-16)",IF(C4665&lt;=20,"Evening (17-20)","Late (21-23)")))))</f>
        <v/>
      </c>
    </row>
    <row r="4666" customFormat="false" ht="15" hidden="false" customHeight="false" outlineLevel="0" collapsed="false">
      <c r="L4666" s="37" t="str">
        <f aca="false">IF(C4666="","",IF(C4666&lt;=5,"Night (00-05)",IF(C4666&lt;=11,"Morning (06-11)",IF(C4666&lt;=16,"Afternoon (12-16)",IF(C4666&lt;=20,"Evening (17-20)","Late (21-23)")))))</f>
        <v/>
      </c>
    </row>
    <row r="4667" customFormat="false" ht="15" hidden="false" customHeight="false" outlineLevel="0" collapsed="false">
      <c r="L4667" s="37" t="str">
        <f aca="false">IF(C4667="","",IF(C4667&lt;=5,"Night (00-05)",IF(C4667&lt;=11,"Morning (06-11)",IF(C4667&lt;=16,"Afternoon (12-16)",IF(C4667&lt;=20,"Evening (17-20)","Late (21-23)")))))</f>
        <v/>
      </c>
    </row>
    <row r="4668" customFormat="false" ht="15" hidden="false" customHeight="false" outlineLevel="0" collapsed="false">
      <c r="L4668" s="37" t="str">
        <f aca="false">IF(C4668="","",IF(C4668&lt;=5,"Night (00-05)",IF(C4668&lt;=11,"Morning (06-11)",IF(C4668&lt;=16,"Afternoon (12-16)",IF(C4668&lt;=20,"Evening (17-20)","Late (21-23)")))))</f>
        <v/>
      </c>
    </row>
    <row r="4669" customFormat="false" ht="15" hidden="false" customHeight="false" outlineLevel="0" collapsed="false">
      <c r="L4669" s="37" t="str">
        <f aca="false">IF(C4669="","",IF(C4669&lt;=5,"Night (00-05)",IF(C4669&lt;=11,"Morning (06-11)",IF(C4669&lt;=16,"Afternoon (12-16)",IF(C4669&lt;=20,"Evening (17-20)","Late (21-23)")))))</f>
        <v/>
      </c>
    </row>
    <row r="4670" customFormat="false" ht="15" hidden="false" customHeight="false" outlineLevel="0" collapsed="false">
      <c r="L4670" s="37" t="str">
        <f aca="false">IF(C4670="","",IF(C4670&lt;=5,"Night (00-05)",IF(C4670&lt;=11,"Morning (06-11)",IF(C4670&lt;=16,"Afternoon (12-16)",IF(C4670&lt;=20,"Evening (17-20)","Late (21-23)")))))</f>
        <v/>
      </c>
    </row>
    <row r="4671" customFormat="false" ht="15" hidden="false" customHeight="false" outlineLevel="0" collapsed="false">
      <c r="L4671" s="37" t="str">
        <f aca="false">IF(C4671="","",IF(C4671&lt;=5,"Night (00-05)",IF(C4671&lt;=11,"Morning (06-11)",IF(C4671&lt;=16,"Afternoon (12-16)",IF(C4671&lt;=20,"Evening (17-20)","Late (21-23)")))))</f>
        <v/>
      </c>
    </row>
    <row r="4672" customFormat="false" ht="15" hidden="false" customHeight="false" outlineLevel="0" collapsed="false">
      <c r="L4672" s="37" t="str">
        <f aca="false">IF(C4672="","",IF(C4672&lt;=5,"Night (00-05)",IF(C4672&lt;=11,"Morning (06-11)",IF(C4672&lt;=16,"Afternoon (12-16)",IF(C4672&lt;=20,"Evening (17-20)","Late (21-23)")))))</f>
        <v/>
      </c>
    </row>
    <row r="4673" customFormat="false" ht="15" hidden="false" customHeight="false" outlineLevel="0" collapsed="false">
      <c r="L4673" s="37" t="str">
        <f aca="false">IF(C4673="","",IF(C4673&lt;=5,"Night (00-05)",IF(C4673&lt;=11,"Morning (06-11)",IF(C4673&lt;=16,"Afternoon (12-16)",IF(C4673&lt;=20,"Evening (17-20)","Late (21-23)")))))</f>
        <v/>
      </c>
    </row>
    <row r="4674" customFormat="false" ht="15" hidden="false" customHeight="false" outlineLevel="0" collapsed="false">
      <c r="L4674" s="37" t="str">
        <f aca="false">IF(C4674="","",IF(C4674&lt;=5,"Night (00-05)",IF(C4674&lt;=11,"Morning (06-11)",IF(C4674&lt;=16,"Afternoon (12-16)",IF(C4674&lt;=20,"Evening (17-20)","Late (21-23)")))))</f>
        <v/>
      </c>
    </row>
    <row r="4675" customFormat="false" ht="15" hidden="false" customHeight="false" outlineLevel="0" collapsed="false">
      <c r="L4675" s="37" t="str">
        <f aca="false">IF(C4675="","",IF(C4675&lt;=5,"Night (00-05)",IF(C4675&lt;=11,"Morning (06-11)",IF(C4675&lt;=16,"Afternoon (12-16)",IF(C4675&lt;=20,"Evening (17-20)","Late (21-23)")))))</f>
        <v/>
      </c>
    </row>
    <row r="4676" customFormat="false" ht="15" hidden="false" customHeight="false" outlineLevel="0" collapsed="false">
      <c r="L4676" s="37" t="str">
        <f aca="false">IF(C4676="","",IF(C4676&lt;=5,"Night (00-05)",IF(C4676&lt;=11,"Morning (06-11)",IF(C4676&lt;=16,"Afternoon (12-16)",IF(C4676&lt;=20,"Evening (17-20)","Late (21-23)")))))</f>
        <v/>
      </c>
    </row>
    <row r="4677" customFormat="false" ht="15" hidden="false" customHeight="false" outlineLevel="0" collapsed="false">
      <c r="L4677" s="37" t="str">
        <f aca="false">IF(C4677="","",IF(C4677&lt;=5,"Night (00-05)",IF(C4677&lt;=11,"Morning (06-11)",IF(C4677&lt;=16,"Afternoon (12-16)",IF(C4677&lt;=20,"Evening (17-20)","Late (21-23)")))))</f>
        <v/>
      </c>
    </row>
    <row r="4678" customFormat="false" ht="15" hidden="false" customHeight="false" outlineLevel="0" collapsed="false">
      <c r="L4678" s="37" t="str">
        <f aca="false">IF(C4678="","",IF(C4678&lt;=5,"Night (00-05)",IF(C4678&lt;=11,"Morning (06-11)",IF(C4678&lt;=16,"Afternoon (12-16)",IF(C4678&lt;=20,"Evening (17-20)","Late (21-23)")))))</f>
        <v/>
      </c>
    </row>
    <row r="4679" customFormat="false" ht="15" hidden="false" customHeight="false" outlineLevel="0" collapsed="false">
      <c r="L4679" s="37" t="str">
        <f aca="false">IF(C4679="","",IF(C4679&lt;=5,"Night (00-05)",IF(C4679&lt;=11,"Morning (06-11)",IF(C4679&lt;=16,"Afternoon (12-16)",IF(C4679&lt;=20,"Evening (17-20)","Late (21-23)")))))</f>
        <v/>
      </c>
    </row>
    <row r="4680" customFormat="false" ht="15" hidden="false" customHeight="false" outlineLevel="0" collapsed="false">
      <c r="L4680" s="37" t="str">
        <f aca="false">IF(C4680="","",IF(C4680&lt;=5,"Night (00-05)",IF(C4680&lt;=11,"Morning (06-11)",IF(C4680&lt;=16,"Afternoon (12-16)",IF(C4680&lt;=20,"Evening (17-20)","Late (21-23)")))))</f>
        <v/>
      </c>
    </row>
    <row r="4681" customFormat="false" ht="15" hidden="false" customHeight="false" outlineLevel="0" collapsed="false">
      <c r="L4681" s="37" t="str">
        <f aca="false">IF(C4681="","",IF(C4681&lt;=5,"Night (00-05)",IF(C4681&lt;=11,"Morning (06-11)",IF(C4681&lt;=16,"Afternoon (12-16)",IF(C4681&lt;=20,"Evening (17-20)","Late (21-23)")))))</f>
        <v/>
      </c>
    </row>
    <row r="4682" customFormat="false" ht="15" hidden="false" customHeight="false" outlineLevel="0" collapsed="false">
      <c r="L4682" s="37" t="str">
        <f aca="false">IF(C4682="","",IF(C4682&lt;=5,"Night (00-05)",IF(C4682&lt;=11,"Morning (06-11)",IF(C4682&lt;=16,"Afternoon (12-16)",IF(C4682&lt;=20,"Evening (17-20)","Late (21-23)")))))</f>
        <v/>
      </c>
    </row>
    <row r="4683" customFormat="false" ht="15" hidden="false" customHeight="false" outlineLevel="0" collapsed="false">
      <c r="L4683" s="37" t="str">
        <f aca="false">IF(C4683="","",IF(C4683&lt;=5,"Night (00-05)",IF(C4683&lt;=11,"Morning (06-11)",IF(C4683&lt;=16,"Afternoon (12-16)",IF(C4683&lt;=20,"Evening (17-20)","Late (21-23)")))))</f>
        <v/>
      </c>
    </row>
    <row r="4684" customFormat="false" ht="15" hidden="false" customHeight="false" outlineLevel="0" collapsed="false">
      <c r="L4684" s="37" t="str">
        <f aca="false">IF(C4684="","",IF(C4684&lt;=5,"Night (00-05)",IF(C4684&lt;=11,"Morning (06-11)",IF(C4684&lt;=16,"Afternoon (12-16)",IF(C4684&lt;=20,"Evening (17-20)","Late (21-23)")))))</f>
        <v/>
      </c>
    </row>
    <row r="4685" customFormat="false" ht="15" hidden="false" customHeight="false" outlineLevel="0" collapsed="false">
      <c r="L4685" s="37" t="str">
        <f aca="false">IF(C4685="","",IF(C4685&lt;=5,"Night (00-05)",IF(C4685&lt;=11,"Morning (06-11)",IF(C4685&lt;=16,"Afternoon (12-16)",IF(C4685&lt;=20,"Evening (17-20)","Late (21-23)")))))</f>
        <v/>
      </c>
    </row>
    <row r="4686" customFormat="false" ht="15" hidden="false" customHeight="false" outlineLevel="0" collapsed="false">
      <c r="L4686" s="37" t="str">
        <f aca="false">IF(C4686="","",IF(C4686&lt;=5,"Night (00-05)",IF(C4686&lt;=11,"Morning (06-11)",IF(C4686&lt;=16,"Afternoon (12-16)",IF(C4686&lt;=20,"Evening (17-20)","Late (21-23)")))))</f>
        <v/>
      </c>
    </row>
    <row r="4687" customFormat="false" ht="15" hidden="false" customHeight="false" outlineLevel="0" collapsed="false">
      <c r="L4687" s="37" t="str">
        <f aca="false">IF(C4687="","",IF(C4687&lt;=5,"Night (00-05)",IF(C4687&lt;=11,"Morning (06-11)",IF(C4687&lt;=16,"Afternoon (12-16)",IF(C4687&lt;=20,"Evening (17-20)","Late (21-23)")))))</f>
        <v/>
      </c>
    </row>
    <row r="4688" customFormat="false" ht="15" hidden="false" customHeight="false" outlineLevel="0" collapsed="false">
      <c r="L4688" s="37" t="str">
        <f aca="false">IF(C4688="","",IF(C4688&lt;=5,"Night (00-05)",IF(C4688&lt;=11,"Morning (06-11)",IF(C4688&lt;=16,"Afternoon (12-16)",IF(C4688&lt;=20,"Evening (17-20)","Late (21-23)")))))</f>
        <v/>
      </c>
    </row>
    <row r="4689" customFormat="false" ht="15" hidden="false" customHeight="false" outlineLevel="0" collapsed="false">
      <c r="L4689" s="37" t="str">
        <f aca="false">IF(C4689="","",IF(C4689&lt;=5,"Night (00-05)",IF(C4689&lt;=11,"Morning (06-11)",IF(C4689&lt;=16,"Afternoon (12-16)",IF(C4689&lt;=20,"Evening (17-20)","Late (21-23)")))))</f>
        <v/>
      </c>
    </row>
    <row r="4690" customFormat="false" ht="15" hidden="false" customHeight="false" outlineLevel="0" collapsed="false">
      <c r="L4690" s="37" t="str">
        <f aca="false">IF(C4690="","",IF(C4690&lt;=5,"Night (00-05)",IF(C4690&lt;=11,"Morning (06-11)",IF(C4690&lt;=16,"Afternoon (12-16)",IF(C4690&lt;=20,"Evening (17-20)","Late (21-23)")))))</f>
        <v/>
      </c>
    </row>
    <row r="4691" customFormat="false" ht="15" hidden="false" customHeight="false" outlineLevel="0" collapsed="false">
      <c r="L4691" s="37" t="str">
        <f aca="false">IF(C4691="","",IF(C4691&lt;=5,"Night (00-05)",IF(C4691&lt;=11,"Morning (06-11)",IF(C4691&lt;=16,"Afternoon (12-16)",IF(C4691&lt;=20,"Evening (17-20)","Late (21-23)")))))</f>
        <v/>
      </c>
    </row>
    <row r="4692" customFormat="false" ht="15" hidden="false" customHeight="false" outlineLevel="0" collapsed="false">
      <c r="L4692" s="37" t="str">
        <f aca="false">IF(C4692="","",IF(C4692&lt;=5,"Night (00-05)",IF(C4692&lt;=11,"Morning (06-11)",IF(C4692&lt;=16,"Afternoon (12-16)",IF(C4692&lt;=20,"Evening (17-20)","Late (21-23)")))))</f>
        <v/>
      </c>
    </row>
    <row r="4693" customFormat="false" ht="15" hidden="false" customHeight="false" outlineLevel="0" collapsed="false">
      <c r="L4693" s="37" t="str">
        <f aca="false">IF(C4693="","",IF(C4693&lt;=5,"Night (00-05)",IF(C4693&lt;=11,"Morning (06-11)",IF(C4693&lt;=16,"Afternoon (12-16)",IF(C4693&lt;=20,"Evening (17-20)","Late (21-23)")))))</f>
        <v/>
      </c>
    </row>
    <row r="4694" customFormat="false" ht="15" hidden="false" customHeight="false" outlineLevel="0" collapsed="false">
      <c r="L4694" s="37" t="str">
        <f aca="false">IF(C4694="","",IF(C4694&lt;=5,"Night (00-05)",IF(C4694&lt;=11,"Morning (06-11)",IF(C4694&lt;=16,"Afternoon (12-16)",IF(C4694&lt;=20,"Evening (17-20)","Late (21-23)")))))</f>
        <v/>
      </c>
    </row>
    <row r="4695" customFormat="false" ht="15" hidden="false" customHeight="false" outlineLevel="0" collapsed="false">
      <c r="L4695" s="37" t="str">
        <f aca="false">IF(C4695="","",IF(C4695&lt;=5,"Night (00-05)",IF(C4695&lt;=11,"Morning (06-11)",IF(C4695&lt;=16,"Afternoon (12-16)",IF(C4695&lt;=20,"Evening (17-20)","Late (21-23)")))))</f>
        <v/>
      </c>
    </row>
    <row r="4696" customFormat="false" ht="15" hidden="false" customHeight="false" outlineLevel="0" collapsed="false">
      <c r="L4696" s="37" t="str">
        <f aca="false">IF(C4696="","",IF(C4696&lt;=5,"Night (00-05)",IF(C4696&lt;=11,"Morning (06-11)",IF(C4696&lt;=16,"Afternoon (12-16)",IF(C4696&lt;=20,"Evening (17-20)","Late (21-23)")))))</f>
        <v/>
      </c>
    </row>
    <row r="4697" customFormat="false" ht="15" hidden="false" customHeight="false" outlineLevel="0" collapsed="false">
      <c r="L4697" s="37" t="str">
        <f aca="false">IF(C4697="","",IF(C4697&lt;=5,"Night (00-05)",IF(C4697&lt;=11,"Morning (06-11)",IF(C4697&lt;=16,"Afternoon (12-16)",IF(C4697&lt;=20,"Evening (17-20)","Late (21-23)")))))</f>
        <v/>
      </c>
    </row>
    <row r="4698" customFormat="false" ht="15" hidden="false" customHeight="false" outlineLevel="0" collapsed="false">
      <c r="L4698" s="37" t="str">
        <f aca="false">IF(C4698="","",IF(C4698&lt;=5,"Night (00-05)",IF(C4698&lt;=11,"Morning (06-11)",IF(C4698&lt;=16,"Afternoon (12-16)",IF(C4698&lt;=20,"Evening (17-20)","Late (21-23)")))))</f>
        <v/>
      </c>
    </row>
    <row r="4699" customFormat="false" ht="15" hidden="false" customHeight="false" outlineLevel="0" collapsed="false">
      <c r="L4699" s="37" t="str">
        <f aca="false">IF(C4699="","",IF(C4699&lt;=5,"Night (00-05)",IF(C4699&lt;=11,"Morning (06-11)",IF(C4699&lt;=16,"Afternoon (12-16)",IF(C4699&lt;=20,"Evening (17-20)","Late (21-23)")))))</f>
        <v/>
      </c>
    </row>
    <row r="4700" customFormat="false" ht="15" hidden="false" customHeight="false" outlineLevel="0" collapsed="false">
      <c r="L4700" s="37" t="str">
        <f aca="false">IF(C4700="","",IF(C4700&lt;=5,"Night (00-05)",IF(C4700&lt;=11,"Morning (06-11)",IF(C4700&lt;=16,"Afternoon (12-16)",IF(C4700&lt;=20,"Evening (17-20)","Late (21-23)")))))</f>
        <v/>
      </c>
    </row>
    <row r="4701" customFormat="false" ht="15" hidden="false" customHeight="false" outlineLevel="0" collapsed="false">
      <c r="L4701" s="37" t="str">
        <f aca="false">IF(C4701="","",IF(C4701&lt;=5,"Night (00-05)",IF(C4701&lt;=11,"Morning (06-11)",IF(C4701&lt;=16,"Afternoon (12-16)",IF(C4701&lt;=20,"Evening (17-20)","Late (21-23)")))))</f>
        <v/>
      </c>
    </row>
    <row r="4702" customFormat="false" ht="15" hidden="false" customHeight="false" outlineLevel="0" collapsed="false">
      <c r="L4702" s="37" t="str">
        <f aca="false">IF(C4702="","",IF(C4702&lt;=5,"Night (00-05)",IF(C4702&lt;=11,"Morning (06-11)",IF(C4702&lt;=16,"Afternoon (12-16)",IF(C4702&lt;=20,"Evening (17-20)","Late (21-23)")))))</f>
        <v/>
      </c>
    </row>
    <row r="4703" customFormat="false" ht="15" hidden="false" customHeight="false" outlineLevel="0" collapsed="false">
      <c r="L4703" s="37" t="str">
        <f aca="false">IF(C4703="","",IF(C4703&lt;=5,"Night (00-05)",IF(C4703&lt;=11,"Morning (06-11)",IF(C4703&lt;=16,"Afternoon (12-16)",IF(C4703&lt;=20,"Evening (17-20)","Late (21-23)")))))</f>
        <v/>
      </c>
    </row>
    <row r="4704" customFormat="false" ht="15" hidden="false" customHeight="false" outlineLevel="0" collapsed="false">
      <c r="L4704" s="37" t="str">
        <f aca="false">IF(C4704="","",IF(C4704&lt;=5,"Night (00-05)",IF(C4704&lt;=11,"Morning (06-11)",IF(C4704&lt;=16,"Afternoon (12-16)",IF(C4704&lt;=20,"Evening (17-20)","Late (21-23)")))))</f>
        <v/>
      </c>
    </row>
    <row r="4705" customFormat="false" ht="15" hidden="false" customHeight="false" outlineLevel="0" collapsed="false">
      <c r="L4705" s="37" t="str">
        <f aca="false">IF(C4705="","",IF(C4705&lt;=5,"Night (00-05)",IF(C4705&lt;=11,"Morning (06-11)",IF(C4705&lt;=16,"Afternoon (12-16)",IF(C4705&lt;=20,"Evening (17-20)","Late (21-23)")))))</f>
        <v/>
      </c>
    </row>
    <row r="4706" customFormat="false" ht="15" hidden="false" customHeight="false" outlineLevel="0" collapsed="false">
      <c r="L4706" s="37" t="str">
        <f aca="false">IF(C4706="","",IF(C4706&lt;=5,"Night (00-05)",IF(C4706&lt;=11,"Morning (06-11)",IF(C4706&lt;=16,"Afternoon (12-16)",IF(C4706&lt;=20,"Evening (17-20)","Late (21-23)")))))</f>
        <v/>
      </c>
    </row>
    <row r="4707" customFormat="false" ht="15" hidden="false" customHeight="false" outlineLevel="0" collapsed="false">
      <c r="L4707" s="37" t="str">
        <f aca="false">IF(C4707="","",IF(C4707&lt;=5,"Night (00-05)",IF(C4707&lt;=11,"Morning (06-11)",IF(C4707&lt;=16,"Afternoon (12-16)",IF(C4707&lt;=20,"Evening (17-20)","Late (21-23)")))))</f>
        <v/>
      </c>
    </row>
    <row r="4708" customFormat="false" ht="15" hidden="false" customHeight="false" outlineLevel="0" collapsed="false">
      <c r="L4708" s="37" t="str">
        <f aca="false">IF(C4708="","",IF(C4708&lt;=5,"Night (00-05)",IF(C4708&lt;=11,"Morning (06-11)",IF(C4708&lt;=16,"Afternoon (12-16)",IF(C4708&lt;=20,"Evening (17-20)","Late (21-23)")))))</f>
        <v/>
      </c>
    </row>
    <row r="4709" customFormat="false" ht="15" hidden="false" customHeight="false" outlineLevel="0" collapsed="false">
      <c r="L4709" s="37" t="str">
        <f aca="false">IF(C4709="","",IF(C4709&lt;=5,"Night (00-05)",IF(C4709&lt;=11,"Morning (06-11)",IF(C4709&lt;=16,"Afternoon (12-16)",IF(C4709&lt;=20,"Evening (17-20)","Late (21-23)")))))</f>
        <v/>
      </c>
    </row>
    <row r="4710" customFormat="false" ht="15" hidden="false" customHeight="false" outlineLevel="0" collapsed="false">
      <c r="L4710" s="37" t="str">
        <f aca="false">IF(C4710="","",IF(C4710&lt;=5,"Night (00-05)",IF(C4710&lt;=11,"Morning (06-11)",IF(C4710&lt;=16,"Afternoon (12-16)",IF(C4710&lt;=20,"Evening (17-20)","Late (21-23)")))))</f>
        <v/>
      </c>
    </row>
    <row r="4711" customFormat="false" ht="15" hidden="false" customHeight="false" outlineLevel="0" collapsed="false">
      <c r="L4711" s="37" t="str">
        <f aca="false">IF(C4711="","",IF(C4711&lt;=5,"Night (00-05)",IF(C4711&lt;=11,"Morning (06-11)",IF(C4711&lt;=16,"Afternoon (12-16)",IF(C4711&lt;=20,"Evening (17-20)","Late (21-23)")))))</f>
        <v/>
      </c>
    </row>
    <row r="4712" customFormat="false" ht="15" hidden="false" customHeight="false" outlineLevel="0" collapsed="false">
      <c r="L4712" s="37" t="str">
        <f aca="false">IF(C4712="","",IF(C4712&lt;=5,"Night (00-05)",IF(C4712&lt;=11,"Morning (06-11)",IF(C4712&lt;=16,"Afternoon (12-16)",IF(C4712&lt;=20,"Evening (17-20)","Late (21-23)")))))</f>
        <v/>
      </c>
    </row>
    <row r="4713" customFormat="false" ht="15" hidden="false" customHeight="false" outlineLevel="0" collapsed="false">
      <c r="L4713" s="37" t="str">
        <f aca="false">IF(C4713="","",IF(C4713&lt;=5,"Night (00-05)",IF(C4713&lt;=11,"Morning (06-11)",IF(C4713&lt;=16,"Afternoon (12-16)",IF(C4713&lt;=20,"Evening (17-20)","Late (21-23)")))))</f>
        <v/>
      </c>
    </row>
    <row r="4714" customFormat="false" ht="15" hidden="false" customHeight="false" outlineLevel="0" collapsed="false">
      <c r="L4714" s="37" t="str">
        <f aca="false">IF(C4714="","",IF(C4714&lt;=5,"Night (00-05)",IF(C4714&lt;=11,"Morning (06-11)",IF(C4714&lt;=16,"Afternoon (12-16)",IF(C4714&lt;=20,"Evening (17-20)","Late (21-23)")))))</f>
        <v/>
      </c>
    </row>
    <row r="4715" customFormat="false" ht="15" hidden="false" customHeight="false" outlineLevel="0" collapsed="false">
      <c r="L4715" s="37" t="str">
        <f aca="false">IF(C4715="","",IF(C4715&lt;=5,"Night (00-05)",IF(C4715&lt;=11,"Morning (06-11)",IF(C4715&lt;=16,"Afternoon (12-16)",IF(C4715&lt;=20,"Evening (17-20)","Late (21-23)")))))</f>
        <v/>
      </c>
    </row>
    <row r="4716" customFormat="false" ht="15" hidden="false" customHeight="false" outlineLevel="0" collapsed="false">
      <c r="L4716" s="37" t="str">
        <f aca="false">IF(C4716="","",IF(C4716&lt;=5,"Night (00-05)",IF(C4716&lt;=11,"Morning (06-11)",IF(C4716&lt;=16,"Afternoon (12-16)",IF(C4716&lt;=20,"Evening (17-20)","Late (21-23)")))))</f>
        <v/>
      </c>
    </row>
    <row r="4717" customFormat="false" ht="15" hidden="false" customHeight="false" outlineLevel="0" collapsed="false">
      <c r="L4717" s="37" t="str">
        <f aca="false">IF(C4717="","",IF(C4717&lt;=5,"Night (00-05)",IF(C4717&lt;=11,"Morning (06-11)",IF(C4717&lt;=16,"Afternoon (12-16)",IF(C4717&lt;=20,"Evening (17-20)","Late (21-23)")))))</f>
        <v/>
      </c>
    </row>
    <row r="4718" customFormat="false" ht="15" hidden="false" customHeight="false" outlineLevel="0" collapsed="false">
      <c r="L4718" s="37" t="str">
        <f aca="false">IF(C4718="","",IF(C4718&lt;=5,"Night (00-05)",IF(C4718&lt;=11,"Morning (06-11)",IF(C4718&lt;=16,"Afternoon (12-16)",IF(C4718&lt;=20,"Evening (17-20)","Late (21-23)")))))</f>
        <v/>
      </c>
    </row>
    <row r="4719" customFormat="false" ht="15" hidden="false" customHeight="false" outlineLevel="0" collapsed="false">
      <c r="L4719" s="37" t="str">
        <f aca="false">IF(C4719="","",IF(C4719&lt;=5,"Night (00-05)",IF(C4719&lt;=11,"Morning (06-11)",IF(C4719&lt;=16,"Afternoon (12-16)",IF(C4719&lt;=20,"Evening (17-20)","Late (21-23)")))))</f>
        <v/>
      </c>
    </row>
    <row r="4720" customFormat="false" ht="15" hidden="false" customHeight="false" outlineLevel="0" collapsed="false">
      <c r="L4720" s="37" t="str">
        <f aca="false">IF(C4720="","",IF(C4720&lt;=5,"Night (00-05)",IF(C4720&lt;=11,"Morning (06-11)",IF(C4720&lt;=16,"Afternoon (12-16)",IF(C4720&lt;=20,"Evening (17-20)","Late (21-23)")))))</f>
        <v/>
      </c>
    </row>
    <row r="4721" customFormat="false" ht="15" hidden="false" customHeight="false" outlineLevel="0" collapsed="false">
      <c r="L4721" s="37" t="str">
        <f aca="false">IF(C4721="","",IF(C4721&lt;=5,"Night (00-05)",IF(C4721&lt;=11,"Morning (06-11)",IF(C4721&lt;=16,"Afternoon (12-16)",IF(C4721&lt;=20,"Evening (17-20)","Late (21-23)")))))</f>
        <v/>
      </c>
    </row>
    <row r="4722" customFormat="false" ht="15" hidden="false" customHeight="false" outlineLevel="0" collapsed="false">
      <c r="L4722" s="37" t="str">
        <f aca="false">IF(C4722="","",IF(C4722&lt;=5,"Night (00-05)",IF(C4722&lt;=11,"Morning (06-11)",IF(C4722&lt;=16,"Afternoon (12-16)",IF(C4722&lt;=20,"Evening (17-20)","Late (21-23)")))))</f>
        <v/>
      </c>
    </row>
    <row r="4723" customFormat="false" ht="15" hidden="false" customHeight="false" outlineLevel="0" collapsed="false">
      <c r="L4723" s="37" t="str">
        <f aca="false">IF(C4723="","",IF(C4723&lt;=5,"Night (00-05)",IF(C4723&lt;=11,"Morning (06-11)",IF(C4723&lt;=16,"Afternoon (12-16)",IF(C4723&lt;=20,"Evening (17-20)","Late (21-23)")))))</f>
        <v/>
      </c>
    </row>
    <row r="4724" customFormat="false" ht="15" hidden="false" customHeight="false" outlineLevel="0" collapsed="false">
      <c r="L4724" s="37" t="str">
        <f aca="false">IF(C4724="","",IF(C4724&lt;=5,"Night (00-05)",IF(C4724&lt;=11,"Morning (06-11)",IF(C4724&lt;=16,"Afternoon (12-16)",IF(C4724&lt;=20,"Evening (17-20)","Late (21-23)")))))</f>
        <v/>
      </c>
    </row>
    <row r="4725" customFormat="false" ht="15" hidden="false" customHeight="false" outlineLevel="0" collapsed="false">
      <c r="L4725" s="37" t="str">
        <f aca="false">IF(C4725="","",IF(C4725&lt;=5,"Night (00-05)",IF(C4725&lt;=11,"Morning (06-11)",IF(C4725&lt;=16,"Afternoon (12-16)",IF(C4725&lt;=20,"Evening (17-20)","Late (21-23)")))))</f>
        <v/>
      </c>
    </row>
    <row r="4726" customFormat="false" ht="15" hidden="false" customHeight="false" outlineLevel="0" collapsed="false">
      <c r="L4726" s="37" t="str">
        <f aca="false">IF(C4726="","",IF(C4726&lt;=5,"Night (00-05)",IF(C4726&lt;=11,"Morning (06-11)",IF(C4726&lt;=16,"Afternoon (12-16)",IF(C4726&lt;=20,"Evening (17-20)","Late (21-23)")))))</f>
        <v/>
      </c>
    </row>
    <row r="4727" customFormat="false" ht="15" hidden="false" customHeight="false" outlineLevel="0" collapsed="false">
      <c r="L4727" s="37" t="str">
        <f aca="false">IF(C4727="","",IF(C4727&lt;=5,"Night (00-05)",IF(C4727&lt;=11,"Morning (06-11)",IF(C4727&lt;=16,"Afternoon (12-16)",IF(C4727&lt;=20,"Evening (17-20)","Late (21-23)")))))</f>
        <v/>
      </c>
    </row>
    <row r="4728" customFormat="false" ht="15" hidden="false" customHeight="false" outlineLevel="0" collapsed="false">
      <c r="L4728" s="37" t="str">
        <f aca="false">IF(C4728="","",IF(C4728&lt;=5,"Night (00-05)",IF(C4728&lt;=11,"Morning (06-11)",IF(C4728&lt;=16,"Afternoon (12-16)",IF(C4728&lt;=20,"Evening (17-20)","Late (21-23)")))))</f>
        <v/>
      </c>
    </row>
    <row r="4729" customFormat="false" ht="15" hidden="false" customHeight="false" outlineLevel="0" collapsed="false">
      <c r="L4729" s="37" t="str">
        <f aca="false">IF(C4729="","",IF(C4729&lt;=5,"Night (00-05)",IF(C4729&lt;=11,"Morning (06-11)",IF(C4729&lt;=16,"Afternoon (12-16)",IF(C4729&lt;=20,"Evening (17-20)","Late (21-23)")))))</f>
        <v/>
      </c>
    </row>
    <row r="4730" customFormat="false" ht="15" hidden="false" customHeight="false" outlineLevel="0" collapsed="false">
      <c r="L4730" s="37" t="str">
        <f aca="false">IF(C4730="","",IF(C4730&lt;=5,"Night (00-05)",IF(C4730&lt;=11,"Morning (06-11)",IF(C4730&lt;=16,"Afternoon (12-16)",IF(C4730&lt;=20,"Evening (17-20)","Late (21-23)")))))</f>
        <v/>
      </c>
    </row>
    <row r="4731" customFormat="false" ht="15" hidden="false" customHeight="false" outlineLevel="0" collapsed="false">
      <c r="L4731" s="37" t="str">
        <f aca="false">IF(C4731="","",IF(C4731&lt;=5,"Night (00-05)",IF(C4731&lt;=11,"Morning (06-11)",IF(C4731&lt;=16,"Afternoon (12-16)",IF(C4731&lt;=20,"Evening (17-20)","Late (21-23)")))))</f>
        <v/>
      </c>
    </row>
    <row r="4732" customFormat="false" ht="15" hidden="false" customHeight="false" outlineLevel="0" collapsed="false">
      <c r="L4732" s="37" t="str">
        <f aca="false">IF(C4732="","",IF(C4732&lt;=5,"Night (00-05)",IF(C4732&lt;=11,"Morning (06-11)",IF(C4732&lt;=16,"Afternoon (12-16)",IF(C4732&lt;=20,"Evening (17-20)","Late (21-23)")))))</f>
        <v/>
      </c>
    </row>
    <row r="4733" customFormat="false" ht="15" hidden="false" customHeight="false" outlineLevel="0" collapsed="false">
      <c r="L4733" s="37" t="str">
        <f aca="false">IF(C4733="","",IF(C4733&lt;=5,"Night (00-05)",IF(C4733&lt;=11,"Morning (06-11)",IF(C4733&lt;=16,"Afternoon (12-16)",IF(C4733&lt;=20,"Evening (17-20)","Late (21-23)")))))</f>
        <v/>
      </c>
    </row>
    <row r="4734" customFormat="false" ht="15" hidden="false" customHeight="false" outlineLevel="0" collapsed="false">
      <c r="L4734" s="37" t="str">
        <f aca="false">IF(C4734="","",IF(C4734&lt;=5,"Night (00-05)",IF(C4734&lt;=11,"Morning (06-11)",IF(C4734&lt;=16,"Afternoon (12-16)",IF(C4734&lt;=20,"Evening (17-20)","Late (21-23)")))))</f>
        <v/>
      </c>
    </row>
    <row r="4735" customFormat="false" ht="15" hidden="false" customHeight="false" outlineLevel="0" collapsed="false">
      <c r="L4735" s="37" t="str">
        <f aca="false">IF(C4735="","",IF(C4735&lt;=5,"Night (00-05)",IF(C4735&lt;=11,"Morning (06-11)",IF(C4735&lt;=16,"Afternoon (12-16)",IF(C4735&lt;=20,"Evening (17-20)","Late (21-23)")))))</f>
        <v/>
      </c>
    </row>
    <row r="4736" customFormat="false" ht="15" hidden="false" customHeight="false" outlineLevel="0" collapsed="false">
      <c r="L4736" s="37" t="str">
        <f aca="false">IF(C4736="","",IF(C4736&lt;=5,"Night (00-05)",IF(C4736&lt;=11,"Morning (06-11)",IF(C4736&lt;=16,"Afternoon (12-16)",IF(C4736&lt;=20,"Evening (17-20)","Late (21-23)")))))</f>
        <v/>
      </c>
    </row>
    <row r="4737" customFormat="false" ht="15" hidden="false" customHeight="false" outlineLevel="0" collapsed="false">
      <c r="L4737" s="37" t="str">
        <f aca="false">IF(C4737="","",IF(C4737&lt;=5,"Night (00-05)",IF(C4737&lt;=11,"Morning (06-11)",IF(C4737&lt;=16,"Afternoon (12-16)",IF(C4737&lt;=20,"Evening (17-20)","Late (21-23)")))))</f>
        <v/>
      </c>
    </row>
    <row r="4738" customFormat="false" ht="15" hidden="false" customHeight="false" outlineLevel="0" collapsed="false">
      <c r="L4738" s="37" t="str">
        <f aca="false">IF(C4738="","",IF(C4738&lt;=5,"Night (00-05)",IF(C4738&lt;=11,"Morning (06-11)",IF(C4738&lt;=16,"Afternoon (12-16)",IF(C4738&lt;=20,"Evening (17-20)","Late (21-23)")))))</f>
        <v/>
      </c>
    </row>
    <row r="4739" customFormat="false" ht="15" hidden="false" customHeight="false" outlineLevel="0" collapsed="false">
      <c r="L4739" s="37" t="str">
        <f aca="false">IF(C4739="","",IF(C4739&lt;=5,"Night (00-05)",IF(C4739&lt;=11,"Morning (06-11)",IF(C4739&lt;=16,"Afternoon (12-16)",IF(C4739&lt;=20,"Evening (17-20)","Late (21-23)")))))</f>
        <v/>
      </c>
    </row>
    <row r="4740" customFormat="false" ht="15" hidden="false" customHeight="false" outlineLevel="0" collapsed="false">
      <c r="L4740" s="37" t="str">
        <f aca="false">IF(C4740="","",IF(C4740&lt;=5,"Night (00-05)",IF(C4740&lt;=11,"Morning (06-11)",IF(C4740&lt;=16,"Afternoon (12-16)",IF(C4740&lt;=20,"Evening (17-20)","Late (21-23)")))))</f>
        <v/>
      </c>
    </row>
    <row r="4741" customFormat="false" ht="15" hidden="false" customHeight="false" outlineLevel="0" collapsed="false">
      <c r="L4741" s="37" t="str">
        <f aca="false">IF(C4741="","",IF(C4741&lt;=5,"Night (00-05)",IF(C4741&lt;=11,"Morning (06-11)",IF(C4741&lt;=16,"Afternoon (12-16)",IF(C4741&lt;=20,"Evening (17-20)","Late (21-23)")))))</f>
        <v/>
      </c>
    </row>
    <row r="4742" customFormat="false" ht="15" hidden="false" customHeight="false" outlineLevel="0" collapsed="false">
      <c r="L4742" s="37" t="str">
        <f aca="false">IF(C4742="","",IF(C4742&lt;=5,"Night (00-05)",IF(C4742&lt;=11,"Morning (06-11)",IF(C4742&lt;=16,"Afternoon (12-16)",IF(C4742&lt;=20,"Evening (17-20)","Late (21-23)")))))</f>
        <v/>
      </c>
    </row>
    <row r="4743" customFormat="false" ht="15" hidden="false" customHeight="false" outlineLevel="0" collapsed="false">
      <c r="L4743" s="37" t="str">
        <f aca="false">IF(C4743="","",IF(C4743&lt;=5,"Night (00-05)",IF(C4743&lt;=11,"Morning (06-11)",IF(C4743&lt;=16,"Afternoon (12-16)",IF(C4743&lt;=20,"Evening (17-20)","Late (21-23)")))))</f>
        <v/>
      </c>
    </row>
    <row r="4744" customFormat="false" ht="15" hidden="false" customHeight="false" outlineLevel="0" collapsed="false">
      <c r="L4744" s="37" t="str">
        <f aca="false">IF(C4744="","",IF(C4744&lt;=5,"Night (00-05)",IF(C4744&lt;=11,"Morning (06-11)",IF(C4744&lt;=16,"Afternoon (12-16)",IF(C4744&lt;=20,"Evening (17-20)","Late (21-23)")))))</f>
        <v/>
      </c>
    </row>
    <row r="4745" customFormat="false" ht="15" hidden="false" customHeight="false" outlineLevel="0" collapsed="false">
      <c r="L4745" s="37" t="str">
        <f aca="false">IF(C4745="","",IF(C4745&lt;=5,"Night (00-05)",IF(C4745&lt;=11,"Morning (06-11)",IF(C4745&lt;=16,"Afternoon (12-16)",IF(C4745&lt;=20,"Evening (17-20)","Late (21-23)")))))</f>
        <v/>
      </c>
    </row>
    <row r="4746" customFormat="false" ht="15" hidden="false" customHeight="false" outlineLevel="0" collapsed="false">
      <c r="L4746" s="37" t="str">
        <f aca="false">IF(C4746="","",IF(C4746&lt;=5,"Night (00-05)",IF(C4746&lt;=11,"Morning (06-11)",IF(C4746&lt;=16,"Afternoon (12-16)",IF(C4746&lt;=20,"Evening (17-20)","Late (21-23)")))))</f>
        <v/>
      </c>
    </row>
    <row r="4747" customFormat="false" ht="15" hidden="false" customHeight="false" outlineLevel="0" collapsed="false">
      <c r="L4747" s="37" t="str">
        <f aca="false">IF(C4747="","",IF(C4747&lt;=5,"Night (00-05)",IF(C4747&lt;=11,"Morning (06-11)",IF(C4747&lt;=16,"Afternoon (12-16)",IF(C4747&lt;=20,"Evening (17-20)","Late (21-23)")))))</f>
        <v/>
      </c>
    </row>
    <row r="4748" customFormat="false" ht="15" hidden="false" customHeight="false" outlineLevel="0" collapsed="false">
      <c r="L4748" s="37" t="str">
        <f aca="false">IF(C4748="","",IF(C4748&lt;=5,"Night (00-05)",IF(C4748&lt;=11,"Morning (06-11)",IF(C4748&lt;=16,"Afternoon (12-16)",IF(C4748&lt;=20,"Evening (17-20)","Late (21-23)")))))</f>
        <v/>
      </c>
    </row>
    <row r="4749" customFormat="false" ht="15" hidden="false" customHeight="false" outlineLevel="0" collapsed="false">
      <c r="L4749" s="37" t="str">
        <f aca="false">IF(C4749="","",IF(C4749&lt;=5,"Night (00-05)",IF(C4749&lt;=11,"Morning (06-11)",IF(C4749&lt;=16,"Afternoon (12-16)",IF(C4749&lt;=20,"Evening (17-20)","Late (21-23)")))))</f>
        <v/>
      </c>
    </row>
    <row r="4750" customFormat="false" ht="15" hidden="false" customHeight="false" outlineLevel="0" collapsed="false">
      <c r="L4750" s="37" t="str">
        <f aca="false">IF(C4750="","",IF(C4750&lt;=5,"Night (00-05)",IF(C4750&lt;=11,"Morning (06-11)",IF(C4750&lt;=16,"Afternoon (12-16)",IF(C4750&lt;=20,"Evening (17-20)","Late (21-23)")))))</f>
        <v/>
      </c>
    </row>
    <row r="4751" customFormat="false" ht="15" hidden="false" customHeight="false" outlineLevel="0" collapsed="false">
      <c r="L4751" s="37" t="str">
        <f aca="false">IF(C4751="","",IF(C4751&lt;=5,"Night (00-05)",IF(C4751&lt;=11,"Morning (06-11)",IF(C4751&lt;=16,"Afternoon (12-16)",IF(C4751&lt;=20,"Evening (17-20)","Late (21-23)")))))</f>
        <v/>
      </c>
    </row>
    <row r="4752" customFormat="false" ht="15" hidden="false" customHeight="false" outlineLevel="0" collapsed="false">
      <c r="L4752" s="37" t="str">
        <f aca="false">IF(C4752="","",IF(C4752&lt;=5,"Night (00-05)",IF(C4752&lt;=11,"Morning (06-11)",IF(C4752&lt;=16,"Afternoon (12-16)",IF(C4752&lt;=20,"Evening (17-20)","Late (21-23)")))))</f>
        <v/>
      </c>
    </row>
    <row r="4753" customFormat="false" ht="15" hidden="false" customHeight="false" outlineLevel="0" collapsed="false">
      <c r="L4753" s="37" t="str">
        <f aca="false">IF(C4753="","",IF(C4753&lt;=5,"Night (00-05)",IF(C4753&lt;=11,"Morning (06-11)",IF(C4753&lt;=16,"Afternoon (12-16)",IF(C4753&lt;=20,"Evening (17-20)","Late (21-23)")))))</f>
        <v/>
      </c>
    </row>
    <row r="4754" customFormat="false" ht="15" hidden="false" customHeight="false" outlineLevel="0" collapsed="false">
      <c r="L4754" s="37" t="str">
        <f aca="false">IF(C4754="","",IF(C4754&lt;=5,"Night (00-05)",IF(C4754&lt;=11,"Morning (06-11)",IF(C4754&lt;=16,"Afternoon (12-16)",IF(C4754&lt;=20,"Evening (17-20)","Late (21-23)")))))</f>
        <v/>
      </c>
    </row>
    <row r="4755" customFormat="false" ht="15" hidden="false" customHeight="false" outlineLevel="0" collapsed="false">
      <c r="L4755" s="37" t="str">
        <f aca="false">IF(C4755="","",IF(C4755&lt;=5,"Night (00-05)",IF(C4755&lt;=11,"Morning (06-11)",IF(C4755&lt;=16,"Afternoon (12-16)",IF(C4755&lt;=20,"Evening (17-20)","Late (21-23)")))))</f>
        <v/>
      </c>
    </row>
    <row r="4756" customFormat="false" ht="15" hidden="false" customHeight="false" outlineLevel="0" collapsed="false">
      <c r="L4756" s="37" t="str">
        <f aca="false">IF(C4756="","",IF(C4756&lt;=5,"Night (00-05)",IF(C4756&lt;=11,"Morning (06-11)",IF(C4756&lt;=16,"Afternoon (12-16)",IF(C4756&lt;=20,"Evening (17-20)","Late (21-23)")))))</f>
        <v/>
      </c>
    </row>
    <row r="4757" customFormat="false" ht="15" hidden="false" customHeight="false" outlineLevel="0" collapsed="false">
      <c r="L4757" s="37" t="str">
        <f aca="false">IF(C4757="","",IF(C4757&lt;=5,"Night (00-05)",IF(C4757&lt;=11,"Morning (06-11)",IF(C4757&lt;=16,"Afternoon (12-16)",IF(C4757&lt;=20,"Evening (17-20)","Late (21-23)")))))</f>
        <v/>
      </c>
    </row>
    <row r="4758" customFormat="false" ht="15" hidden="false" customHeight="false" outlineLevel="0" collapsed="false">
      <c r="L4758" s="37" t="str">
        <f aca="false">IF(C4758="","",IF(C4758&lt;=5,"Night (00-05)",IF(C4758&lt;=11,"Morning (06-11)",IF(C4758&lt;=16,"Afternoon (12-16)",IF(C4758&lt;=20,"Evening (17-20)","Late (21-23)")))))</f>
        <v/>
      </c>
    </row>
    <row r="4759" customFormat="false" ht="15" hidden="false" customHeight="false" outlineLevel="0" collapsed="false">
      <c r="L4759" s="37" t="str">
        <f aca="false">IF(C4759="","",IF(C4759&lt;=5,"Night (00-05)",IF(C4759&lt;=11,"Morning (06-11)",IF(C4759&lt;=16,"Afternoon (12-16)",IF(C4759&lt;=20,"Evening (17-20)","Late (21-23)")))))</f>
        <v/>
      </c>
    </row>
    <row r="4760" customFormat="false" ht="15" hidden="false" customHeight="false" outlineLevel="0" collapsed="false">
      <c r="L4760" s="37" t="str">
        <f aca="false">IF(C4760="","",IF(C4760&lt;=5,"Night (00-05)",IF(C4760&lt;=11,"Morning (06-11)",IF(C4760&lt;=16,"Afternoon (12-16)",IF(C4760&lt;=20,"Evening (17-20)","Late (21-23)")))))</f>
        <v/>
      </c>
    </row>
    <row r="4761" customFormat="false" ht="15" hidden="false" customHeight="false" outlineLevel="0" collapsed="false">
      <c r="L4761" s="37" t="str">
        <f aca="false">IF(C4761="","",IF(C4761&lt;=5,"Night (00-05)",IF(C4761&lt;=11,"Morning (06-11)",IF(C4761&lt;=16,"Afternoon (12-16)",IF(C4761&lt;=20,"Evening (17-20)","Late (21-23)")))))</f>
        <v/>
      </c>
    </row>
    <row r="4762" customFormat="false" ht="15" hidden="false" customHeight="false" outlineLevel="0" collapsed="false">
      <c r="L4762" s="37" t="str">
        <f aca="false">IF(C4762="","",IF(C4762&lt;=5,"Night (00-05)",IF(C4762&lt;=11,"Morning (06-11)",IF(C4762&lt;=16,"Afternoon (12-16)",IF(C4762&lt;=20,"Evening (17-20)","Late (21-23)")))))</f>
        <v/>
      </c>
    </row>
    <row r="4763" customFormat="false" ht="15" hidden="false" customHeight="false" outlineLevel="0" collapsed="false">
      <c r="L4763" s="37" t="str">
        <f aca="false">IF(C4763="","",IF(C4763&lt;=5,"Night (00-05)",IF(C4763&lt;=11,"Morning (06-11)",IF(C4763&lt;=16,"Afternoon (12-16)",IF(C4763&lt;=20,"Evening (17-20)","Late (21-23)")))))</f>
        <v/>
      </c>
    </row>
    <row r="4764" customFormat="false" ht="15" hidden="false" customHeight="false" outlineLevel="0" collapsed="false">
      <c r="L4764" s="37" t="str">
        <f aca="false">IF(C4764="","",IF(C4764&lt;=5,"Night (00-05)",IF(C4764&lt;=11,"Morning (06-11)",IF(C4764&lt;=16,"Afternoon (12-16)",IF(C4764&lt;=20,"Evening (17-20)","Late (21-23)")))))</f>
        <v/>
      </c>
    </row>
    <row r="4765" customFormat="false" ht="15" hidden="false" customHeight="false" outlineLevel="0" collapsed="false">
      <c r="L4765" s="37" t="str">
        <f aca="false">IF(C4765="","",IF(C4765&lt;=5,"Night (00-05)",IF(C4765&lt;=11,"Morning (06-11)",IF(C4765&lt;=16,"Afternoon (12-16)",IF(C4765&lt;=20,"Evening (17-20)","Late (21-23)")))))</f>
        <v/>
      </c>
    </row>
    <row r="4766" customFormat="false" ht="15" hidden="false" customHeight="false" outlineLevel="0" collapsed="false">
      <c r="L4766" s="37" t="str">
        <f aca="false">IF(C4766="","",IF(C4766&lt;=5,"Night (00-05)",IF(C4766&lt;=11,"Morning (06-11)",IF(C4766&lt;=16,"Afternoon (12-16)",IF(C4766&lt;=20,"Evening (17-20)","Late (21-23)")))))</f>
        <v/>
      </c>
    </row>
    <row r="4767" customFormat="false" ht="15" hidden="false" customHeight="false" outlineLevel="0" collapsed="false">
      <c r="L4767" s="37" t="str">
        <f aca="false">IF(C4767="","",IF(C4767&lt;=5,"Night (00-05)",IF(C4767&lt;=11,"Morning (06-11)",IF(C4767&lt;=16,"Afternoon (12-16)",IF(C4767&lt;=20,"Evening (17-20)","Late (21-23)")))))</f>
        <v/>
      </c>
    </row>
    <row r="4768" customFormat="false" ht="15" hidden="false" customHeight="false" outlineLevel="0" collapsed="false">
      <c r="L4768" s="37" t="str">
        <f aca="false">IF(C4768="","",IF(C4768&lt;=5,"Night (00-05)",IF(C4768&lt;=11,"Morning (06-11)",IF(C4768&lt;=16,"Afternoon (12-16)",IF(C4768&lt;=20,"Evening (17-20)","Late (21-23)")))))</f>
        <v/>
      </c>
    </row>
    <row r="4769" customFormat="false" ht="15" hidden="false" customHeight="false" outlineLevel="0" collapsed="false">
      <c r="L4769" s="37" t="str">
        <f aca="false">IF(C4769="","",IF(C4769&lt;=5,"Night (00-05)",IF(C4769&lt;=11,"Morning (06-11)",IF(C4769&lt;=16,"Afternoon (12-16)",IF(C4769&lt;=20,"Evening (17-20)","Late (21-23)")))))</f>
        <v/>
      </c>
    </row>
    <row r="4770" customFormat="false" ht="15" hidden="false" customHeight="false" outlineLevel="0" collapsed="false">
      <c r="L4770" s="37" t="str">
        <f aca="false">IF(C4770="","",IF(C4770&lt;=5,"Night (00-05)",IF(C4770&lt;=11,"Morning (06-11)",IF(C4770&lt;=16,"Afternoon (12-16)",IF(C4770&lt;=20,"Evening (17-20)","Late (21-23)")))))</f>
        <v/>
      </c>
    </row>
    <row r="4771" customFormat="false" ht="15" hidden="false" customHeight="false" outlineLevel="0" collapsed="false">
      <c r="L4771" s="37" t="str">
        <f aca="false">IF(C4771="","",IF(C4771&lt;=5,"Night (00-05)",IF(C4771&lt;=11,"Morning (06-11)",IF(C4771&lt;=16,"Afternoon (12-16)",IF(C4771&lt;=20,"Evening (17-20)","Late (21-23)")))))</f>
        <v/>
      </c>
    </row>
    <row r="4772" customFormat="false" ht="15" hidden="false" customHeight="false" outlineLevel="0" collapsed="false">
      <c r="L4772" s="37" t="str">
        <f aca="false">IF(C4772="","",IF(C4772&lt;=5,"Night (00-05)",IF(C4772&lt;=11,"Morning (06-11)",IF(C4772&lt;=16,"Afternoon (12-16)",IF(C4772&lt;=20,"Evening (17-20)","Late (21-23)")))))</f>
        <v/>
      </c>
    </row>
    <row r="4773" customFormat="false" ht="15" hidden="false" customHeight="false" outlineLevel="0" collapsed="false">
      <c r="L4773" s="37" t="str">
        <f aca="false">IF(C4773="","",IF(C4773&lt;=5,"Night (00-05)",IF(C4773&lt;=11,"Morning (06-11)",IF(C4773&lt;=16,"Afternoon (12-16)",IF(C4773&lt;=20,"Evening (17-20)","Late (21-23)")))))</f>
        <v/>
      </c>
    </row>
    <row r="4774" customFormat="false" ht="15" hidden="false" customHeight="false" outlineLevel="0" collapsed="false">
      <c r="L4774" s="37" t="str">
        <f aca="false">IF(C4774="","",IF(C4774&lt;=5,"Night (00-05)",IF(C4774&lt;=11,"Morning (06-11)",IF(C4774&lt;=16,"Afternoon (12-16)",IF(C4774&lt;=20,"Evening (17-20)","Late (21-23)")))))</f>
        <v/>
      </c>
    </row>
    <row r="4775" customFormat="false" ht="15" hidden="false" customHeight="false" outlineLevel="0" collapsed="false">
      <c r="L4775" s="37" t="str">
        <f aca="false">IF(C4775="","",IF(C4775&lt;=5,"Night (00-05)",IF(C4775&lt;=11,"Morning (06-11)",IF(C4775&lt;=16,"Afternoon (12-16)",IF(C4775&lt;=20,"Evening (17-20)","Late (21-23)")))))</f>
        <v/>
      </c>
    </row>
    <row r="4776" customFormat="false" ht="15" hidden="false" customHeight="false" outlineLevel="0" collapsed="false">
      <c r="L4776" s="37" t="str">
        <f aca="false">IF(C4776="","",IF(C4776&lt;=5,"Night (00-05)",IF(C4776&lt;=11,"Morning (06-11)",IF(C4776&lt;=16,"Afternoon (12-16)",IF(C4776&lt;=20,"Evening (17-20)","Late (21-23)")))))</f>
        <v/>
      </c>
    </row>
    <row r="4777" customFormat="false" ht="15" hidden="false" customHeight="false" outlineLevel="0" collapsed="false">
      <c r="L4777" s="37" t="str">
        <f aca="false">IF(C4777="","",IF(C4777&lt;=5,"Night (00-05)",IF(C4777&lt;=11,"Morning (06-11)",IF(C4777&lt;=16,"Afternoon (12-16)",IF(C4777&lt;=20,"Evening (17-20)","Late (21-23)")))))</f>
        <v/>
      </c>
    </row>
    <row r="4778" customFormat="false" ht="15" hidden="false" customHeight="false" outlineLevel="0" collapsed="false">
      <c r="L4778" s="37" t="str">
        <f aca="false">IF(C4778="","",IF(C4778&lt;=5,"Night (00-05)",IF(C4778&lt;=11,"Morning (06-11)",IF(C4778&lt;=16,"Afternoon (12-16)",IF(C4778&lt;=20,"Evening (17-20)","Late (21-23)")))))</f>
        <v/>
      </c>
    </row>
    <row r="4779" customFormat="false" ht="15" hidden="false" customHeight="false" outlineLevel="0" collapsed="false">
      <c r="L4779" s="37" t="str">
        <f aca="false">IF(C4779="","",IF(C4779&lt;=5,"Night (00-05)",IF(C4779&lt;=11,"Morning (06-11)",IF(C4779&lt;=16,"Afternoon (12-16)",IF(C4779&lt;=20,"Evening (17-20)","Late (21-23)")))))</f>
        <v/>
      </c>
    </row>
    <row r="4780" customFormat="false" ht="15" hidden="false" customHeight="false" outlineLevel="0" collapsed="false">
      <c r="L4780" s="37" t="str">
        <f aca="false">IF(C4780="","",IF(C4780&lt;=5,"Night (00-05)",IF(C4780&lt;=11,"Morning (06-11)",IF(C4780&lt;=16,"Afternoon (12-16)",IF(C4780&lt;=20,"Evening (17-20)","Late (21-23)")))))</f>
        <v/>
      </c>
    </row>
    <row r="4781" customFormat="false" ht="15" hidden="false" customHeight="false" outlineLevel="0" collapsed="false">
      <c r="L4781" s="37" t="str">
        <f aca="false">IF(C4781="","",IF(C4781&lt;=5,"Night (00-05)",IF(C4781&lt;=11,"Morning (06-11)",IF(C4781&lt;=16,"Afternoon (12-16)",IF(C4781&lt;=20,"Evening (17-20)","Late (21-23)")))))</f>
        <v/>
      </c>
    </row>
    <row r="4782" customFormat="false" ht="15" hidden="false" customHeight="false" outlineLevel="0" collapsed="false">
      <c r="L4782" s="37" t="str">
        <f aca="false">IF(C4782="","",IF(C4782&lt;=5,"Night (00-05)",IF(C4782&lt;=11,"Morning (06-11)",IF(C4782&lt;=16,"Afternoon (12-16)",IF(C4782&lt;=20,"Evening (17-20)","Late (21-23)")))))</f>
        <v/>
      </c>
    </row>
    <row r="4783" customFormat="false" ht="15" hidden="false" customHeight="false" outlineLevel="0" collapsed="false">
      <c r="L4783" s="37" t="str">
        <f aca="false">IF(C4783="","",IF(C4783&lt;=5,"Night (00-05)",IF(C4783&lt;=11,"Morning (06-11)",IF(C4783&lt;=16,"Afternoon (12-16)",IF(C4783&lt;=20,"Evening (17-20)","Late (21-23)")))))</f>
        <v/>
      </c>
    </row>
    <row r="4784" customFormat="false" ht="15" hidden="false" customHeight="false" outlineLevel="0" collapsed="false">
      <c r="L4784" s="37" t="str">
        <f aca="false">IF(C4784="","",IF(C4784&lt;=5,"Night (00-05)",IF(C4784&lt;=11,"Morning (06-11)",IF(C4784&lt;=16,"Afternoon (12-16)",IF(C4784&lt;=20,"Evening (17-20)","Late (21-23)")))))</f>
        <v/>
      </c>
    </row>
    <row r="4785" customFormat="false" ht="15" hidden="false" customHeight="false" outlineLevel="0" collapsed="false">
      <c r="L4785" s="37" t="str">
        <f aca="false">IF(C4785="","",IF(C4785&lt;=5,"Night (00-05)",IF(C4785&lt;=11,"Morning (06-11)",IF(C4785&lt;=16,"Afternoon (12-16)",IF(C4785&lt;=20,"Evening (17-20)","Late (21-23)")))))</f>
        <v/>
      </c>
    </row>
    <row r="4786" customFormat="false" ht="15" hidden="false" customHeight="false" outlineLevel="0" collapsed="false">
      <c r="L4786" s="37" t="str">
        <f aca="false">IF(C4786="","",IF(C4786&lt;=5,"Night (00-05)",IF(C4786&lt;=11,"Morning (06-11)",IF(C4786&lt;=16,"Afternoon (12-16)",IF(C4786&lt;=20,"Evening (17-20)","Late (21-23)")))))</f>
        <v/>
      </c>
    </row>
    <row r="4787" customFormat="false" ht="15" hidden="false" customHeight="false" outlineLevel="0" collapsed="false">
      <c r="L4787" s="37" t="str">
        <f aca="false">IF(C4787="","",IF(C4787&lt;=5,"Night (00-05)",IF(C4787&lt;=11,"Morning (06-11)",IF(C4787&lt;=16,"Afternoon (12-16)",IF(C4787&lt;=20,"Evening (17-20)","Late (21-23)")))))</f>
        <v/>
      </c>
    </row>
    <row r="4788" customFormat="false" ht="15" hidden="false" customHeight="false" outlineLevel="0" collapsed="false">
      <c r="L4788" s="37" t="str">
        <f aca="false">IF(C4788="","",IF(C4788&lt;=5,"Night (00-05)",IF(C4788&lt;=11,"Morning (06-11)",IF(C4788&lt;=16,"Afternoon (12-16)",IF(C4788&lt;=20,"Evening (17-20)","Late (21-23)")))))</f>
        <v/>
      </c>
    </row>
    <row r="4789" customFormat="false" ht="15" hidden="false" customHeight="false" outlineLevel="0" collapsed="false">
      <c r="L4789" s="37" t="str">
        <f aca="false">IF(C4789="","",IF(C4789&lt;=5,"Night (00-05)",IF(C4789&lt;=11,"Morning (06-11)",IF(C4789&lt;=16,"Afternoon (12-16)",IF(C4789&lt;=20,"Evening (17-20)","Late (21-23)")))))</f>
        <v/>
      </c>
    </row>
    <row r="4790" customFormat="false" ht="15" hidden="false" customHeight="false" outlineLevel="0" collapsed="false">
      <c r="L4790" s="37" t="str">
        <f aca="false">IF(C4790="","",IF(C4790&lt;=5,"Night (00-05)",IF(C4790&lt;=11,"Morning (06-11)",IF(C4790&lt;=16,"Afternoon (12-16)",IF(C4790&lt;=20,"Evening (17-20)","Late (21-23)")))))</f>
        <v/>
      </c>
    </row>
    <row r="4791" customFormat="false" ht="15" hidden="false" customHeight="false" outlineLevel="0" collapsed="false">
      <c r="L4791" s="37" t="str">
        <f aca="false">IF(C4791="","",IF(C4791&lt;=5,"Night (00-05)",IF(C4791&lt;=11,"Morning (06-11)",IF(C4791&lt;=16,"Afternoon (12-16)",IF(C4791&lt;=20,"Evening (17-20)","Late (21-23)")))))</f>
        <v/>
      </c>
    </row>
    <row r="4792" customFormat="false" ht="15" hidden="false" customHeight="false" outlineLevel="0" collapsed="false">
      <c r="L4792" s="37" t="str">
        <f aca="false">IF(C4792="","",IF(C4792&lt;=5,"Night (00-05)",IF(C4792&lt;=11,"Morning (06-11)",IF(C4792&lt;=16,"Afternoon (12-16)",IF(C4792&lt;=20,"Evening (17-20)","Late (21-23)")))))</f>
        <v/>
      </c>
    </row>
    <row r="4793" customFormat="false" ht="15" hidden="false" customHeight="false" outlineLevel="0" collapsed="false">
      <c r="L4793" s="37" t="str">
        <f aca="false">IF(C4793="","",IF(C4793&lt;=5,"Night (00-05)",IF(C4793&lt;=11,"Morning (06-11)",IF(C4793&lt;=16,"Afternoon (12-16)",IF(C4793&lt;=20,"Evening (17-20)","Late (21-23)")))))</f>
        <v/>
      </c>
    </row>
    <row r="4794" customFormat="false" ht="15" hidden="false" customHeight="false" outlineLevel="0" collapsed="false">
      <c r="L4794" s="37" t="str">
        <f aca="false">IF(C4794="","",IF(C4794&lt;=5,"Night (00-05)",IF(C4794&lt;=11,"Morning (06-11)",IF(C4794&lt;=16,"Afternoon (12-16)",IF(C4794&lt;=20,"Evening (17-20)","Late (21-23)")))))</f>
        <v/>
      </c>
    </row>
    <row r="4795" customFormat="false" ht="15" hidden="false" customHeight="false" outlineLevel="0" collapsed="false">
      <c r="L4795" s="37" t="str">
        <f aca="false">IF(C4795="","",IF(C4795&lt;=5,"Night (00-05)",IF(C4795&lt;=11,"Morning (06-11)",IF(C4795&lt;=16,"Afternoon (12-16)",IF(C4795&lt;=20,"Evening (17-20)","Late (21-23)")))))</f>
        <v/>
      </c>
    </row>
    <row r="4796" customFormat="false" ht="15" hidden="false" customHeight="false" outlineLevel="0" collapsed="false">
      <c r="L4796" s="37" t="str">
        <f aca="false">IF(C4796="","",IF(C4796&lt;=5,"Night (00-05)",IF(C4796&lt;=11,"Morning (06-11)",IF(C4796&lt;=16,"Afternoon (12-16)",IF(C4796&lt;=20,"Evening (17-20)","Late (21-23)")))))</f>
        <v/>
      </c>
    </row>
    <row r="4797" customFormat="false" ht="15" hidden="false" customHeight="false" outlineLevel="0" collapsed="false">
      <c r="L4797" s="37" t="str">
        <f aca="false">IF(C4797="","",IF(C4797&lt;=5,"Night (00-05)",IF(C4797&lt;=11,"Morning (06-11)",IF(C4797&lt;=16,"Afternoon (12-16)",IF(C4797&lt;=20,"Evening (17-20)","Late (21-23)")))))</f>
        <v/>
      </c>
    </row>
    <row r="4798" customFormat="false" ht="15" hidden="false" customHeight="false" outlineLevel="0" collapsed="false">
      <c r="L4798" s="37" t="str">
        <f aca="false">IF(C4798="","",IF(C4798&lt;=5,"Night (00-05)",IF(C4798&lt;=11,"Morning (06-11)",IF(C4798&lt;=16,"Afternoon (12-16)",IF(C4798&lt;=20,"Evening (17-20)","Late (21-23)")))))</f>
        <v/>
      </c>
    </row>
    <row r="4799" customFormat="false" ht="15" hidden="false" customHeight="false" outlineLevel="0" collapsed="false">
      <c r="L4799" s="37" t="str">
        <f aca="false">IF(C4799="","",IF(C4799&lt;=5,"Night (00-05)",IF(C4799&lt;=11,"Morning (06-11)",IF(C4799&lt;=16,"Afternoon (12-16)",IF(C4799&lt;=20,"Evening (17-20)","Late (21-23)")))))</f>
        <v/>
      </c>
    </row>
    <row r="4800" customFormat="false" ht="15" hidden="false" customHeight="false" outlineLevel="0" collapsed="false">
      <c r="L4800" s="37" t="str">
        <f aca="false">IF(C4800="","",IF(C4800&lt;=5,"Night (00-05)",IF(C4800&lt;=11,"Morning (06-11)",IF(C4800&lt;=16,"Afternoon (12-16)",IF(C4800&lt;=20,"Evening (17-20)","Late (21-23)")))))</f>
        <v/>
      </c>
    </row>
    <row r="4801" customFormat="false" ht="15" hidden="false" customHeight="false" outlineLevel="0" collapsed="false">
      <c r="L4801" s="37" t="str">
        <f aca="false">IF(C4801="","",IF(C4801&lt;=5,"Night (00-05)",IF(C4801&lt;=11,"Morning (06-11)",IF(C4801&lt;=16,"Afternoon (12-16)",IF(C4801&lt;=20,"Evening (17-20)","Late (21-23)")))))</f>
        <v/>
      </c>
    </row>
    <row r="4802" customFormat="false" ht="15" hidden="false" customHeight="false" outlineLevel="0" collapsed="false">
      <c r="L4802" s="37" t="str">
        <f aca="false">IF(C4802="","",IF(C4802&lt;=5,"Night (00-05)",IF(C4802&lt;=11,"Morning (06-11)",IF(C4802&lt;=16,"Afternoon (12-16)",IF(C4802&lt;=20,"Evening (17-20)","Late (21-23)")))))</f>
        <v/>
      </c>
    </row>
    <row r="4803" customFormat="false" ht="15" hidden="false" customHeight="false" outlineLevel="0" collapsed="false">
      <c r="L4803" s="37" t="str">
        <f aca="false">IF(C4803="","",IF(C4803&lt;=5,"Night (00-05)",IF(C4803&lt;=11,"Morning (06-11)",IF(C4803&lt;=16,"Afternoon (12-16)",IF(C4803&lt;=20,"Evening (17-20)","Late (21-23)")))))</f>
        <v/>
      </c>
    </row>
    <row r="4804" customFormat="false" ht="15" hidden="false" customHeight="false" outlineLevel="0" collapsed="false">
      <c r="L4804" s="37" t="str">
        <f aca="false">IF(C4804="","",IF(C4804&lt;=5,"Night (00-05)",IF(C4804&lt;=11,"Morning (06-11)",IF(C4804&lt;=16,"Afternoon (12-16)",IF(C4804&lt;=20,"Evening (17-20)","Late (21-23)")))))</f>
        <v/>
      </c>
    </row>
    <row r="4805" customFormat="false" ht="15" hidden="false" customHeight="false" outlineLevel="0" collapsed="false">
      <c r="L4805" s="37" t="str">
        <f aca="false">IF(C4805="","",IF(C4805&lt;=5,"Night (00-05)",IF(C4805&lt;=11,"Morning (06-11)",IF(C4805&lt;=16,"Afternoon (12-16)",IF(C4805&lt;=20,"Evening (17-20)","Late (21-23)")))))</f>
        <v/>
      </c>
    </row>
    <row r="4806" customFormat="false" ht="15" hidden="false" customHeight="false" outlineLevel="0" collapsed="false">
      <c r="L4806" s="37" t="str">
        <f aca="false">IF(C4806="","",IF(C4806&lt;=5,"Night (00-05)",IF(C4806&lt;=11,"Morning (06-11)",IF(C4806&lt;=16,"Afternoon (12-16)",IF(C4806&lt;=20,"Evening (17-20)","Late (21-23)")))))</f>
        <v/>
      </c>
    </row>
    <row r="4807" customFormat="false" ht="15" hidden="false" customHeight="false" outlineLevel="0" collapsed="false">
      <c r="L4807" s="37" t="str">
        <f aca="false">IF(C4807="","",IF(C4807&lt;=5,"Night (00-05)",IF(C4807&lt;=11,"Morning (06-11)",IF(C4807&lt;=16,"Afternoon (12-16)",IF(C4807&lt;=20,"Evening (17-20)","Late (21-23)")))))</f>
        <v/>
      </c>
    </row>
    <row r="4808" customFormat="false" ht="15" hidden="false" customHeight="false" outlineLevel="0" collapsed="false">
      <c r="L4808" s="37" t="str">
        <f aca="false">IF(C4808="","",IF(C4808&lt;=5,"Night (00-05)",IF(C4808&lt;=11,"Morning (06-11)",IF(C4808&lt;=16,"Afternoon (12-16)",IF(C4808&lt;=20,"Evening (17-20)","Late (21-23)")))))</f>
        <v/>
      </c>
    </row>
    <row r="4809" customFormat="false" ht="15" hidden="false" customHeight="false" outlineLevel="0" collapsed="false">
      <c r="L4809" s="37" t="str">
        <f aca="false">IF(C4809="","",IF(C4809&lt;=5,"Night (00-05)",IF(C4809&lt;=11,"Morning (06-11)",IF(C4809&lt;=16,"Afternoon (12-16)",IF(C4809&lt;=20,"Evening (17-20)","Late (21-23)")))))</f>
        <v/>
      </c>
    </row>
    <row r="4810" customFormat="false" ht="15" hidden="false" customHeight="false" outlineLevel="0" collapsed="false">
      <c r="L4810" s="37" t="str">
        <f aca="false">IF(C4810="","",IF(C4810&lt;=5,"Night (00-05)",IF(C4810&lt;=11,"Morning (06-11)",IF(C4810&lt;=16,"Afternoon (12-16)",IF(C4810&lt;=20,"Evening (17-20)","Late (21-23)")))))</f>
        <v/>
      </c>
    </row>
    <row r="4811" customFormat="false" ht="15" hidden="false" customHeight="false" outlineLevel="0" collapsed="false">
      <c r="L4811" s="37" t="str">
        <f aca="false">IF(C4811="","",IF(C4811&lt;=5,"Night (00-05)",IF(C4811&lt;=11,"Morning (06-11)",IF(C4811&lt;=16,"Afternoon (12-16)",IF(C4811&lt;=20,"Evening (17-20)","Late (21-23)")))))</f>
        <v/>
      </c>
    </row>
    <row r="4812" customFormat="false" ht="15" hidden="false" customHeight="false" outlineLevel="0" collapsed="false">
      <c r="L4812" s="37" t="str">
        <f aca="false">IF(C4812="","",IF(C4812&lt;=5,"Night (00-05)",IF(C4812&lt;=11,"Morning (06-11)",IF(C4812&lt;=16,"Afternoon (12-16)",IF(C4812&lt;=20,"Evening (17-20)","Late (21-23)")))))</f>
        <v/>
      </c>
    </row>
    <row r="4813" customFormat="false" ht="15" hidden="false" customHeight="false" outlineLevel="0" collapsed="false">
      <c r="L4813" s="37" t="str">
        <f aca="false">IF(C4813="","",IF(C4813&lt;=5,"Night (00-05)",IF(C4813&lt;=11,"Morning (06-11)",IF(C4813&lt;=16,"Afternoon (12-16)",IF(C4813&lt;=20,"Evening (17-20)","Late (21-23)")))))</f>
        <v/>
      </c>
    </row>
    <row r="4814" customFormat="false" ht="15" hidden="false" customHeight="false" outlineLevel="0" collapsed="false">
      <c r="L4814" s="37" t="str">
        <f aca="false">IF(C4814="","",IF(C4814&lt;=5,"Night (00-05)",IF(C4814&lt;=11,"Morning (06-11)",IF(C4814&lt;=16,"Afternoon (12-16)",IF(C4814&lt;=20,"Evening (17-20)","Late (21-23)")))))</f>
        <v/>
      </c>
    </row>
    <row r="4815" customFormat="false" ht="15" hidden="false" customHeight="false" outlineLevel="0" collapsed="false">
      <c r="L4815" s="37" t="str">
        <f aca="false">IF(C4815="","",IF(C4815&lt;=5,"Night (00-05)",IF(C4815&lt;=11,"Morning (06-11)",IF(C4815&lt;=16,"Afternoon (12-16)",IF(C4815&lt;=20,"Evening (17-20)","Late (21-23)")))))</f>
        <v/>
      </c>
    </row>
    <row r="4816" customFormat="false" ht="15" hidden="false" customHeight="false" outlineLevel="0" collapsed="false">
      <c r="L4816" s="37" t="str">
        <f aca="false">IF(C4816="","",IF(C4816&lt;=5,"Night (00-05)",IF(C4816&lt;=11,"Morning (06-11)",IF(C4816&lt;=16,"Afternoon (12-16)",IF(C4816&lt;=20,"Evening (17-20)","Late (21-23)")))))</f>
        <v/>
      </c>
    </row>
    <row r="4817" customFormat="false" ht="15" hidden="false" customHeight="false" outlineLevel="0" collapsed="false">
      <c r="L4817" s="37" t="str">
        <f aca="false">IF(C4817="","",IF(C4817&lt;=5,"Night (00-05)",IF(C4817&lt;=11,"Morning (06-11)",IF(C4817&lt;=16,"Afternoon (12-16)",IF(C4817&lt;=20,"Evening (17-20)","Late (21-23)")))))</f>
        <v/>
      </c>
    </row>
    <row r="4818" customFormat="false" ht="15" hidden="false" customHeight="false" outlineLevel="0" collapsed="false">
      <c r="L4818" s="37" t="str">
        <f aca="false">IF(C4818="","",IF(C4818&lt;=5,"Night (00-05)",IF(C4818&lt;=11,"Morning (06-11)",IF(C4818&lt;=16,"Afternoon (12-16)",IF(C4818&lt;=20,"Evening (17-20)","Late (21-23)")))))</f>
        <v/>
      </c>
    </row>
    <row r="4819" customFormat="false" ht="15" hidden="false" customHeight="false" outlineLevel="0" collapsed="false">
      <c r="L4819" s="37" t="str">
        <f aca="false">IF(C4819="","",IF(C4819&lt;=5,"Night (00-05)",IF(C4819&lt;=11,"Morning (06-11)",IF(C4819&lt;=16,"Afternoon (12-16)",IF(C4819&lt;=20,"Evening (17-20)","Late (21-23)")))))</f>
        <v/>
      </c>
    </row>
    <row r="4820" customFormat="false" ht="15" hidden="false" customHeight="false" outlineLevel="0" collapsed="false">
      <c r="L4820" s="37" t="str">
        <f aca="false">IF(C4820="","",IF(C4820&lt;=5,"Night (00-05)",IF(C4820&lt;=11,"Morning (06-11)",IF(C4820&lt;=16,"Afternoon (12-16)",IF(C4820&lt;=20,"Evening (17-20)","Late (21-23)")))))</f>
        <v/>
      </c>
    </row>
    <row r="4821" customFormat="false" ht="15" hidden="false" customHeight="false" outlineLevel="0" collapsed="false">
      <c r="L4821" s="37" t="str">
        <f aca="false">IF(C4821="","",IF(C4821&lt;=5,"Night (00-05)",IF(C4821&lt;=11,"Morning (06-11)",IF(C4821&lt;=16,"Afternoon (12-16)",IF(C4821&lt;=20,"Evening (17-20)","Late (21-23)")))))</f>
        <v/>
      </c>
    </row>
    <row r="4822" customFormat="false" ht="15" hidden="false" customHeight="false" outlineLevel="0" collapsed="false">
      <c r="L4822" s="37" t="str">
        <f aca="false">IF(C4822="","",IF(C4822&lt;=5,"Night (00-05)",IF(C4822&lt;=11,"Morning (06-11)",IF(C4822&lt;=16,"Afternoon (12-16)",IF(C4822&lt;=20,"Evening (17-20)","Late (21-23)")))))</f>
        <v/>
      </c>
    </row>
    <row r="4823" customFormat="false" ht="15" hidden="false" customHeight="false" outlineLevel="0" collapsed="false">
      <c r="L4823" s="37" t="str">
        <f aca="false">IF(C4823="","",IF(C4823&lt;=5,"Night (00-05)",IF(C4823&lt;=11,"Morning (06-11)",IF(C4823&lt;=16,"Afternoon (12-16)",IF(C4823&lt;=20,"Evening (17-20)","Late (21-23)")))))</f>
        <v/>
      </c>
    </row>
    <row r="4824" customFormat="false" ht="15" hidden="false" customHeight="false" outlineLevel="0" collapsed="false">
      <c r="L4824" s="37" t="str">
        <f aca="false">IF(C4824="","",IF(C4824&lt;=5,"Night (00-05)",IF(C4824&lt;=11,"Morning (06-11)",IF(C4824&lt;=16,"Afternoon (12-16)",IF(C4824&lt;=20,"Evening (17-20)","Late (21-23)")))))</f>
        <v/>
      </c>
    </row>
    <row r="4825" customFormat="false" ht="15" hidden="false" customHeight="false" outlineLevel="0" collapsed="false">
      <c r="L4825" s="37" t="str">
        <f aca="false">IF(C4825="","",IF(C4825&lt;=5,"Night (00-05)",IF(C4825&lt;=11,"Morning (06-11)",IF(C4825&lt;=16,"Afternoon (12-16)",IF(C4825&lt;=20,"Evening (17-20)","Late (21-23)")))))</f>
        <v/>
      </c>
    </row>
    <row r="4826" customFormat="false" ht="15" hidden="false" customHeight="false" outlineLevel="0" collapsed="false">
      <c r="L4826" s="37" t="str">
        <f aca="false">IF(C4826="","",IF(C4826&lt;=5,"Night (00-05)",IF(C4826&lt;=11,"Morning (06-11)",IF(C4826&lt;=16,"Afternoon (12-16)",IF(C4826&lt;=20,"Evening (17-20)","Late (21-23)")))))</f>
        <v/>
      </c>
    </row>
    <row r="4827" customFormat="false" ht="15" hidden="false" customHeight="false" outlineLevel="0" collapsed="false">
      <c r="L4827" s="37" t="str">
        <f aca="false">IF(C4827="","",IF(C4827&lt;=5,"Night (00-05)",IF(C4827&lt;=11,"Morning (06-11)",IF(C4827&lt;=16,"Afternoon (12-16)",IF(C4827&lt;=20,"Evening (17-20)","Late (21-23)")))))</f>
        <v/>
      </c>
    </row>
    <row r="4828" customFormat="false" ht="15" hidden="false" customHeight="false" outlineLevel="0" collapsed="false">
      <c r="L4828" s="37" t="str">
        <f aca="false">IF(C4828="","",IF(C4828&lt;=5,"Night (00-05)",IF(C4828&lt;=11,"Morning (06-11)",IF(C4828&lt;=16,"Afternoon (12-16)",IF(C4828&lt;=20,"Evening (17-20)","Late (21-23)")))))</f>
        <v/>
      </c>
    </row>
    <row r="4829" customFormat="false" ht="15" hidden="false" customHeight="false" outlineLevel="0" collapsed="false">
      <c r="L4829" s="37" t="str">
        <f aca="false">IF(C4829="","",IF(C4829&lt;=5,"Night (00-05)",IF(C4829&lt;=11,"Morning (06-11)",IF(C4829&lt;=16,"Afternoon (12-16)",IF(C4829&lt;=20,"Evening (17-20)","Late (21-23)")))))</f>
        <v/>
      </c>
    </row>
    <row r="4830" customFormat="false" ht="15" hidden="false" customHeight="false" outlineLevel="0" collapsed="false">
      <c r="L4830" s="37" t="str">
        <f aca="false">IF(C4830="","",IF(C4830&lt;=5,"Night (00-05)",IF(C4830&lt;=11,"Morning (06-11)",IF(C4830&lt;=16,"Afternoon (12-16)",IF(C4830&lt;=20,"Evening (17-20)","Late (21-23)")))))</f>
        <v/>
      </c>
    </row>
    <row r="4831" customFormat="false" ht="15" hidden="false" customHeight="false" outlineLevel="0" collapsed="false">
      <c r="L4831" s="37" t="str">
        <f aca="false">IF(C4831="","",IF(C4831&lt;=5,"Night (00-05)",IF(C4831&lt;=11,"Morning (06-11)",IF(C4831&lt;=16,"Afternoon (12-16)",IF(C4831&lt;=20,"Evening (17-20)","Late (21-23)")))))</f>
        <v/>
      </c>
    </row>
    <row r="4832" customFormat="false" ht="15" hidden="false" customHeight="false" outlineLevel="0" collapsed="false">
      <c r="L4832" s="37" t="str">
        <f aca="false">IF(C4832="","",IF(C4832&lt;=5,"Night (00-05)",IF(C4832&lt;=11,"Morning (06-11)",IF(C4832&lt;=16,"Afternoon (12-16)",IF(C4832&lt;=20,"Evening (17-20)","Late (21-23)")))))</f>
        <v/>
      </c>
    </row>
    <row r="4833" customFormat="false" ht="15" hidden="false" customHeight="false" outlineLevel="0" collapsed="false">
      <c r="L4833" s="37" t="str">
        <f aca="false">IF(C4833="","",IF(C4833&lt;=5,"Night (00-05)",IF(C4833&lt;=11,"Morning (06-11)",IF(C4833&lt;=16,"Afternoon (12-16)",IF(C4833&lt;=20,"Evening (17-20)","Late (21-23)")))))</f>
        <v/>
      </c>
    </row>
    <row r="4834" customFormat="false" ht="15" hidden="false" customHeight="false" outlineLevel="0" collapsed="false">
      <c r="L4834" s="37" t="str">
        <f aca="false">IF(C4834="","",IF(C4834&lt;=5,"Night (00-05)",IF(C4834&lt;=11,"Morning (06-11)",IF(C4834&lt;=16,"Afternoon (12-16)",IF(C4834&lt;=20,"Evening (17-20)","Late (21-23)")))))</f>
        <v/>
      </c>
    </row>
    <row r="4835" customFormat="false" ht="15" hidden="false" customHeight="false" outlineLevel="0" collapsed="false">
      <c r="L4835" s="37" t="str">
        <f aca="false">IF(C4835="","",IF(C4835&lt;=5,"Night (00-05)",IF(C4835&lt;=11,"Morning (06-11)",IF(C4835&lt;=16,"Afternoon (12-16)",IF(C4835&lt;=20,"Evening (17-20)","Late (21-23)")))))</f>
        <v/>
      </c>
    </row>
    <row r="4836" customFormat="false" ht="15" hidden="false" customHeight="false" outlineLevel="0" collapsed="false">
      <c r="L4836" s="37" t="str">
        <f aca="false">IF(C4836="","",IF(C4836&lt;=5,"Night (00-05)",IF(C4836&lt;=11,"Morning (06-11)",IF(C4836&lt;=16,"Afternoon (12-16)",IF(C4836&lt;=20,"Evening (17-20)","Late (21-23)")))))</f>
        <v/>
      </c>
    </row>
    <row r="4837" customFormat="false" ht="15" hidden="false" customHeight="false" outlineLevel="0" collapsed="false">
      <c r="L4837" s="37" t="str">
        <f aca="false">IF(C4837="","",IF(C4837&lt;=5,"Night (00-05)",IF(C4837&lt;=11,"Morning (06-11)",IF(C4837&lt;=16,"Afternoon (12-16)",IF(C4837&lt;=20,"Evening (17-20)","Late (21-23)")))))</f>
        <v/>
      </c>
    </row>
    <row r="4838" customFormat="false" ht="15" hidden="false" customHeight="false" outlineLevel="0" collapsed="false">
      <c r="L4838" s="37" t="str">
        <f aca="false">IF(C4838="","",IF(C4838&lt;=5,"Night (00-05)",IF(C4838&lt;=11,"Morning (06-11)",IF(C4838&lt;=16,"Afternoon (12-16)",IF(C4838&lt;=20,"Evening (17-20)","Late (21-23)")))))</f>
        <v/>
      </c>
    </row>
    <row r="4839" customFormat="false" ht="15" hidden="false" customHeight="false" outlineLevel="0" collapsed="false">
      <c r="L4839" s="37" t="str">
        <f aca="false">IF(C4839="","",IF(C4839&lt;=5,"Night (00-05)",IF(C4839&lt;=11,"Morning (06-11)",IF(C4839&lt;=16,"Afternoon (12-16)",IF(C4839&lt;=20,"Evening (17-20)","Late (21-23)")))))</f>
        <v/>
      </c>
    </row>
    <row r="4840" customFormat="false" ht="15" hidden="false" customHeight="false" outlineLevel="0" collapsed="false">
      <c r="L4840" s="37" t="str">
        <f aca="false">IF(C4840="","",IF(C4840&lt;=5,"Night (00-05)",IF(C4840&lt;=11,"Morning (06-11)",IF(C4840&lt;=16,"Afternoon (12-16)",IF(C4840&lt;=20,"Evening (17-20)","Late (21-23)")))))</f>
        <v/>
      </c>
    </row>
    <row r="4841" customFormat="false" ht="15" hidden="false" customHeight="false" outlineLevel="0" collapsed="false">
      <c r="L4841" s="37" t="str">
        <f aca="false">IF(C4841="","",IF(C4841&lt;=5,"Night (00-05)",IF(C4841&lt;=11,"Morning (06-11)",IF(C4841&lt;=16,"Afternoon (12-16)",IF(C4841&lt;=20,"Evening (17-20)","Late (21-23)")))))</f>
        <v/>
      </c>
    </row>
    <row r="4842" customFormat="false" ht="15" hidden="false" customHeight="false" outlineLevel="0" collapsed="false">
      <c r="L4842" s="37" t="str">
        <f aca="false">IF(C4842="","",IF(C4842&lt;=5,"Night (00-05)",IF(C4842&lt;=11,"Morning (06-11)",IF(C4842&lt;=16,"Afternoon (12-16)",IF(C4842&lt;=20,"Evening (17-20)","Late (21-23)")))))</f>
        <v/>
      </c>
    </row>
    <row r="4843" customFormat="false" ht="15" hidden="false" customHeight="false" outlineLevel="0" collapsed="false">
      <c r="L4843" s="37" t="str">
        <f aca="false">IF(C4843="","",IF(C4843&lt;=5,"Night (00-05)",IF(C4843&lt;=11,"Morning (06-11)",IF(C4843&lt;=16,"Afternoon (12-16)",IF(C4843&lt;=20,"Evening (17-20)","Late (21-23)")))))</f>
        <v/>
      </c>
    </row>
    <row r="4844" customFormat="false" ht="15" hidden="false" customHeight="false" outlineLevel="0" collapsed="false">
      <c r="L4844" s="37" t="str">
        <f aca="false">IF(C4844="","",IF(C4844&lt;=5,"Night (00-05)",IF(C4844&lt;=11,"Morning (06-11)",IF(C4844&lt;=16,"Afternoon (12-16)",IF(C4844&lt;=20,"Evening (17-20)","Late (21-23)")))))</f>
        <v/>
      </c>
    </row>
    <row r="4845" customFormat="false" ht="15" hidden="false" customHeight="false" outlineLevel="0" collapsed="false">
      <c r="L4845" s="37" t="str">
        <f aca="false">IF(C4845="","",IF(C4845&lt;=5,"Night (00-05)",IF(C4845&lt;=11,"Morning (06-11)",IF(C4845&lt;=16,"Afternoon (12-16)",IF(C4845&lt;=20,"Evening (17-20)","Late (21-23)")))))</f>
        <v/>
      </c>
    </row>
    <row r="4846" customFormat="false" ht="15" hidden="false" customHeight="false" outlineLevel="0" collapsed="false">
      <c r="L4846" s="37" t="str">
        <f aca="false">IF(C4846="","",IF(C4846&lt;=5,"Night (00-05)",IF(C4846&lt;=11,"Morning (06-11)",IF(C4846&lt;=16,"Afternoon (12-16)",IF(C4846&lt;=20,"Evening (17-20)","Late (21-23)")))))</f>
        <v/>
      </c>
    </row>
    <row r="4847" customFormat="false" ht="15" hidden="false" customHeight="false" outlineLevel="0" collapsed="false">
      <c r="L4847" s="37" t="str">
        <f aca="false">IF(C4847="","",IF(C4847&lt;=5,"Night (00-05)",IF(C4847&lt;=11,"Morning (06-11)",IF(C4847&lt;=16,"Afternoon (12-16)",IF(C4847&lt;=20,"Evening (17-20)","Late (21-23)")))))</f>
        <v/>
      </c>
    </row>
    <row r="4848" customFormat="false" ht="15" hidden="false" customHeight="false" outlineLevel="0" collapsed="false">
      <c r="L4848" s="37" t="str">
        <f aca="false">IF(C4848="","",IF(C4848&lt;=5,"Night (00-05)",IF(C4848&lt;=11,"Morning (06-11)",IF(C4848&lt;=16,"Afternoon (12-16)",IF(C4848&lt;=20,"Evening (17-20)","Late (21-23)")))))</f>
        <v/>
      </c>
    </row>
    <row r="4849" customFormat="false" ht="15" hidden="false" customHeight="false" outlineLevel="0" collapsed="false">
      <c r="L4849" s="37" t="str">
        <f aca="false">IF(C4849="","",IF(C4849&lt;=5,"Night (00-05)",IF(C4849&lt;=11,"Morning (06-11)",IF(C4849&lt;=16,"Afternoon (12-16)",IF(C4849&lt;=20,"Evening (17-20)","Late (21-23)")))))</f>
        <v/>
      </c>
    </row>
    <row r="4850" customFormat="false" ht="15" hidden="false" customHeight="false" outlineLevel="0" collapsed="false">
      <c r="L4850" s="37" t="str">
        <f aca="false">IF(C4850="","",IF(C4850&lt;=5,"Night (00-05)",IF(C4850&lt;=11,"Morning (06-11)",IF(C4850&lt;=16,"Afternoon (12-16)",IF(C4850&lt;=20,"Evening (17-20)","Late (21-23)")))))</f>
        <v/>
      </c>
    </row>
    <row r="4851" customFormat="false" ht="15" hidden="false" customHeight="false" outlineLevel="0" collapsed="false">
      <c r="L4851" s="37" t="str">
        <f aca="false">IF(C4851="","",IF(C4851&lt;=5,"Night (00-05)",IF(C4851&lt;=11,"Morning (06-11)",IF(C4851&lt;=16,"Afternoon (12-16)",IF(C4851&lt;=20,"Evening (17-20)","Late (21-23)")))))</f>
        <v/>
      </c>
    </row>
    <row r="4852" customFormat="false" ht="15" hidden="false" customHeight="false" outlineLevel="0" collapsed="false">
      <c r="L4852" s="37" t="str">
        <f aca="false">IF(C4852="","",IF(C4852&lt;=5,"Night (00-05)",IF(C4852&lt;=11,"Morning (06-11)",IF(C4852&lt;=16,"Afternoon (12-16)",IF(C4852&lt;=20,"Evening (17-20)","Late (21-23)")))))</f>
        <v/>
      </c>
    </row>
    <row r="4853" customFormat="false" ht="15" hidden="false" customHeight="false" outlineLevel="0" collapsed="false">
      <c r="L4853" s="37" t="str">
        <f aca="false">IF(C4853="","",IF(C4853&lt;=5,"Night (00-05)",IF(C4853&lt;=11,"Morning (06-11)",IF(C4853&lt;=16,"Afternoon (12-16)",IF(C4853&lt;=20,"Evening (17-20)","Late (21-23)")))))</f>
        <v/>
      </c>
    </row>
    <row r="4854" customFormat="false" ht="15" hidden="false" customHeight="false" outlineLevel="0" collapsed="false">
      <c r="L4854" s="37" t="str">
        <f aca="false">IF(C4854="","",IF(C4854&lt;=5,"Night (00-05)",IF(C4854&lt;=11,"Morning (06-11)",IF(C4854&lt;=16,"Afternoon (12-16)",IF(C4854&lt;=20,"Evening (17-20)","Late (21-23)")))))</f>
        <v/>
      </c>
    </row>
    <row r="4855" customFormat="false" ht="15" hidden="false" customHeight="false" outlineLevel="0" collapsed="false">
      <c r="L4855" s="37" t="str">
        <f aca="false">IF(C4855="","",IF(C4855&lt;=5,"Night (00-05)",IF(C4855&lt;=11,"Morning (06-11)",IF(C4855&lt;=16,"Afternoon (12-16)",IF(C4855&lt;=20,"Evening (17-20)","Late (21-23)")))))</f>
        <v/>
      </c>
    </row>
    <row r="4856" customFormat="false" ht="15" hidden="false" customHeight="false" outlineLevel="0" collapsed="false">
      <c r="L4856" s="37" t="str">
        <f aca="false">IF(C4856="","",IF(C4856&lt;=5,"Night (00-05)",IF(C4856&lt;=11,"Morning (06-11)",IF(C4856&lt;=16,"Afternoon (12-16)",IF(C4856&lt;=20,"Evening (17-20)","Late (21-23)")))))</f>
        <v/>
      </c>
    </row>
    <row r="4857" customFormat="false" ht="15" hidden="false" customHeight="false" outlineLevel="0" collapsed="false">
      <c r="L4857" s="37" t="str">
        <f aca="false">IF(C4857="","",IF(C4857&lt;=5,"Night (00-05)",IF(C4857&lt;=11,"Morning (06-11)",IF(C4857&lt;=16,"Afternoon (12-16)",IF(C4857&lt;=20,"Evening (17-20)","Late (21-23)")))))</f>
        <v/>
      </c>
    </row>
    <row r="4858" customFormat="false" ht="15" hidden="false" customHeight="false" outlineLevel="0" collapsed="false">
      <c r="L4858" s="37" t="str">
        <f aca="false">IF(C4858="","",IF(C4858&lt;=5,"Night (00-05)",IF(C4858&lt;=11,"Morning (06-11)",IF(C4858&lt;=16,"Afternoon (12-16)",IF(C4858&lt;=20,"Evening (17-20)","Late (21-23)")))))</f>
        <v/>
      </c>
    </row>
    <row r="4859" customFormat="false" ht="15" hidden="false" customHeight="false" outlineLevel="0" collapsed="false">
      <c r="L4859" s="37" t="str">
        <f aca="false">IF(C4859="","",IF(C4859&lt;=5,"Night (00-05)",IF(C4859&lt;=11,"Morning (06-11)",IF(C4859&lt;=16,"Afternoon (12-16)",IF(C4859&lt;=20,"Evening (17-20)","Late (21-23)")))))</f>
        <v/>
      </c>
    </row>
    <row r="4860" customFormat="false" ht="15" hidden="false" customHeight="false" outlineLevel="0" collapsed="false">
      <c r="L4860" s="37" t="str">
        <f aca="false">IF(C4860="","",IF(C4860&lt;=5,"Night (00-05)",IF(C4860&lt;=11,"Morning (06-11)",IF(C4860&lt;=16,"Afternoon (12-16)",IF(C4860&lt;=20,"Evening (17-20)","Late (21-23)")))))</f>
        <v/>
      </c>
    </row>
    <row r="4861" customFormat="false" ht="15" hidden="false" customHeight="false" outlineLevel="0" collapsed="false">
      <c r="L4861" s="37" t="str">
        <f aca="false">IF(C4861="","",IF(C4861&lt;=5,"Night (00-05)",IF(C4861&lt;=11,"Morning (06-11)",IF(C4861&lt;=16,"Afternoon (12-16)",IF(C4861&lt;=20,"Evening (17-20)","Late (21-23)")))))</f>
        <v/>
      </c>
    </row>
    <row r="4862" customFormat="false" ht="15" hidden="false" customHeight="false" outlineLevel="0" collapsed="false">
      <c r="L4862" s="37" t="str">
        <f aca="false">IF(C4862="","",IF(C4862&lt;=5,"Night (00-05)",IF(C4862&lt;=11,"Morning (06-11)",IF(C4862&lt;=16,"Afternoon (12-16)",IF(C4862&lt;=20,"Evening (17-20)","Late (21-23)")))))</f>
        <v/>
      </c>
    </row>
    <row r="4863" customFormat="false" ht="15" hidden="false" customHeight="false" outlineLevel="0" collapsed="false">
      <c r="L4863" s="37" t="str">
        <f aca="false">IF(C4863="","",IF(C4863&lt;=5,"Night (00-05)",IF(C4863&lt;=11,"Morning (06-11)",IF(C4863&lt;=16,"Afternoon (12-16)",IF(C4863&lt;=20,"Evening (17-20)","Late (21-23)")))))</f>
        <v/>
      </c>
    </row>
    <row r="4864" customFormat="false" ht="15" hidden="false" customHeight="false" outlineLevel="0" collapsed="false">
      <c r="L4864" s="37" t="str">
        <f aca="false">IF(C4864="","",IF(C4864&lt;=5,"Night (00-05)",IF(C4864&lt;=11,"Morning (06-11)",IF(C4864&lt;=16,"Afternoon (12-16)",IF(C4864&lt;=20,"Evening (17-20)","Late (21-23)")))))</f>
        <v/>
      </c>
    </row>
    <row r="4865" customFormat="false" ht="15" hidden="false" customHeight="false" outlineLevel="0" collapsed="false">
      <c r="L4865" s="37" t="str">
        <f aca="false">IF(C4865="","",IF(C4865&lt;=5,"Night (00-05)",IF(C4865&lt;=11,"Morning (06-11)",IF(C4865&lt;=16,"Afternoon (12-16)",IF(C4865&lt;=20,"Evening (17-20)","Late (21-23)")))))</f>
        <v/>
      </c>
    </row>
    <row r="4866" customFormat="false" ht="15" hidden="false" customHeight="false" outlineLevel="0" collapsed="false">
      <c r="L4866" s="37" t="str">
        <f aca="false">IF(C4866="","",IF(C4866&lt;=5,"Night (00-05)",IF(C4866&lt;=11,"Morning (06-11)",IF(C4866&lt;=16,"Afternoon (12-16)",IF(C4866&lt;=20,"Evening (17-20)","Late (21-23)")))))</f>
        <v/>
      </c>
    </row>
    <row r="4867" customFormat="false" ht="15" hidden="false" customHeight="false" outlineLevel="0" collapsed="false">
      <c r="L4867" s="37" t="str">
        <f aca="false">IF(C4867="","",IF(C4867&lt;=5,"Night (00-05)",IF(C4867&lt;=11,"Morning (06-11)",IF(C4867&lt;=16,"Afternoon (12-16)",IF(C4867&lt;=20,"Evening (17-20)","Late (21-23)")))))</f>
        <v/>
      </c>
    </row>
    <row r="4868" customFormat="false" ht="15" hidden="false" customHeight="false" outlineLevel="0" collapsed="false">
      <c r="L4868" s="37" t="str">
        <f aca="false">IF(C4868="","",IF(C4868&lt;=5,"Night (00-05)",IF(C4868&lt;=11,"Morning (06-11)",IF(C4868&lt;=16,"Afternoon (12-16)",IF(C4868&lt;=20,"Evening (17-20)","Late (21-23)")))))</f>
        <v/>
      </c>
    </row>
    <row r="4869" customFormat="false" ht="15" hidden="false" customHeight="false" outlineLevel="0" collapsed="false">
      <c r="L4869" s="37" t="str">
        <f aca="false">IF(C4869="","",IF(C4869&lt;=5,"Night (00-05)",IF(C4869&lt;=11,"Morning (06-11)",IF(C4869&lt;=16,"Afternoon (12-16)",IF(C4869&lt;=20,"Evening (17-20)","Late (21-23)")))))</f>
        <v/>
      </c>
    </row>
    <row r="4870" customFormat="false" ht="15" hidden="false" customHeight="false" outlineLevel="0" collapsed="false">
      <c r="L4870" s="37" t="str">
        <f aca="false">IF(C4870="","",IF(C4870&lt;=5,"Night (00-05)",IF(C4870&lt;=11,"Morning (06-11)",IF(C4870&lt;=16,"Afternoon (12-16)",IF(C4870&lt;=20,"Evening (17-20)","Late (21-23)")))))</f>
        <v/>
      </c>
    </row>
    <row r="4871" customFormat="false" ht="15" hidden="false" customHeight="false" outlineLevel="0" collapsed="false">
      <c r="L4871" s="37" t="str">
        <f aca="false">IF(C4871="","",IF(C4871&lt;=5,"Night (00-05)",IF(C4871&lt;=11,"Morning (06-11)",IF(C4871&lt;=16,"Afternoon (12-16)",IF(C4871&lt;=20,"Evening (17-20)","Late (21-23)")))))</f>
        <v/>
      </c>
    </row>
    <row r="4872" customFormat="false" ht="15" hidden="false" customHeight="false" outlineLevel="0" collapsed="false">
      <c r="L4872" s="37" t="str">
        <f aca="false">IF(C4872="","",IF(C4872&lt;=5,"Night (00-05)",IF(C4872&lt;=11,"Morning (06-11)",IF(C4872&lt;=16,"Afternoon (12-16)",IF(C4872&lt;=20,"Evening (17-20)","Late (21-23)")))))</f>
        <v/>
      </c>
    </row>
    <row r="4873" customFormat="false" ht="15" hidden="false" customHeight="false" outlineLevel="0" collapsed="false">
      <c r="L4873" s="37" t="str">
        <f aca="false">IF(C4873="","",IF(C4873&lt;=5,"Night (00-05)",IF(C4873&lt;=11,"Morning (06-11)",IF(C4873&lt;=16,"Afternoon (12-16)",IF(C4873&lt;=20,"Evening (17-20)","Late (21-23)")))))</f>
        <v/>
      </c>
    </row>
    <row r="4874" customFormat="false" ht="15" hidden="false" customHeight="false" outlineLevel="0" collapsed="false">
      <c r="L4874" s="37" t="str">
        <f aca="false">IF(C4874="","",IF(C4874&lt;=5,"Night (00-05)",IF(C4874&lt;=11,"Morning (06-11)",IF(C4874&lt;=16,"Afternoon (12-16)",IF(C4874&lt;=20,"Evening (17-20)","Late (21-23)")))))</f>
        <v/>
      </c>
    </row>
    <row r="4875" customFormat="false" ht="15" hidden="false" customHeight="false" outlineLevel="0" collapsed="false">
      <c r="L4875" s="37" t="str">
        <f aca="false">IF(C4875="","",IF(C4875&lt;=5,"Night (00-05)",IF(C4875&lt;=11,"Morning (06-11)",IF(C4875&lt;=16,"Afternoon (12-16)",IF(C4875&lt;=20,"Evening (17-20)","Late (21-23)")))))</f>
        <v/>
      </c>
    </row>
    <row r="4876" customFormat="false" ht="15" hidden="false" customHeight="false" outlineLevel="0" collapsed="false">
      <c r="L4876" s="37" t="str">
        <f aca="false">IF(C4876="","",IF(C4876&lt;=5,"Night (00-05)",IF(C4876&lt;=11,"Morning (06-11)",IF(C4876&lt;=16,"Afternoon (12-16)",IF(C4876&lt;=20,"Evening (17-20)","Late (21-23)")))))</f>
        <v/>
      </c>
    </row>
    <row r="4877" customFormat="false" ht="15" hidden="false" customHeight="false" outlineLevel="0" collapsed="false">
      <c r="L4877" s="37" t="str">
        <f aca="false">IF(C4877="","",IF(C4877&lt;=5,"Night (00-05)",IF(C4877&lt;=11,"Morning (06-11)",IF(C4877&lt;=16,"Afternoon (12-16)",IF(C4877&lt;=20,"Evening (17-20)","Late (21-23)")))))</f>
        <v/>
      </c>
    </row>
    <row r="4878" customFormat="false" ht="15" hidden="false" customHeight="false" outlineLevel="0" collapsed="false">
      <c r="L4878" s="37" t="str">
        <f aca="false">IF(C4878="","",IF(C4878&lt;=5,"Night (00-05)",IF(C4878&lt;=11,"Morning (06-11)",IF(C4878&lt;=16,"Afternoon (12-16)",IF(C4878&lt;=20,"Evening (17-20)","Late (21-23)")))))</f>
        <v/>
      </c>
    </row>
    <row r="4879" customFormat="false" ht="15" hidden="false" customHeight="false" outlineLevel="0" collapsed="false">
      <c r="L4879" s="37" t="str">
        <f aca="false">IF(C4879="","",IF(C4879&lt;=5,"Night (00-05)",IF(C4879&lt;=11,"Morning (06-11)",IF(C4879&lt;=16,"Afternoon (12-16)",IF(C4879&lt;=20,"Evening (17-20)","Late (21-23)")))))</f>
        <v/>
      </c>
    </row>
    <row r="4880" customFormat="false" ht="15" hidden="false" customHeight="false" outlineLevel="0" collapsed="false">
      <c r="L4880" s="37" t="str">
        <f aca="false">IF(C4880="","",IF(C4880&lt;=5,"Night (00-05)",IF(C4880&lt;=11,"Morning (06-11)",IF(C4880&lt;=16,"Afternoon (12-16)",IF(C4880&lt;=20,"Evening (17-20)","Late (21-23)")))))</f>
        <v/>
      </c>
    </row>
    <row r="4881" customFormat="false" ht="15" hidden="false" customHeight="false" outlineLevel="0" collapsed="false">
      <c r="L4881" s="37" t="str">
        <f aca="false">IF(C4881="","",IF(C4881&lt;=5,"Night (00-05)",IF(C4881&lt;=11,"Morning (06-11)",IF(C4881&lt;=16,"Afternoon (12-16)",IF(C4881&lt;=20,"Evening (17-20)","Late (21-23)")))))</f>
        <v/>
      </c>
    </row>
    <row r="4882" customFormat="false" ht="15" hidden="false" customHeight="false" outlineLevel="0" collapsed="false">
      <c r="L4882" s="37" t="str">
        <f aca="false">IF(C4882="","",IF(C4882&lt;=5,"Night (00-05)",IF(C4882&lt;=11,"Morning (06-11)",IF(C4882&lt;=16,"Afternoon (12-16)",IF(C4882&lt;=20,"Evening (17-20)","Late (21-23)")))))</f>
        <v/>
      </c>
    </row>
    <row r="4883" customFormat="false" ht="15" hidden="false" customHeight="false" outlineLevel="0" collapsed="false">
      <c r="L4883" s="37" t="str">
        <f aca="false">IF(C4883="","",IF(C4883&lt;=5,"Night (00-05)",IF(C4883&lt;=11,"Morning (06-11)",IF(C4883&lt;=16,"Afternoon (12-16)",IF(C4883&lt;=20,"Evening (17-20)","Late (21-23)")))))</f>
        <v/>
      </c>
    </row>
    <row r="4884" customFormat="false" ht="15" hidden="false" customHeight="false" outlineLevel="0" collapsed="false">
      <c r="L4884" s="37" t="str">
        <f aca="false">IF(C4884="","",IF(C4884&lt;=5,"Night (00-05)",IF(C4884&lt;=11,"Morning (06-11)",IF(C4884&lt;=16,"Afternoon (12-16)",IF(C4884&lt;=20,"Evening (17-20)","Late (21-23)")))))</f>
        <v/>
      </c>
    </row>
    <row r="4885" customFormat="false" ht="15" hidden="false" customHeight="false" outlineLevel="0" collapsed="false">
      <c r="L4885" s="37" t="str">
        <f aca="false">IF(C4885="","",IF(C4885&lt;=5,"Night (00-05)",IF(C4885&lt;=11,"Morning (06-11)",IF(C4885&lt;=16,"Afternoon (12-16)",IF(C4885&lt;=20,"Evening (17-20)","Late (21-23)")))))</f>
        <v/>
      </c>
    </row>
    <row r="4886" customFormat="false" ht="15" hidden="false" customHeight="false" outlineLevel="0" collapsed="false">
      <c r="L4886" s="37" t="str">
        <f aca="false">IF(C4886="","",IF(C4886&lt;=5,"Night (00-05)",IF(C4886&lt;=11,"Morning (06-11)",IF(C4886&lt;=16,"Afternoon (12-16)",IF(C4886&lt;=20,"Evening (17-20)","Late (21-23)")))))</f>
        <v/>
      </c>
    </row>
    <row r="4887" customFormat="false" ht="15" hidden="false" customHeight="false" outlineLevel="0" collapsed="false">
      <c r="L4887" s="37" t="str">
        <f aca="false">IF(C4887="","",IF(C4887&lt;=5,"Night (00-05)",IF(C4887&lt;=11,"Morning (06-11)",IF(C4887&lt;=16,"Afternoon (12-16)",IF(C4887&lt;=20,"Evening (17-20)","Late (21-23)")))))</f>
        <v/>
      </c>
    </row>
    <row r="4888" customFormat="false" ht="15" hidden="false" customHeight="false" outlineLevel="0" collapsed="false">
      <c r="L4888" s="37" t="str">
        <f aca="false">IF(C4888="","",IF(C4888&lt;=5,"Night (00-05)",IF(C4888&lt;=11,"Morning (06-11)",IF(C4888&lt;=16,"Afternoon (12-16)",IF(C4888&lt;=20,"Evening (17-20)","Late (21-23)")))))</f>
        <v/>
      </c>
    </row>
    <row r="4889" customFormat="false" ht="15" hidden="false" customHeight="false" outlineLevel="0" collapsed="false">
      <c r="L4889" s="37" t="str">
        <f aca="false">IF(C4889="","",IF(C4889&lt;=5,"Night (00-05)",IF(C4889&lt;=11,"Morning (06-11)",IF(C4889&lt;=16,"Afternoon (12-16)",IF(C4889&lt;=20,"Evening (17-20)","Late (21-23)")))))</f>
        <v/>
      </c>
    </row>
    <row r="4890" customFormat="false" ht="15" hidden="false" customHeight="false" outlineLevel="0" collapsed="false">
      <c r="L4890" s="37" t="str">
        <f aca="false">IF(C4890="","",IF(C4890&lt;=5,"Night (00-05)",IF(C4890&lt;=11,"Morning (06-11)",IF(C4890&lt;=16,"Afternoon (12-16)",IF(C4890&lt;=20,"Evening (17-20)","Late (21-23)")))))</f>
        <v/>
      </c>
    </row>
    <row r="4891" customFormat="false" ht="15" hidden="false" customHeight="false" outlineLevel="0" collapsed="false">
      <c r="L4891" s="37" t="str">
        <f aca="false">IF(C4891="","",IF(C4891&lt;=5,"Night (00-05)",IF(C4891&lt;=11,"Morning (06-11)",IF(C4891&lt;=16,"Afternoon (12-16)",IF(C4891&lt;=20,"Evening (17-20)","Late (21-23)")))))</f>
        <v/>
      </c>
    </row>
    <row r="4892" customFormat="false" ht="15" hidden="false" customHeight="false" outlineLevel="0" collapsed="false">
      <c r="L4892" s="37" t="str">
        <f aca="false">IF(C4892="","",IF(C4892&lt;=5,"Night (00-05)",IF(C4892&lt;=11,"Morning (06-11)",IF(C4892&lt;=16,"Afternoon (12-16)",IF(C4892&lt;=20,"Evening (17-20)","Late (21-23)")))))</f>
        <v/>
      </c>
    </row>
    <row r="4893" customFormat="false" ht="15" hidden="false" customHeight="false" outlineLevel="0" collapsed="false">
      <c r="L4893" s="37" t="str">
        <f aca="false">IF(C4893="","",IF(C4893&lt;=5,"Night (00-05)",IF(C4893&lt;=11,"Morning (06-11)",IF(C4893&lt;=16,"Afternoon (12-16)",IF(C4893&lt;=20,"Evening (17-20)","Late (21-23)")))))</f>
        <v/>
      </c>
    </row>
    <row r="4894" customFormat="false" ht="15" hidden="false" customHeight="false" outlineLevel="0" collapsed="false">
      <c r="L4894" s="37" t="str">
        <f aca="false">IF(C4894="","",IF(C4894&lt;=5,"Night (00-05)",IF(C4894&lt;=11,"Morning (06-11)",IF(C4894&lt;=16,"Afternoon (12-16)",IF(C4894&lt;=20,"Evening (17-20)","Late (21-23)")))))</f>
        <v/>
      </c>
    </row>
    <row r="4895" customFormat="false" ht="15" hidden="false" customHeight="false" outlineLevel="0" collapsed="false">
      <c r="L4895" s="37" t="str">
        <f aca="false">IF(C4895="","",IF(C4895&lt;=5,"Night (00-05)",IF(C4895&lt;=11,"Morning (06-11)",IF(C4895&lt;=16,"Afternoon (12-16)",IF(C4895&lt;=20,"Evening (17-20)","Late (21-23)")))))</f>
        <v/>
      </c>
    </row>
    <row r="4896" customFormat="false" ht="15" hidden="false" customHeight="false" outlineLevel="0" collapsed="false">
      <c r="L4896" s="37" t="str">
        <f aca="false">IF(C4896="","",IF(C4896&lt;=5,"Night (00-05)",IF(C4896&lt;=11,"Morning (06-11)",IF(C4896&lt;=16,"Afternoon (12-16)",IF(C4896&lt;=20,"Evening (17-20)","Late (21-23)")))))</f>
        <v/>
      </c>
    </row>
    <row r="4897" customFormat="false" ht="15" hidden="false" customHeight="false" outlineLevel="0" collapsed="false">
      <c r="L4897" s="37" t="str">
        <f aca="false">IF(C4897="","",IF(C4897&lt;=5,"Night (00-05)",IF(C4897&lt;=11,"Morning (06-11)",IF(C4897&lt;=16,"Afternoon (12-16)",IF(C4897&lt;=20,"Evening (17-20)","Late (21-23)")))))</f>
        <v/>
      </c>
    </row>
    <row r="4898" customFormat="false" ht="15" hidden="false" customHeight="false" outlineLevel="0" collapsed="false">
      <c r="L4898" s="37" t="str">
        <f aca="false">IF(C4898="","",IF(C4898&lt;=5,"Night (00-05)",IF(C4898&lt;=11,"Morning (06-11)",IF(C4898&lt;=16,"Afternoon (12-16)",IF(C4898&lt;=20,"Evening (17-20)","Late (21-23)")))))</f>
        <v/>
      </c>
    </row>
    <row r="4899" customFormat="false" ht="15" hidden="false" customHeight="false" outlineLevel="0" collapsed="false">
      <c r="L4899" s="37" t="str">
        <f aca="false">IF(C4899="","",IF(C4899&lt;=5,"Night (00-05)",IF(C4899&lt;=11,"Morning (06-11)",IF(C4899&lt;=16,"Afternoon (12-16)",IF(C4899&lt;=20,"Evening (17-20)","Late (21-23)")))))</f>
        <v/>
      </c>
    </row>
    <row r="4900" customFormat="false" ht="15" hidden="false" customHeight="false" outlineLevel="0" collapsed="false">
      <c r="L4900" s="37" t="str">
        <f aca="false">IF(C4900="","",IF(C4900&lt;=5,"Night (00-05)",IF(C4900&lt;=11,"Morning (06-11)",IF(C4900&lt;=16,"Afternoon (12-16)",IF(C4900&lt;=20,"Evening (17-20)","Late (21-23)")))))</f>
        <v/>
      </c>
    </row>
    <row r="4901" customFormat="false" ht="15" hidden="false" customHeight="false" outlineLevel="0" collapsed="false">
      <c r="L4901" s="37" t="str">
        <f aca="false">IF(C4901="","",IF(C4901&lt;=5,"Night (00-05)",IF(C4901&lt;=11,"Morning (06-11)",IF(C4901&lt;=16,"Afternoon (12-16)",IF(C4901&lt;=20,"Evening (17-20)","Late (21-23)")))))</f>
        <v/>
      </c>
    </row>
    <row r="4902" customFormat="false" ht="15" hidden="false" customHeight="false" outlineLevel="0" collapsed="false">
      <c r="L4902" s="37" t="str">
        <f aca="false">IF(C4902="","",IF(C4902&lt;=5,"Night (00-05)",IF(C4902&lt;=11,"Morning (06-11)",IF(C4902&lt;=16,"Afternoon (12-16)",IF(C4902&lt;=20,"Evening (17-20)","Late (21-23)")))))</f>
        <v/>
      </c>
    </row>
    <row r="4903" customFormat="false" ht="15" hidden="false" customHeight="false" outlineLevel="0" collapsed="false">
      <c r="L4903" s="37" t="str">
        <f aca="false">IF(C4903="","",IF(C4903&lt;=5,"Night (00-05)",IF(C4903&lt;=11,"Morning (06-11)",IF(C4903&lt;=16,"Afternoon (12-16)",IF(C4903&lt;=20,"Evening (17-20)","Late (21-23)")))))</f>
        <v/>
      </c>
    </row>
    <row r="4904" customFormat="false" ht="15" hidden="false" customHeight="false" outlineLevel="0" collapsed="false">
      <c r="L4904" s="37" t="str">
        <f aca="false">IF(C4904="","",IF(C4904&lt;=5,"Night (00-05)",IF(C4904&lt;=11,"Morning (06-11)",IF(C4904&lt;=16,"Afternoon (12-16)",IF(C4904&lt;=20,"Evening (17-20)","Late (21-23)")))))</f>
        <v/>
      </c>
    </row>
    <row r="4905" customFormat="false" ht="15" hidden="false" customHeight="false" outlineLevel="0" collapsed="false">
      <c r="L4905" s="37" t="str">
        <f aca="false">IF(C4905="","",IF(C4905&lt;=5,"Night (00-05)",IF(C4905&lt;=11,"Morning (06-11)",IF(C4905&lt;=16,"Afternoon (12-16)",IF(C4905&lt;=20,"Evening (17-20)","Late (21-23)")))))</f>
        <v/>
      </c>
    </row>
    <row r="4906" customFormat="false" ht="15" hidden="false" customHeight="false" outlineLevel="0" collapsed="false">
      <c r="L4906" s="37" t="str">
        <f aca="false">IF(C4906="","",IF(C4906&lt;=5,"Night (00-05)",IF(C4906&lt;=11,"Morning (06-11)",IF(C4906&lt;=16,"Afternoon (12-16)",IF(C4906&lt;=20,"Evening (17-20)","Late (21-23)")))))</f>
        <v/>
      </c>
    </row>
    <row r="4907" customFormat="false" ht="15" hidden="false" customHeight="false" outlineLevel="0" collapsed="false">
      <c r="L4907" s="37" t="str">
        <f aca="false">IF(C4907="","",IF(C4907&lt;=5,"Night (00-05)",IF(C4907&lt;=11,"Morning (06-11)",IF(C4907&lt;=16,"Afternoon (12-16)",IF(C4907&lt;=20,"Evening (17-20)","Late (21-23)")))))</f>
        <v/>
      </c>
    </row>
    <row r="4908" customFormat="false" ht="15" hidden="false" customHeight="false" outlineLevel="0" collapsed="false">
      <c r="L4908" s="37" t="str">
        <f aca="false">IF(C4908="","",IF(C4908&lt;=5,"Night (00-05)",IF(C4908&lt;=11,"Morning (06-11)",IF(C4908&lt;=16,"Afternoon (12-16)",IF(C4908&lt;=20,"Evening (17-20)","Late (21-23)")))))</f>
        <v/>
      </c>
    </row>
    <row r="4909" customFormat="false" ht="15" hidden="false" customHeight="false" outlineLevel="0" collapsed="false">
      <c r="L4909" s="37" t="str">
        <f aca="false">IF(C4909="","",IF(C4909&lt;=5,"Night (00-05)",IF(C4909&lt;=11,"Morning (06-11)",IF(C4909&lt;=16,"Afternoon (12-16)",IF(C4909&lt;=20,"Evening (17-20)","Late (21-23)")))))</f>
        <v/>
      </c>
    </row>
    <row r="4910" customFormat="false" ht="15" hidden="false" customHeight="false" outlineLevel="0" collapsed="false">
      <c r="L4910" s="37" t="str">
        <f aca="false">IF(C4910="","",IF(C4910&lt;=5,"Night (00-05)",IF(C4910&lt;=11,"Morning (06-11)",IF(C4910&lt;=16,"Afternoon (12-16)",IF(C4910&lt;=20,"Evening (17-20)","Late (21-23)")))))</f>
        <v/>
      </c>
    </row>
    <row r="4911" customFormat="false" ht="15" hidden="false" customHeight="false" outlineLevel="0" collapsed="false">
      <c r="L4911" s="37" t="str">
        <f aca="false">IF(C4911="","",IF(C4911&lt;=5,"Night (00-05)",IF(C4911&lt;=11,"Morning (06-11)",IF(C4911&lt;=16,"Afternoon (12-16)",IF(C4911&lt;=20,"Evening (17-20)","Late (21-23)")))))</f>
        <v/>
      </c>
    </row>
    <row r="4912" customFormat="false" ht="15" hidden="false" customHeight="false" outlineLevel="0" collapsed="false">
      <c r="L4912" s="37" t="str">
        <f aca="false">IF(C4912="","",IF(C4912&lt;=5,"Night (00-05)",IF(C4912&lt;=11,"Morning (06-11)",IF(C4912&lt;=16,"Afternoon (12-16)",IF(C4912&lt;=20,"Evening (17-20)","Late (21-23)")))))</f>
        <v/>
      </c>
    </row>
    <row r="4913" customFormat="false" ht="15" hidden="false" customHeight="false" outlineLevel="0" collapsed="false">
      <c r="L4913" s="37" t="str">
        <f aca="false">IF(C4913="","",IF(C4913&lt;=5,"Night (00-05)",IF(C4913&lt;=11,"Morning (06-11)",IF(C4913&lt;=16,"Afternoon (12-16)",IF(C4913&lt;=20,"Evening (17-20)","Late (21-23)")))))</f>
        <v/>
      </c>
    </row>
    <row r="4914" customFormat="false" ht="15" hidden="false" customHeight="false" outlineLevel="0" collapsed="false">
      <c r="L4914" s="37" t="str">
        <f aca="false">IF(C4914="","",IF(C4914&lt;=5,"Night (00-05)",IF(C4914&lt;=11,"Morning (06-11)",IF(C4914&lt;=16,"Afternoon (12-16)",IF(C4914&lt;=20,"Evening (17-20)","Late (21-23)")))))</f>
        <v/>
      </c>
    </row>
    <row r="4915" customFormat="false" ht="15" hidden="false" customHeight="false" outlineLevel="0" collapsed="false">
      <c r="L4915" s="37" t="str">
        <f aca="false">IF(C4915="","",IF(C4915&lt;=5,"Night (00-05)",IF(C4915&lt;=11,"Morning (06-11)",IF(C4915&lt;=16,"Afternoon (12-16)",IF(C4915&lt;=20,"Evening (17-20)","Late (21-23)")))))</f>
        <v/>
      </c>
    </row>
    <row r="4916" customFormat="false" ht="15" hidden="false" customHeight="false" outlineLevel="0" collapsed="false">
      <c r="L4916" s="37" t="str">
        <f aca="false">IF(C4916="","",IF(C4916&lt;=5,"Night (00-05)",IF(C4916&lt;=11,"Morning (06-11)",IF(C4916&lt;=16,"Afternoon (12-16)",IF(C4916&lt;=20,"Evening (17-20)","Late (21-23)")))))</f>
        <v/>
      </c>
    </row>
    <row r="4917" customFormat="false" ht="15" hidden="false" customHeight="false" outlineLevel="0" collapsed="false">
      <c r="L4917" s="37" t="str">
        <f aca="false">IF(C4917="","",IF(C4917&lt;=5,"Night (00-05)",IF(C4917&lt;=11,"Morning (06-11)",IF(C4917&lt;=16,"Afternoon (12-16)",IF(C4917&lt;=20,"Evening (17-20)","Late (21-23)")))))</f>
        <v/>
      </c>
    </row>
    <row r="4918" customFormat="false" ht="15" hidden="false" customHeight="false" outlineLevel="0" collapsed="false">
      <c r="L4918" s="37" t="str">
        <f aca="false">IF(C4918="","",IF(C4918&lt;=5,"Night (00-05)",IF(C4918&lt;=11,"Morning (06-11)",IF(C4918&lt;=16,"Afternoon (12-16)",IF(C4918&lt;=20,"Evening (17-20)","Late (21-23)")))))</f>
        <v/>
      </c>
    </row>
    <row r="4919" customFormat="false" ht="15" hidden="false" customHeight="false" outlineLevel="0" collapsed="false">
      <c r="L4919" s="37" t="str">
        <f aca="false">IF(C4919="","",IF(C4919&lt;=5,"Night (00-05)",IF(C4919&lt;=11,"Morning (06-11)",IF(C4919&lt;=16,"Afternoon (12-16)",IF(C4919&lt;=20,"Evening (17-20)","Late (21-23)")))))</f>
        <v/>
      </c>
    </row>
    <row r="4920" customFormat="false" ht="15" hidden="false" customHeight="false" outlineLevel="0" collapsed="false">
      <c r="L4920" s="37" t="str">
        <f aca="false">IF(C4920="","",IF(C4920&lt;=5,"Night (00-05)",IF(C4920&lt;=11,"Morning (06-11)",IF(C4920&lt;=16,"Afternoon (12-16)",IF(C4920&lt;=20,"Evening (17-20)","Late (21-23)")))))</f>
        <v/>
      </c>
    </row>
    <row r="4921" customFormat="false" ht="15" hidden="false" customHeight="false" outlineLevel="0" collapsed="false">
      <c r="L4921" s="37" t="str">
        <f aca="false">IF(C4921="","",IF(C4921&lt;=5,"Night (00-05)",IF(C4921&lt;=11,"Morning (06-11)",IF(C4921&lt;=16,"Afternoon (12-16)",IF(C4921&lt;=20,"Evening (17-20)","Late (21-23)")))))</f>
        <v/>
      </c>
    </row>
    <row r="4922" customFormat="false" ht="15" hidden="false" customHeight="false" outlineLevel="0" collapsed="false">
      <c r="L4922" s="37" t="str">
        <f aca="false">IF(C4922="","",IF(C4922&lt;=5,"Night (00-05)",IF(C4922&lt;=11,"Morning (06-11)",IF(C4922&lt;=16,"Afternoon (12-16)",IF(C4922&lt;=20,"Evening (17-20)","Late (21-23)")))))</f>
        <v/>
      </c>
    </row>
    <row r="4923" customFormat="false" ht="15" hidden="false" customHeight="false" outlineLevel="0" collapsed="false">
      <c r="L4923" s="37" t="str">
        <f aca="false">IF(C4923="","",IF(C4923&lt;=5,"Night (00-05)",IF(C4923&lt;=11,"Morning (06-11)",IF(C4923&lt;=16,"Afternoon (12-16)",IF(C4923&lt;=20,"Evening (17-20)","Late (21-23)")))))</f>
        <v/>
      </c>
    </row>
    <row r="4924" customFormat="false" ht="15" hidden="false" customHeight="false" outlineLevel="0" collapsed="false">
      <c r="L4924" s="37" t="str">
        <f aca="false">IF(C4924="","",IF(C4924&lt;=5,"Night (00-05)",IF(C4924&lt;=11,"Morning (06-11)",IF(C4924&lt;=16,"Afternoon (12-16)",IF(C4924&lt;=20,"Evening (17-20)","Late (21-23)")))))</f>
        <v/>
      </c>
    </row>
    <row r="4925" customFormat="false" ht="15" hidden="false" customHeight="false" outlineLevel="0" collapsed="false">
      <c r="L4925" s="37" t="str">
        <f aca="false">IF(C4925="","",IF(C4925&lt;=5,"Night (00-05)",IF(C4925&lt;=11,"Morning (06-11)",IF(C4925&lt;=16,"Afternoon (12-16)",IF(C4925&lt;=20,"Evening (17-20)","Late (21-23)")))))</f>
        <v/>
      </c>
    </row>
    <row r="4926" customFormat="false" ht="15" hidden="false" customHeight="false" outlineLevel="0" collapsed="false">
      <c r="L4926" s="37" t="str">
        <f aca="false">IF(C4926="","",IF(C4926&lt;=5,"Night (00-05)",IF(C4926&lt;=11,"Morning (06-11)",IF(C4926&lt;=16,"Afternoon (12-16)",IF(C4926&lt;=20,"Evening (17-20)","Late (21-23)")))))</f>
        <v/>
      </c>
    </row>
    <row r="4927" customFormat="false" ht="15" hidden="false" customHeight="false" outlineLevel="0" collapsed="false">
      <c r="L4927" s="37" t="str">
        <f aca="false">IF(C4927="","",IF(C4927&lt;=5,"Night (00-05)",IF(C4927&lt;=11,"Morning (06-11)",IF(C4927&lt;=16,"Afternoon (12-16)",IF(C4927&lt;=20,"Evening (17-20)","Late (21-23)")))))</f>
        <v/>
      </c>
    </row>
    <row r="4928" customFormat="false" ht="15" hidden="false" customHeight="false" outlineLevel="0" collapsed="false">
      <c r="L4928" s="37" t="str">
        <f aca="false">IF(C4928="","",IF(C4928&lt;=5,"Night (00-05)",IF(C4928&lt;=11,"Morning (06-11)",IF(C4928&lt;=16,"Afternoon (12-16)",IF(C4928&lt;=20,"Evening (17-20)","Late (21-23)")))))</f>
        <v/>
      </c>
    </row>
    <row r="4929" customFormat="false" ht="15" hidden="false" customHeight="false" outlineLevel="0" collapsed="false">
      <c r="L4929" s="37" t="str">
        <f aca="false">IF(C4929="","",IF(C4929&lt;=5,"Night (00-05)",IF(C4929&lt;=11,"Morning (06-11)",IF(C4929&lt;=16,"Afternoon (12-16)",IF(C4929&lt;=20,"Evening (17-20)","Late (21-23)")))))</f>
        <v/>
      </c>
    </row>
    <row r="4930" customFormat="false" ht="15" hidden="false" customHeight="false" outlineLevel="0" collapsed="false">
      <c r="L4930" s="37" t="str">
        <f aca="false">IF(C4930="","",IF(C4930&lt;=5,"Night (00-05)",IF(C4930&lt;=11,"Morning (06-11)",IF(C4930&lt;=16,"Afternoon (12-16)",IF(C4930&lt;=20,"Evening (17-20)","Late (21-23)")))))</f>
        <v/>
      </c>
    </row>
    <row r="4931" customFormat="false" ht="15" hidden="false" customHeight="false" outlineLevel="0" collapsed="false">
      <c r="L4931" s="37" t="str">
        <f aca="false">IF(C4931="","",IF(C4931&lt;=5,"Night (00-05)",IF(C4931&lt;=11,"Morning (06-11)",IF(C4931&lt;=16,"Afternoon (12-16)",IF(C4931&lt;=20,"Evening (17-20)","Late (21-23)")))))</f>
        <v/>
      </c>
    </row>
    <row r="4932" customFormat="false" ht="15" hidden="false" customHeight="false" outlineLevel="0" collapsed="false">
      <c r="L4932" s="37" t="str">
        <f aca="false">IF(C4932="","",IF(C4932&lt;=5,"Night (00-05)",IF(C4932&lt;=11,"Morning (06-11)",IF(C4932&lt;=16,"Afternoon (12-16)",IF(C4932&lt;=20,"Evening (17-20)","Late (21-23)")))))</f>
        <v/>
      </c>
    </row>
    <row r="4933" customFormat="false" ht="15" hidden="false" customHeight="false" outlineLevel="0" collapsed="false">
      <c r="L4933" s="37" t="str">
        <f aca="false">IF(C4933="","",IF(C4933&lt;=5,"Night (00-05)",IF(C4933&lt;=11,"Morning (06-11)",IF(C4933&lt;=16,"Afternoon (12-16)",IF(C4933&lt;=20,"Evening (17-20)","Late (21-23)")))))</f>
        <v/>
      </c>
    </row>
    <row r="4934" customFormat="false" ht="15" hidden="false" customHeight="false" outlineLevel="0" collapsed="false">
      <c r="L4934" s="37" t="str">
        <f aca="false">IF(C4934="","",IF(C4934&lt;=5,"Night (00-05)",IF(C4934&lt;=11,"Morning (06-11)",IF(C4934&lt;=16,"Afternoon (12-16)",IF(C4934&lt;=20,"Evening (17-20)","Late (21-23)")))))</f>
        <v/>
      </c>
    </row>
    <row r="4935" customFormat="false" ht="15" hidden="false" customHeight="false" outlineLevel="0" collapsed="false">
      <c r="L4935" s="37" t="str">
        <f aca="false">IF(C4935="","",IF(C4935&lt;=5,"Night (00-05)",IF(C4935&lt;=11,"Morning (06-11)",IF(C4935&lt;=16,"Afternoon (12-16)",IF(C4935&lt;=20,"Evening (17-20)","Late (21-23)")))))</f>
        <v/>
      </c>
    </row>
    <row r="4936" customFormat="false" ht="15" hidden="false" customHeight="false" outlineLevel="0" collapsed="false">
      <c r="L4936" s="37" t="str">
        <f aca="false">IF(C4936="","",IF(C4936&lt;=5,"Night (00-05)",IF(C4936&lt;=11,"Morning (06-11)",IF(C4936&lt;=16,"Afternoon (12-16)",IF(C4936&lt;=20,"Evening (17-20)","Late (21-23)")))))</f>
        <v/>
      </c>
    </row>
    <row r="4937" customFormat="false" ht="15" hidden="false" customHeight="false" outlineLevel="0" collapsed="false">
      <c r="L4937" s="37" t="str">
        <f aca="false">IF(C4937="","",IF(C4937&lt;=5,"Night (00-05)",IF(C4937&lt;=11,"Morning (06-11)",IF(C4937&lt;=16,"Afternoon (12-16)",IF(C4937&lt;=20,"Evening (17-20)","Late (21-23)")))))</f>
        <v/>
      </c>
    </row>
    <row r="4938" customFormat="false" ht="15" hidden="false" customHeight="false" outlineLevel="0" collapsed="false">
      <c r="L4938" s="37" t="str">
        <f aca="false">IF(C4938="","",IF(C4938&lt;=5,"Night (00-05)",IF(C4938&lt;=11,"Morning (06-11)",IF(C4938&lt;=16,"Afternoon (12-16)",IF(C4938&lt;=20,"Evening (17-20)","Late (21-23)")))))</f>
        <v/>
      </c>
    </row>
    <row r="4939" customFormat="false" ht="15" hidden="false" customHeight="false" outlineLevel="0" collapsed="false">
      <c r="L4939" s="37" t="str">
        <f aca="false">IF(C4939="","",IF(C4939&lt;=5,"Night (00-05)",IF(C4939&lt;=11,"Morning (06-11)",IF(C4939&lt;=16,"Afternoon (12-16)",IF(C4939&lt;=20,"Evening (17-20)","Late (21-23)")))))</f>
        <v/>
      </c>
    </row>
    <row r="4940" customFormat="false" ht="15" hidden="false" customHeight="false" outlineLevel="0" collapsed="false">
      <c r="L4940" s="37" t="str">
        <f aca="false">IF(C4940="","",IF(C4940&lt;=5,"Night (00-05)",IF(C4940&lt;=11,"Morning (06-11)",IF(C4940&lt;=16,"Afternoon (12-16)",IF(C4940&lt;=20,"Evening (17-20)","Late (21-23)")))))</f>
        <v/>
      </c>
    </row>
    <row r="4941" customFormat="false" ht="15" hidden="false" customHeight="false" outlineLevel="0" collapsed="false">
      <c r="L4941" s="37" t="str">
        <f aca="false">IF(C4941="","",IF(C4941&lt;=5,"Night (00-05)",IF(C4941&lt;=11,"Morning (06-11)",IF(C4941&lt;=16,"Afternoon (12-16)",IF(C4941&lt;=20,"Evening (17-20)","Late (21-23)")))))</f>
        <v/>
      </c>
    </row>
    <row r="4942" customFormat="false" ht="15" hidden="false" customHeight="false" outlineLevel="0" collapsed="false">
      <c r="L4942" s="37" t="str">
        <f aca="false">IF(C4942="","",IF(C4942&lt;=5,"Night (00-05)",IF(C4942&lt;=11,"Morning (06-11)",IF(C4942&lt;=16,"Afternoon (12-16)",IF(C4942&lt;=20,"Evening (17-20)","Late (21-23)")))))</f>
        <v/>
      </c>
    </row>
    <row r="4943" customFormat="false" ht="15" hidden="false" customHeight="false" outlineLevel="0" collapsed="false">
      <c r="L4943" s="37" t="str">
        <f aca="false">IF(C4943="","",IF(C4943&lt;=5,"Night (00-05)",IF(C4943&lt;=11,"Morning (06-11)",IF(C4943&lt;=16,"Afternoon (12-16)",IF(C4943&lt;=20,"Evening (17-20)","Late (21-23)")))))</f>
        <v/>
      </c>
    </row>
    <row r="4944" customFormat="false" ht="15" hidden="false" customHeight="false" outlineLevel="0" collapsed="false">
      <c r="L4944" s="37" t="str">
        <f aca="false">IF(C4944="","",IF(C4944&lt;=5,"Night (00-05)",IF(C4944&lt;=11,"Morning (06-11)",IF(C4944&lt;=16,"Afternoon (12-16)",IF(C4944&lt;=20,"Evening (17-20)","Late (21-23)")))))</f>
        <v/>
      </c>
    </row>
    <row r="4945" customFormat="false" ht="15" hidden="false" customHeight="false" outlineLevel="0" collapsed="false">
      <c r="L4945" s="37" t="str">
        <f aca="false">IF(C4945="","",IF(C4945&lt;=5,"Night (00-05)",IF(C4945&lt;=11,"Morning (06-11)",IF(C4945&lt;=16,"Afternoon (12-16)",IF(C4945&lt;=20,"Evening (17-20)","Late (21-23)")))))</f>
        <v/>
      </c>
    </row>
    <row r="4946" customFormat="false" ht="15" hidden="false" customHeight="false" outlineLevel="0" collapsed="false">
      <c r="L4946" s="37" t="str">
        <f aca="false">IF(C4946="","",IF(C4946&lt;=5,"Night (00-05)",IF(C4946&lt;=11,"Morning (06-11)",IF(C4946&lt;=16,"Afternoon (12-16)",IF(C4946&lt;=20,"Evening (17-20)","Late (21-23)")))))</f>
        <v/>
      </c>
    </row>
    <row r="4947" customFormat="false" ht="15" hidden="false" customHeight="false" outlineLevel="0" collapsed="false">
      <c r="L4947" s="37" t="str">
        <f aca="false">IF(C4947="","",IF(C4947&lt;=5,"Night (00-05)",IF(C4947&lt;=11,"Morning (06-11)",IF(C4947&lt;=16,"Afternoon (12-16)",IF(C4947&lt;=20,"Evening (17-20)","Late (21-23)")))))</f>
        <v/>
      </c>
    </row>
    <row r="4948" customFormat="false" ht="15" hidden="false" customHeight="false" outlineLevel="0" collapsed="false">
      <c r="L4948" s="37" t="str">
        <f aca="false">IF(C4948="","",IF(C4948&lt;=5,"Night (00-05)",IF(C4948&lt;=11,"Morning (06-11)",IF(C4948&lt;=16,"Afternoon (12-16)",IF(C4948&lt;=20,"Evening (17-20)","Late (21-23)")))))</f>
        <v/>
      </c>
    </row>
    <row r="4949" customFormat="false" ht="15" hidden="false" customHeight="false" outlineLevel="0" collapsed="false">
      <c r="L4949" s="37" t="str">
        <f aca="false">IF(C4949="","",IF(C4949&lt;=5,"Night (00-05)",IF(C4949&lt;=11,"Morning (06-11)",IF(C4949&lt;=16,"Afternoon (12-16)",IF(C4949&lt;=20,"Evening (17-20)","Late (21-23)")))))</f>
        <v/>
      </c>
    </row>
    <row r="4950" customFormat="false" ht="15" hidden="false" customHeight="false" outlineLevel="0" collapsed="false">
      <c r="L4950" s="37" t="str">
        <f aca="false">IF(C4950="","",IF(C4950&lt;=5,"Night (00-05)",IF(C4950&lt;=11,"Morning (06-11)",IF(C4950&lt;=16,"Afternoon (12-16)",IF(C4950&lt;=20,"Evening (17-20)","Late (21-23)")))))</f>
        <v/>
      </c>
    </row>
    <row r="4951" customFormat="false" ht="15" hidden="false" customHeight="false" outlineLevel="0" collapsed="false">
      <c r="L4951" s="37" t="str">
        <f aca="false">IF(C4951="","",IF(C4951&lt;=5,"Night (00-05)",IF(C4951&lt;=11,"Morning (06-11)",IF(C4951&lt;=16,"Afternoon (12-16)",IF(C4951&lt;=20,"Evening (17-20)","Late (21-23)")))))</f>
        <v/>
      </c>
    </row>
    <row r="4952" customFormat="false" ht="15" hidden="false" customHeight="false" outlineLevel="0" collapsed="false">
      <c r="L4952" s="37" t="str">
        <f aca="false">IF(C4952="","",IF(C4952&lt;=5,"Night (00-05)",IF(C4952&lt;=11,"Morning (06-11)",IF(C4952&lt;=16,"Afternoon (12-16)",IF(C4952&lt;=20,"Evening (17-20)","Late (21-23)")))))</f>
        <v/>
      </c>
    </row>
    <row r="4953" customFormat="false" ht="15" hidden="false" customHeight="false" outlineLevel="0" collapsed="false">
      <c r="L4953" s="37" t="str">
        <f aca="false">IF(C4953="","",IF(C4953&lt;=5,"Night (00-05)",IF(C4953&lt;=11,"Morning (06-11)",IF(C4953&lt;=16,"Afternoon (12-16)",IF(C4953&lt;=20,"Evening (17-20)","Late (21-23)")))))</f>
        <v/>
      </c>
    </row>
    <row r="4954" customFormat="false" ht="15" hidden="false" customHeight="false" outlineLevel="0" collapsed="false">
      <c r="L4954" s="37" t="str">
        <f aca="false">IF(C4954="","",IF(C4954&lt;=5,"Night (00-05)",IF(C4954&lt;=11,"Morning (06-11)",IF(C4954&lt;=16,"Afternoon (12-16)",IF(C4954&lt;=20,"Evening (17-20)","Late (21-23)")))))</f>
        <v/>
      </c>
    </row>
    <row r="4955" customFormat="false" ht="15" hidden="false" customHeight="false" outlineLevel="0" collapsed="false">
      <c r="L4955" s="37" t="str">
        <f aca="false">IF(C4955="","",IF(C4955&lt;=5,"Night (00-05)",IF(C4955&lt;=11,"Morning (06-11)",IF(C4955&lt;=16,"Afternoon (12-16)",IF(C4955&lt;=20,"Evening (17-20)","Late (21-23)")))))</f>
        <v/>
      </c>
    </row>
    <row r="4956" customFormat="false" ht="15" hidden="false" customHeight="false" outlineLevel="0" collapsed="false">
      <c r="L4956" s="37" t="str">
        <f aca="false">IF(C4956="","",IF(C4956&lt;=5,"Night (00-05)",IF(C4956&lt;=11,"Morning (06-11)",IF(C4956&lt;=16,"Afternoon (12-16)",IF(C4956&lt;=20,"Evening (17-20)","Late (21-23)")))))</f>
        <v/>
      </c>
    </row>
    <row r="4957" customFormat="false" ht="15" hidden="false" customHeight="false" outlineLevel="0" collapsed="false">
      <c r="L4957" s="37" t="str">
        <f aca="false">IF(C4957="","",IF(C4957&lt;=5,"Night (00-05)",IF(C4957&lt;=11,"Morning (06-11)",IF(C4957&lt;=16,"Afternoon (12-16)",IF(C4957&lt;=20,"Evening (17-20)","Late (21-23)")))))</f>
        <v/>
      </c>
    </row>
    <row r="4958" customFormat="false" ht="15" hidden="false" customHeight="false" outlineLevel="0" collapsed="false">
      <c r="L4958" s="37" t="str">
        <f aca="false">IF(C4958="","",IF(C4958&lt;=5,"Night (00-05)",IF(C4958&lt;=11,"Morning (06-11)",IF(C4958&lt;=16,"Afternoon (12-16)",IF(C4958&lt;=20,"Evening (17-20)","Late (21-23)")))))</f>
        <v/>
      </c>
    </row>
    <row r="4959" customFormat="false" ht="15" hidden="false" customHeight="false" outlineLevel="0" collapsed="false">
      <c r="L4959" s="37" t="str">
        <f aca="false">IF(C4959="","",IF(C4959&lt;=5,"Night (00-05)",IF(C4959&lt;=11,"Morning (06-11)",IF(C4959&lt;=16,"Afternoon (12-16)",IF(C4959&lt;=20,"Evening (17-20)","Late (21-23)")))))</f>
        <v/>
      </c>
    </row>
    <row r="4960" customFormat="false" ht="15" hidden="false" customHeight="false" outlineLevel="0" collapsed="false">
      <c r="L4960" s="37" t="str">
        <f aca="false">IF(C4960="","",IF(C4960&lt;=5,"Night (00-05)",IF(C4960&lt;=11,"Morning (06-11)",IF(C4960&lt;=16,"Afternoon (12-16)",IF(C4960&lt;=20,"Evening (17-20)","Late (21-23)")))))</f>
        <v/>
      </c>
    </row>
    <row r="4961" customFormat="false" ht="15" hidden="false" customHeight="false" outlineLevel="0" collapsed="false">
      <c r="L4961" s="37" t="str">
        <f aca="false">IF(C4961="","",IF(C4961&lt;=5,"Night (00-05)",IF(C4961&lt;=11,"Morning (06-11)",IF(C4961&lt;=16,"Afternoon (12-16)",IF(C4961&lt;=20,"Evening (17-20)","Late (21-23)")))))</f>
        <v/>
      </c>
    </row>
    <row r="4962" customFormat="false" ht="15" hidden="false" customHeight="false" outlineLevel="0" collapsed="false">
      <c r="L4962" s="37" t="str">
        <f aca="false">IF(C4962="","",IF(C4962&lt;=5,"Night (00-05)",IF(C4962&lt;=11,"Morning (06-11)",IF(C4962&lt;=16,"Afternoon (12-16)",IF(C4962&lt;=20,"Evening (17-20)","Late (21-23)")))))</f>
        <v/>
      </c>
    </row>
    <row r="4963" customFormat="false" ht="15" hidden="false" customHeight="false" outlineLevel="0" collapsed="false">
      <c r="L4963" s="37" t="str">
        <f aca="false">IF(C4963="","",IF(C4963&lt;=5,"Night (00-05)",IF(C4963&lt;=11,"Morning (06-11)",IF(C4963&lt;=16,"Afternoon (12-16)",IF(C4963&lt;=20,"Evening (17-20)","Late (21-23)")))))</f>
        <v/>
      </c>
    </row>
    <row r="4964" customFormat="false" ht="15" hidden="false" customHeight="false" outlineLevel="0" collapsed="false">
      <c r="L4964" s="37" t="str">
        <f aca="false">IF(C4964="","",IF(C4964&lt;=5,"Night (00-05)",IF(C4964&lt;=11,"Morning (06-11)",IF(C4964&lt;=16,"Afternoon (12-16)",IF(C4964&lt;=20,"Evening (17-20)","Late (21-23)")))))</f>
        <v/>
      </c>
    </row>
    <row r="4965" customFormat="false" ht="15" hidden="false" customHeight="false" outlineLevel="0" collapsed="false">
      <c r="L4965" s="37" t="str">
        <f aca="false">IF(C4965="","",IF(C4965&lt;=5,"Night (00-05)",IF(C4965&lt;=11,"Morning (06-11)",IF(C4965&lt;=16,"Afternoon (12-16)",IF(C4965&lt;=20,"Evening (17-20)","Late (21-23)")))))</f>
        <v/>
      </c>
    </row>
    <row r="4966" customFormat="false" ht="15" hidden="false" customHeight="false" outlineLevel="0" collapsed="false">
      <c r="L4966" s="37" t="str">
        <f aca="false">IF(C4966="","",IF(C4966&lt;=5,"Night (00-05)",IF(C4966&lt;=11,"Morning (06-11)",IF(C4966&lt;=16,"Afternoon (12-16)",IF(C4966&lt;=20,"Evening (17-20)","Late (21-23)")))))</f>
        <v/>
      </c>
    </row>
    <row r="4967" customFormat="false" ht="15" hidden="false" customHeight="false" outlineLevel="0" collapsed="false">
      <c r="L4967" s="37" t="str">
        <f aca="false">IF(C4967="","",IF(C4967&lt;=5,"Night (00-05)",IF(C4967&lt;=11,"Morning (06-11)",IF(C4967&lt;=16,"Afternoon (12-16)",IF(C4967&lt;=20,"Evening (17-20)","Late (21-23)")))))</f>
        <v/>
      </c>
    </row>
    <row r="4968" customFormat="false" ht="15" hidden="false" customHeight="false" outlineLevel="0" collapsed="false">
      <c r="L4968" s="37" t="str">
        <f aca="false">IF(C4968="","",IF(C4968&lt;=5,"Night (00-05)",IF(C4968&lt;=11,"Morning (06-11)",IF(C4968&lt;=16,"Afternoon (12-16)",IF(C4968&lt;=20,"Evening (17-20)","Late (21-23)")))))</f>
        <v/>
      </c>
    </row>
    <row r="4969" customFormat="false" ht="15" hidden="false" customHeight="false" outlineLevel="0" collapsed="false">
      <c r="L4969" s="37" t="str">
        <f aca="false">IF(C4969="","",IF(C4969&lt;=5,"Night (00-05)",IF(C4969&lt;=11,"Morning (06-11)",IF(C4969&lt;=16,"Afternoon (12-16)",IF(C4969&lt;=20,"Evening (17-20)","Late (21-23)")))))</f>
        <v/>
      </c>
    </row>
    <row r="4970" customFormat="false" ht="15" hidden="false" customHeight="false" outlineLevel="0" collapsed="false">
      <c r="L4970" s="37" t="str">
        <f aca="false">IF(C4970="","",IF(C4970&lt;=5,"Night (00-05)",IF(C4970&lt;=11,"Morning (06-11)",IF(C4970&lt;=16,"Afternoon (12-16)",IF(C4970&lt;=20,"Evening (17-20)","Late (21-23)")))))</f>
        <v/>
      </c>
    </row>
    <row r="4971" customFormat="false" ht="15" hidden="false" customHeight="false" outlineLevel="0" collapsed="false">
      <c r="L4971" s="37" t="str">
        <f aca="false">IF(C4971="","",IF(C4971&lt;=5,"Night (00-05)",IF(C4971&lt;=11,"Morning (06-11)",IF(C4971&lt;=16,"Afternoon (12-16)",IF(C4971&lt;=20,"Evening (17-20)","Late (21-23)")))))</f>
        <v/>
      </c>
    </row>
    <row r="4972" customFormat="false" ht="15" hidden="false" customHeight="false" outlineLevel="0" collapsed="false">
      <c r="L4972" s="37" t="str">
        <f aca="false">IF(C4972="","",IF(C4972&lt;=5,"Night (00-05)",IF(C4972&lt;=11,"Morning (06-11)",IF(C4972&lt;=16,"Afternoon (12-16)",IF(C4972&lt;=20,"Evening (17-20)","Late (21-23)")))))</f>
        <v/>
      </c>
    </row>
    <row r="4973" customFormat="false" ht="15" hidden="false" customHeight="false" outlineLevel="0" collapsed="false">
      <c r="L4973" s="37" t="str">
        <f aca="false">IF(C4973="","",IF(C4973&lt;=5,"Night (00-05)",IF(C4973&lt;=11,"Morning (06-11)",IF(C4973&lt;=16,"Afternoon (12-16)",IF(C4973&lt;=20,"Evening (17-20)","Late (21-23)")))))</f>
        <v/>
      </c>
    </row>
    <row r="4974" customFormat="false" ht="15" hidden="false" customHeight="false" outlineLevel="0" collapsed="false">
      <c r="L4974" s="37" t="str">
        <f aca="false">IF(C4974="","",IF(C4974&lt;=5,"Night (00-05)",IF(C4974&lt;=11,"Morning (06-11)",IF(C4974&lt;=16,"Afternoon (12-16)",IF(C4974&lt;=20,"Evening (17-20)","Late (21-23)")))))</f>
        <v/>
      </c>
    </row>
    <row r="4975" customFormat="false" ht="15" hidden="false" customHeight="false" outlineLevel="0" collapsed="false">
      <c r="L4975" s="37" t="str">
        <f aca="false">IF(C4975="","",IF(C4975&lt;=5,"Night (00-05)",IF(C4975&lt;=11,"Morning (06-11)",IF(C4975&lt;=16,"Afternoon (12-16)",IF(C4975&lt;=20,"Evening (17-20)","Late (21-23)")))))</f>
        <v/>
      </c>
    </row>
    <row r="4976" customFormat="false" ht="15" hidden="false" customHeight="false" outlineLevel="0" collapsed="false">
      <c r="L4976" s="37" t="str">
        <f aca="false">IF(C4976="","",IF(C4976&lt;=5,"Night (00-05)",IF(C4976&lt;=11,"Morning (06-11)",IF(C4976&lt;=16,"Afternoon (12-16)",IF(C4976&lt;=20,"Evening (17-20)","Late (21-23)")))))</f>
        <v/>
      </c>
    </row>
    <row r="4977" customFormat="false" ht="15" hidden="false" customHeight="false" outlineLevel="0" collapsed="false">
      <c r="L4977" s="37" t="str">
        <f aca="false">IF(C4977="","",IF(C4977&lt;=5,"Night (00-05)",IF(C4977&lt;=11,"Morning (06-11)",IF(C4977&lt;=16,"Afternoon (12-16)",IF(C4977&lt;=20,"Evening (17-20)","Late (21-23)")))))</f>
        <v/>
      </c>
    </row>
    <row r="4978" customFormat="false" ht="15" hidden="false" customHeight="false" outlineLevel="0" collapsed="false">
      <c r="L4978" s="37" t="str">
        <f aca="false">IF(C4978="","",IF(C4978&lt;=5,"Night (00-05)",IF(C4978&lt;=11,"Morning (06-11)",IF(C4978&lt;=16,"Afternoon (12-16)",IF(C4978&lt;=20,"Evening (17-20)","Late (21-23)")))))</f>
        <v/>
      </c>
    </row>
    <row r="4979" customFormat="false" ht="15" hidden="false" customHeight="false" outlineLevel="0" collapsed="false">
      <c r="L4979" s="37" t="str">
        <f aca="false">IF(C4979="","",IF(C4979&lt;=5,"Night (00-05)",IF(C4979&lt;=11,"Morning (06-11)",IF(C4979&lt;=16,"Afternoon (12-16)",IF(C4979&lt;=20,"Evening (17-20)","Late (21-23)")))))</f>
        <v/>
      </c>
    </row>
    <row r="4980" customFormat="false" ht="15" hidden="false" customHeight="false" outlineLevel="0" collapsed="false">
      <c r="L4980" s="37" t="str">
        <f aca="false">IF(C4980="","",IF(C4980&lt;=5,"Night (00-05)",IF(C4980&lt;=11,"Morning (06-11)",IF(C4980&lt;=16,"Afternoon (12-16)",IF(C4980&lt;=20,"Evening (17-20)","Late (21-23)")))))</f>
        <v/>
      </c>
    </row>
    <row r="4981" customFormat="false" ht="15" hidden="false" customHeight="false" outlineLevel="0" collapsed="false">
      <c r="L4981" s="37" t="str">
        <f aca="false">IF(C4981="","",IF(C4981&lt;=5,"Night (00-05)",IF(C4981&lt;=11,"Morning (06-11)",IF(C4981&lt;=16,"Afternoon (12-16)",IF(C4981&lt;=20,"Evening (17-20)","Late (21-23)")))))</f>
        <v/>
      </c>
    </row>
    <row r="4982" customFormat="false" ht="15" hidden="false" customHeight="false" outlineLevel="0" collapsed="false">
      <c r="L4982" s="37" t="str">
        <f aca="false">IF(C4982="","",IF(C4982&lt;=5,"Night (00-05)",IF(C4982&lt;=11,"Morning (06-11)",IF(C4982&lt;=16,"Afternoon (12-16)",IF(C4982&lt;=20,"Evening (17-20)","Late (21-23)")))))</f>
        <v/>
      </c>
    </row>
    <row r="4983" customFormat="false" ht="15" hidden="false" customHeight="false" outlineLevel="0" collapsed="false">
      <c r="L4983" s="37" t="str">
        <f aca="false">IF(C4983="","",IF(C4983&lt;=5,"Night (00-05)",IF(C4983&lt;=11,"Morning (06-11)",IF(C4983&lt;=16,"Afternoon (12-16)",IF(C4983&lt;=20,"Evening (17-20)","Late (21-23)")))))</f>
        <v/>
      </c>
    </row>
    <row r="4984" customFormat="false" ht="15" hidden="false" customHeight="false" outlineLevel="0" collapsed="false">
      <c r="L4984" s="37" t="str">
        <f aca="false">IF(C4984="","",IF(C4984&lt;=5,"Night (00-05)",IF(C4984&lt;=11,"Morning (06-11)",IF(C4984&lt;=16,"Afternoon (12-16)",IF(C4984&lt;=20,"Evening (17-20)","Late (21-23)")))))</f>
        <v/>
      </c>
    </row>
    <row r="4985" customFormat="false" ht="15" hidden="false" customHeight="false" outlineLevel="0" collapsed="false">
      <c r="L4985" s="37" t="str">
        <f aca="false">IF(C4985="","",IF(C4985&lt;=5,"Night (00-05)",IF(C4985&lt;=11,"Morning (06-11)",IF(C4985&lt;=16,"Afternoon (12-16)",IF(C4985&lt;=20,"Evening (17-20)","Late (21-23)")))))</f>
        <v/>
      </c>
    </row>
    <row r="4986" customFormat="false" ht="15" hidden="false" customHeight="false" outlineLevel="0" collapsed="false">
      <c r="L4986" s="37" t="str">
        <f aca="false">IF(C4986="","",IF(C4986&lt;=5,"Night (00-05)",IF(C4986&lt;=11,"Morning (06-11)",IF(C4986&lt;=16,"Afternoon (12-16)",IF(C4986&lt;=20,"Evening (17-20)","Late (21-23)")))))</f>
        <v/>
      </c>
    </row>
    <row r="4987" customFormat="false" ht="15" hidden="false" customHeight="false" outlineLevel="0" collapsed="false">
      <c r="L4987" s="37" t="str">
        <f aca="false">IF(C4987="","",IF(C4987&lt;=5,"Night (00-05)",IF(C4987&lt;=11,"Morning (06-11)",IF(C4987&lt;=16,"Afternoon (12-16)",IF(C4987&lt;=20,"Evening (17-20)","Late (21-23)")))))</f>
        <v/>
      </c>
    </row>
    <row r="4988" customFormat="false" ht="15" hidden="false" customHeight="false" outlineLevel="0" collapsed="false">
      <c r="L4988" s="37" t="str">
        <f aca="false">IF(C4988="","",IF(C4988&lt;=5,"Night (00-05)",IF(C4988&lt;=11,"Morning (06-11)",IF(C4988&lt;=16,"Afternoon (12-16)",IF(C4988&lt;=20,"Evening (17-20)","Late (21-23)")))))</f>
        <v/>
      </c>
    </row>
    <row r="4989" customFormat="false" ht="15" hidden="false" customHeight="false" outlineLevel="0" collapsed="false">
      <c r="L4989" s="37" t="str">
        <f aca="false">IF(C4989="","",IF(C4989&lt;=5,"Night (00-05)",IF(C4989&lt;=11,"Morning (06-11)",IF(C4989&lt;=16,"Afternoon (12-16)",IF(C4989&lt;=20,"Evening (17-20)","Late (21-23)")))))</f>
        <v/>
      </c>
    </row>
    <row r="4990" customFormat="false" ht="15" hidden="false" customHeight="false" outlineLevel="0" collapsed="false">
      <c r="L4990" s="37" t="str">
        <f aca="false">IF(C4990="","",IF(C4990&lt;=5,"Night (00-05)",IF(C4990&lt;=11,"Morning (06-11)",IF(C4990&lt;=16,"Afternoon (12-16)",IF(C4990&lt;=20,"Evening (17-20)","Late (21-23)")))))</f>
        <v/>
      </c>
    </row>
    <row r="4991" customFormat="false" ht="15" hidden="false" customHeight="false" outlineLevel="0" collapsed="false">
      <c r="L4991" s="37" t="str">
        <f aca="false">IF(C4991="","",IF(C4991&lt;=5,"Night (00-05)",IF(C4991&lt;=11,"Morning (06-11)",IF(C4991&lt;=16,"Afternoon (12-16)",IF(C4991&lt;=20,"Evening (17-20)","Late (21-23)")))))</f>
        <v/>
      </c>
    </row>
    <row r="4992" customFormat="false" ht="15" hidden="false" customHeight="false" outlineLevel="0" collapsed="false">
      <c r="L4992" s="37" t="str">
        <f aca="false">IF(C4992="","",IF(C4992&lt;=5,"Night (00-05)",IF(C4992&lt;=11,"Morning (06-11)",IF(C4992&lt;=16,"Afternoon (12-16)",IF(C4992&lt;=20,"Evening (17-20)","Late (21-23)")))))</f>
        <v/>
      </c>
    </row>
    <row r="4993" customFormat="false" ht="15" hidden="false" customHeight="false" outlineLevel="0" collapsed="false">
      <c r="L4993" s="37" t="str">
        <f aca="false">IF(C4993="","",IF(C4993&lt;=5,"Night (00-05)",IF(C4993&lt;=11,"Morning (06-11)",IF(C4993&lt;=16,"Afternoon (12-16)",IF(C4993&lt;=20,"Evening (17-20)","Late (21-23)")))))</f>
        <v/>
      </c>
    </row>
    <row r="4994" customFormat="false" ht="15" hidden="false" customHeight="false" outlineLevel="0" collapsed="false">
      <c r="L4994" s="37" t="str">
        <f aca="false">IF(C4994="","",IF(C4994&lt;=5,"Night (00-05)",IF(C4994&lt;=11,"Morning (06-11)",IF(C4994&lt;=16,"Afternoon (12-16)",IF(C4994&lt;=20,"Evening (17-20)","Late (21-23)")))))</f>
        <v/>
      </c>
    </row>
    <row r="4995" customFormat="false" ht="15" hidden="false" customHeight="false" outlineLevel="0" collapsed="false">
      <c r="L4995" s="37" t="str">
        <f aca="false">IF(C4995="","",IF(C4995&lt;=5,"Night (00-05)",IF(C4995&lt;=11,"Morning (06-11)",IF(C4995&lt;=16,"Afternoon (12-16)",IF(C4995&lt;=20,"Evening (17-20)","Late (21-23)")))))</f>
        <v/>
      </c>
    </row>
    <row r="4996" customFormat="false" ht="15" hidden="false" customHeight="false" outlineLevel="0" collapsed="false">
      <c r="L4996" s="37" t="str">
        <f aca="false">IF(C4996="","",IF(C4996&lt;=5,"Night (00-05)",IF(C4996&lt;=11,"Morning (06-11)",IF(C4996&lt;=16,"Afternoon (12-16)",IF(C4996&lt;=20,"Evening (17-20)","Late (21-23)")))))</f>
        <v/>
      </c>
    </row>
    <row r="4997" customFormat="false" ht="15" hidden="false" customHeight="false" outlineLevel="0" collapsed="false">
      <c r="L4997" s="37" t="str">
        <f aca="false">IF(C4997="","",IF(C4997&lt;=5,"Night (00-05)",IF(C4997&lt;=11,"Morning (06-11)",IF(C4997&lt;=16,"Afternoon (12-16)",IF(C4997&lt;=20,"Evening (17-20)","Late (21-23)")))))</f>
        <v/>
      </c>
    </row>
    <row r="4998" customFormat="false" ht="15" hidden="false" customHeight="false" outlineLevel="0" collapsed="false">
      <c r="L4998" s="37" t="str">
        <f aca="false">IF(C4998="","",IF(C4998&lt;=5,"Night (00-05)",IF(C4998&lt;=11,"Morning (06-11)",IF(C4998&lt;=16,"Afternoon (12-16)",IF(C4998&lt;=20,"Evening (17-20)","Late (21-23)")))))</f>
        <v/>
      </c>
    </row>
    <row r="4999" customFormat="false" ht="15" hidden="false" customHeight="false" outlineLevel="0" collapsed="false">
      <c r="L4999" s="37" t="str">
        <f aca="false">IF(C4999="","",IF(C4999&lt;=5,"Night (00-05)",IF(C4999&lt;=11,"Morning (06-11)",IF(C4999&lt;=16,"Afternoon (12-16)",IF(C4999&lt;=20,"Evening (17-20)","Late (21-23)")))))</f>
        <v/>
      </c>
    </row>
    <row r="5000" customFormat="false" ht="15" hidden="false" customHeight="false" outlineLevel="0" collapsed="false">
      <c r="L5000" s="37" t="str">
        <f aca="false">IF(C5000="","",IF(C5000&lt;=5,"Night (00-05)",IF(C5000&lt;=11,"Morning (06-11)",IF(C5000&lt;=16,"Afternoon (12-16)",IF(C5000&lt;=20,"Evening (17-20)","Late (21-23)")))))</f>
        <v/>
      </c>
    </row>
    <row r="5001" customFormat="false" ht="15" hidden="false" customHeight="false" outlineLevel="0" collapsed="false">
      <c r="L5001" s="37" t="str">
        <f aca="false">IF(C5001="","",IF(C5001&lt;=5,"Night (00-05)",IF(C5001&lt;=11,"Morning (06-11)",IF(C5001&lt;=16,"Afternoon (12-16)",IF(C5001&lt;=20,"Evening (17-20)","Late (21-23)")))))</f>
        <v/>
      </c>
    </row>
  </sheetData>
  <autoFilter ref="A1:L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1" t="s">
        <v>1107</v>
      </c>
    </row>
    <row r="3" customFormat="false" ht="45.75" hidden="false" customHeight="true" outlineLevel="0" collapsed="false">
      <c r="A3" s="40" t="s">
        <v>1108</v>
      </c>
      <c r="B3" s="41" t="s">
        <v>1109</v>
      </c>
    </row>
    <row r="4" customFormat="false" ht="45.75" hidden="false" customHeight="true" outlineLevel="0" collapsed="false">
      <c r="A4" s="40" t="s">
        <v>1110</v>
      </c>
      <c r="B4" s="41" t="s">
        <v>1111</v>
      </c>
    </row>
    <row r="5" customFormat="false" ht="45.75" hidden="false" customHeight="true" outlineLevel="0" collapsed="false">
      <c r="A5" s="40" t="s">
        <v>1112</v>
      </c>
      <c r="B5" s="41" t="s">
        <v>1113</v>
      </c>
    </row>
    <row r="6" customFormat="false" ht="45.75" hidden="false" customHeight="true" outlineLevel="0" collapsed="false">
      <c r="A6" s="40" t="s">
        <v>1114</v>
      </c>
      <c r="B6" s="41" t="s">
        <v>1115</v>
      </c>
    </row>
    <row r="7" customFormat="false" ht="45.75" hidden="false" customHeight="true" outlineLevel="0" collapsed="false">
      <c r="A7" s="40" t="s">
        <v>1116</v>
      </c>
      <c r="B7" s="41" t="s">
        <v>1117</v>
      </c>
    </row>
    <row r="8" customFormat="false" ht="45.75" hidden="false" customHeight="true" outlineLevel="0" collapsed="false">
      <c r="A8" s="40" t="s">
        <v>1118</v>
      </c>
      <c r="B8" s="41" t="s">
        <v>1119</v>
      </c>
    </row>
    <row r="9" customFormat="false" ht="45.75" hidden="false" customHeight="true" outlineLevel="0" collapsed="false">
      <c r="A9" s="40" t="s">
        <v>36</v>
      </c>
      <c r="B9" s="41" t="s">
        <v>1120</v>
      </c>
    </row>
    <row r="10" customFormat="false" ht="45.75" hidden="false" customHeight="true" outlineLevel="0" collapsed="false">
      <c r="A10" s="40" t="s">
        <v>1121</v>
      </c>
      <c r="B10" s="41" t="s">
        <v>1122</v>
      </c>
    </row>
    <row r="11" customFormat="false" ht="45.75" hidden="false" customHeight="true" outlineLevel="0" collapsed="false">
      <c r="A11" s="40" t="s">
        <v>1123</v>
      </c>
      <c r="B11" s="41" t="s">
        <v>1124</v>
      </c>
    </row>
    <row r="12" customFormat="false" ht="45.75" hidden="false" customHeight="true" outlineLevel="0" collapsed="false">
      <c r="A12" s="40" t="s">
        <v>1125</v>
      </c>
      <c r="B12" s="41" t="s">
        <v>1126</v>
      </c>
    </row>
    <row r="13" customFormat="false" ht="45.75" hidden="false" customHeight="true" outlineLevel="0" collapsed="false">
      <c r="A13" s="40" t="s">
        <v>1127</v>
      </c>
      <c r="B13" s="41" t="s">
        <v>1128</v>
      </c>
    </row>
    <row r="14" customFormat="false" ht="45.75" hidden="false" customHeight="true" outlineLevel="0" collapsed="false">
      <c r="A14" s="40" t="s">
        <v>1129</v>
      </c>
      <c r="B14" s="41" t="s">
        <v>1130</v>
      </c>
    </row>
    <row r="15" customFormat="false" ht="45.75" hidden="false" customHeight="true" outlineLevel="0" collapsed="false">
      <c r="A15" s="40" t="s">
        <v>1131</v>
      </c>
      <c r="B15" s="41" t="s">
        <v>1132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2026-10-29T20:39:33Z</dcterms:created>
  <dc:creator>openpyxl</dc:creator>
  <dc:description/>
  <dc:language>en-US</dc:language>
  <cp:lastModifiedBy/>
  <dcterms:modified xsi:type="dcterms:W3CDTF">2026-10-29T20:39:35Z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